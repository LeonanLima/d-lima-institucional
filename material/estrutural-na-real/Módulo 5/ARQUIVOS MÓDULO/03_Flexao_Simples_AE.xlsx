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Reservatórios Piscinas Muros/Planilhas/Bloqueadas/"/>
    </mc:Choice>
  </mc:AlternateContent>
  <xr:revisionPtr revIDLastSave="1" documentId="8_{42C52587-7CAC-4DD0-9F69-8E41EAFDD809}" xr6:coauthVersionLast="47" xr6:coauthVersionMax="47" xr10:uidLastSave="{A0BF0C40-4630-48BE-980A-824FBADB762C}"/>
  <bookViews>
    <workbookView xWindow="-120" yWindow="-120" windowWidth="38640" windowHeight="15720" xr2:uid="{BD095C9E-7F6F-436A-9A47-E96EB1DF29B8}"/>
  </bookViews>
  <sheets>
    <sheet name="Retangular" sheetId="3" r:id="rId1"/>
  </sheets>
  <definedNames>
    <definedName name="Armação" localSheetId="0">Retangular!$AG$3:$AH$3</definedName>
    <definedName name="Armação">#REF!</definedName>
    <definedName name="Duas" localSheetId="0">Retangular!$AH$4:$AH$5</definedName>
    <definedName name="Duas">#REF!</definedName>
    <definedName name="Uma" localSheetId="0">Retangular!$AG$4:$AG$6</definedName>
    <definedName name="Um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3" l="1"/>
  <c r="M16" i="3"/>
  <c r="V14" i="3"/>
  <c r="O14" i="3"/>
  <c r="AA12" i="3"/>
  <c r="Z12" i="3"/>
  <c r="Y12" i="3"/>
  <c r="X12" i="3"/>
  <c r="W12" i="3"/>
  <c r="T12" i="3"/>
  <c r="S12" i="3"/>
  <c r="R12" i="3"/>
  <c r="Q12" i="3"/>
  <c r="P12" i="3"/>
  <c r="AA11" i="3"/>
  <c r="Z11" i="3"/>
  <c r="Y11" i="3"/>
  <c r="X11" i="3"/>
  <c r="W11" i="3"/>
  <c r="T11" i="3"/>
  <c r="S11" i="3"/>
  <c r="R11" i="3"/>
  <c r="Q11" i="3"/>
  <c r="P11" i="3"/>
  <c r="AA10" i="3"/>
  <c r="Z10" i="3"/>
  <c r="Y10" i="3"/>
  <c r="X10" i="3"/>
  <c r="W10" i="3"/>
  <c r="T10" i="3"/>
  <c r="S10" i="3"/>
  <c r="R10" i="3"/>
  <c r="Q10" i="3"/>
  <c r="P10" i="3"/>
  <c r="AA9" i="3"/>
  <c r="Z9" i="3"/>
  <c r="Y9" i="3"/>
  <c r="X9" i="3"/>
  <c r="W9" i="3"/>
  <c r="T9" i="3"/>
  <c r="S9" i="3"/>
  <c r="R9" i="3"/>
  <c r="Q9" i="3"/>
  <c r="P9" i="3"/>
  <c r="J19" i="3"/>
  <c r="AA8" i="3"/>
  <c r="Z8" i="3"/>
  <c r="Y8" i="3"/>
  <c r="X8" i="3"/>
  <c r="W8" i="3"/>
  <c r="T8" i="3"/>
  <c r="S8" i="3"/>
  <c r="R8" i="3"/>
  <c r="Q8" i="3"/>
  <c r="P8" i="3"/>
  <c r="J18" i="3"/>
  <c r="AA7" i="3"/>
  <c r="Z7" i="3"/>
  <c r="Y7" i="3"/>
  <c r="X7" i="3"/>
  <c r="W7" i="3"/>
  <c r="T7" i="3"/>
  <c r="S7" i="3"/>
  <c r="R7" i="3"/>
  <c r="Q7" i="3"/>
  <c r="P7" i="3"/>
  <c r="AA6" i="3"/>
  <c r="Z6" i="3"/>
  <c r="Y6" i="3"/>
  <c r="X6" i="3"/>
  <c r="W6" i="3"/>
  <c r="T6" i="3"/>
  <c r="S6" i="3"/>
  <c r="R6" i="3"/>
  <c r="Q6" i="3"/>
  <c r="P6" i="3"/>
  <c r="AA5" i="3"/>
  <c r="Z5" i="3"/>
  <c r="Y5" i="3"/>
  <c r="X5" i="3"/>
  <c r="W5" i="3"/>
  <c r="T5" i="3"/>
  <c r="S5" i="3"/>
  <c r="R5" i="3"/>
  <c r="Q5" i="3"/>
  <c r="P5" i="3"/>
  <c r="J4" i="3"/>
  <c r="J3" i="3"/>
  <c r="J23" i="3" l="1"/>
  <c r="L18" i="3" l="1"/>
  <c r="J17" i="3"/>
  <c r="J7" i="3" s="1"/>
  <c r="I20" i="3" l="1"/>
  <c r="M3" i="3" s="1"/>
  <c r="M8" i="3" s="1"/>
  <c r="M5" i="3" l="1"/>
  <c r="M4" i="3" s="1"/>
  <c r="M9" i="3" l="1"/>
  <c r="M13" i="3" s="1"/>
  <c r="J9" i="3" l="1"/>
  <c r="J14" i="3" s="1"/>
  <c r="M12" i="3"/>
  <c r="J8" i="3" s="1"/>
  <c r="J13" i="3" s="1"/>
</calcChain>
</file>

<file path=xl/sharedStrings.xml><?xml version="1.0" encoding="utf-8"?>
<sst xmlns="http://schemas.openxmlformats.org/spreadsheetml/2006/main" count="47" uniqueCount="44">
  <si>
    <t>Geometria</t>
  </si>
  <si>
    <t>h</t>
  </si>
  <si>
    <t>d</t>
  </si>
  <si>
    <t>Md</t>
  </si>
  <si>
    <t>fyk</t>
  </si>
  <si>
    <t>Resist. de Projeto</t>
  </si>
  <si>
    <t>Linha Neutra</t>
  </si>
  <si>
    <t>x</t>
  </si>
  <si>
    <t>Dados</t>
  </si>
  <si>
    <t>Solicitação</t>
  </si>
  <si>
    <t>d'</t>
  </si>
  <si>
    <t>xduc</t>
  </si>
  <si>
    <t>Md,duc</t>
  </si>
  <si>
    <t>Armaduras</t>
  </si>
  <si>
    <t>As1</t>
  </si>
  <si>
    <t>As2</t>
  </si>
  <si>
    <t>Deformações</t>
  </si>
  <si>
    <t>ε1</t>
  </si>
  <si>
    <t>ε2</t>
  </si>
  <si>
    <t>εc</t>
  </si>
  <si>
    <t>Tensões</t>
  </si>
  <si>
    <t>σ2</t>
  </si>
  <si>
    <t>Bitola (mm)</t>
  </si>
  <si>
    <t>Número de Barras</t>
  </si>
  <si>
    <t>Armadura Tracionada (cm²)</t>
  </si>
  <si>
    <t>Armadura Comprimida (cm²)</t>
  </si>
  <si>
    <t>x23</t>
  </si>
  <si>
    <t>Equilíbrio</t>
  </si>
  <si>
    <t>ΣM-Md</t>
  </si>
  <si>
    <t>Armadura Mínima</t>
  </si>
  <si>
    <t>fpk</t>
  </si>
  <si>
    <t>Kfd</t>
  </si>
  <si>
    <t>fsd</t>
  </si>
  <si>
    <t>Compressão na Flexão</t>
  </si>
  <si>
    <t>K</t>
  </si>
  <si>
    <t>Forças</t>
  </si>
  <si>
    <t>Ts</t>
  </si>
  <si>
    <t>Cs</t>
  </si>
  <si>
    <t>Cmw</t>
  </si>
  <si>
    <t>Momento Fletor</t>
  </si>
  <si>
    <t>b</t>
  </si>
  <si>
    <t>Materiais</t>
  </si>
  <si>
    <t>σ1</t>
  </si>
  <si>
    <t>ΣFx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</si>
</sst>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R$&quot;\ * #,##0.00_-;\-&quot;R$&quot;\ * #,##0.00_-;_-&quot;R$&quot;\ * &quot;-&quot;??_-;_-@_-"/>
    <numFmt numFmtId="164" formatCode="0.0&quot; cm&quot;"/>
    <numFmt numFmtId="165" formatCode="0&quot; kNcm/m&quot;"/>
    <numFmt numFmtId="166" formatCode="0.0&quot; kN/cm²&quot;"/>
    <numFmt numFmtId="167" formatCode="0.00&quot; kN/cm²&quot;"/>
    <numFmt numFmtId="168" formatCode="0.00&quot; cm&quot;"/>
    <numFmt numFmtId="169" formatCode="0.00&quot; cm²/m&quot;"/>
    <numFmt numFmtId="170" formatCode="0.000%"/>
    <numFmt numFmtId="171" formatCode="0.0"/>
    <numFmt numFmtId="172" formatCode="\Ø0.0"/>
    <numFmt numFmtId="173" formatCode="0&quot; cm&quot;"/>
    <numFmt numFmtId="174" formatCode="0.0&quot; cm³&quot;"/>
    <numFmt numFmtId="175" formatCode="0.00&quot; ‰&quot;"/>
    <numFmt numFmtId="176" formatCode="0.00&quot; cm²&quot;"/>
    <numFmt numFmtId="177" formatCode="&quot;+ &quot;0"/>
    <numFmt numFmtId="178" formatCode="0.000&quot; kN/cm²&quot;"/>
    <numFmt numFmtId="179" formatCode="0.0&quot; kNcm&quot;"/>
    <numFmt numFmtId="180" formatCode="0.00&quot; kN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9">
    <xf numFmtId="0" fontId="0" fillId="0" borderId="0" xfId="0"/>
    <xf numFmtId="1" fontId="0" fillId="2" borderId="18" xfId="0" applyNumberFormat="1" applyFill="1" applyBorder="1" applyAlignment="1" applyProtection="1">
      <alignment horizontal="right" vertical="center"/>
      <protection locked="0"/>
    </xf>
    <xf numFmtId="172" fontId="0" fillId="2" borderId="18" xfId="0" applyNumberFormat="1" applyFill="1" applyBorder="1" applyAlignment="1" applyProtection="1">
      <alignment horizontal="center" vertical="center"/>
      <protection locked="0"/>
    </xf>
    <xf numFmtId="177" fontId="0" fillId="2" borderId="18" xfId="0" applyNumberFormat="1" applyFill="1" applyBorder="1" applyAlignment="1" applyProtection="1">
      <alignment horizontal="center" vertical="center"/>
      <protection locked="0"/>
    </xf>
    <xf numFmtId="172" fontId="0" fillId="2" borderId="18" xfId="0" applyNumberFormat="1" applyFill="1" applyBorder="1" applyAlignment="1" applyProtection="1">
      <alignment horizontal="left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/>
    </xf>
    <xf numFmtId="175" fontId="0" fillId="2" borderId="15" xfId="0" applyNumberForma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175" fontId="0" fillId="2" borderId="16" xfId="0" applyNumberFormat="1" applyFill="1" applyBorder="1" applyAlignment="1">
      <alignment horizontal="right" vertical="center"/>
    </xf>
    <xf numFmtId="1" fontId="2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2" fontId="0" fillId="2" borderId="1" xfId="0" applyNumberForma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2" fontId="2" fillId="2" borderId="10" xfId="0" applyNumberFormat="1" applyFont="1" applyFill="1" applyBorder="1" applyAlignment="1">
      <alignment horizontal="center" vertical="center"/>
    </xf>
    <xf numFmtId="179" fontId="0" fillId="2" borderId="15" xfId="0" applyNumberFormat="1" applyFill="1" applyBorder="1" applyAlignment="1" applyProtection="1">
      <alignment horizontal="right" vertical="center"/>
      <protection locked="0"/>
    </xf>
    <xf numFmtId="0" fontId="1" fillId="2" borderId="0" xfId="0" applyFont="1" applyFill="1" applyAlignment="1">
      <alignment horizontal="center" vertical="center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9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vertical="center"/>
    </xf>
    <xf numFmtId="178" fontId="1" fillId="2" borderId="15" xfId="0" applyNumberFormat="1" applyFont="1" applyFill="1" applyBorder="1" applyAlignment="1">
      <alignment horizontal="right" vertical="center"/>
    </xf>
    <xf numFmtId="173" fontId="2" fillId="2" borderId="0" xfId="0" applyNumberFormat="1" applyFont="1" applyFill="1" applyAlignment="1">
      <alignment horizontal="center" vertical="center"/>
    </xf>
    <xf numFmtId="171" fontId="1" fillId="2" borderId="0" xfId="0" applyNumberFormat="1" applyFont="1" applyFill="1" applyAlignment="1">
      <alignment horizontal="center" vertical="center"/>
    </xf>
    <xf numFmtId="170" fontId="1" fillId="2" borderId="0" xfId="1" applyNumberFormat="1" applyFont="1" applyFill="1" applyBorder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167" fontId="1" fillId="2" borderId="15" xfId="0" applyNumberFormat="1" applyFont="1" applyFill="1" applyBorder="1" applyAlignment="1">
      <alignment horizontal="right" vertical="center"/>
    </xf>
    <xf numFmtId="2" fontId="1" fillId="2" borderId="0" xfId="0" applyNumberFormat="1" applyFont="1" applyFill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64" fontId="1" fillId="2" borderId="15" xfId="0" applyNumberFormat="1" applyFont="1" applyFill="1" applyBorder="1" applyAlignment="1" applyProtection="1">
      <alignment horizontal="right" vertical="center"/>
      <protection locked="0"/>
    </xf>
    <xf numFmtId="0" fontId="1" fillId="2" borderId="11" xfId="0" applyFont="1" applyFill="1" applyBorder="1" applyAlignment="1">
      <alignment horizontal="center" vertical="center"/>
    </xf>
    <xf numFmtId="168" fontId="1" fillId="2" borderId="12" xfId="0" applyNumberFormat="1" applyFont="1" applyFill="1" applyBorder="1" applyAlignment="1">
      <alignment horizontal="right" vertical="center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164" fontId="1" fillId="2" borderId="14" xfId="0" applyNumberFormat="1" applyFont="1" applyFill="1" applyBorder="1" applyAlignment="1" applyProtection="1">
      <alignment horizontal="right" vertical="center"/>
      <protection locked="0"/>
    </xf>
    <xf numFmtId="0" fontId="1" fillId="2" borderId="1" xfId="0" applyFont="1" applyFill="1" applyBorder="1" applyAlignment="1">
      <alignment horizontal="center" vertical="center"/>
    </xf>
    <xf numFmtId="168" fontId="1" fillId="2" borderId="15" xfId="0" applyNumberFormat="1" applyFont="1" applyFill="1" applyBorder="1" applyAlignment="1">
      <alignment vertical="center"/>
    </xf>
    <xf numFmtId="176" fontId="1" fillId="2" borderId="15" xfId="0" applyNumberFormat="1" applyFont="1" applyFill="1" applyBorder="1" applyAlignment="1">
      <alignment horizontal="right" vertical="center"/>
    </xf>
    <xf numFmtId="167" fontId="1" fillId="2" borderId="0" xfId="0" applyNumberFormat="1" applyFont="1" applyFill="1" applyAlignment="1">
      <alignment vertical="center"/>
    </xf>
    <xf numFmtId="179" fontId="1" fillId="2" borderId="15" xfId="0" applyNumberFormat="1" applyFont="1" applyFill="1" applyBorder="1" applyAlignment="1">
      <alignment horizontal="right" vertical="center"/>
    </xf>
    <xf numFmtId="17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178" fontId="1" fillId="2" borderId="15" xfId="0" applyNumberFormat="1" applyFont="1" applyFill="1" applyBorder="1" applyAlignment="1" applyProtection="1">
      <alignment horizontal="right" vertical="center"/>
      <protection locked="0"/>
    </xf>
    <xf numFmtId="168" fontId="1" fillId="2" borderId="0" xfId="0" applyNumberFormat="1" applyFont="1" applyFill="1" applyAlignment="1">
      <alignment vertical="center"/>
    </xf>
    <xf numFmtId="166" fontId="1" fillId="2" borderId="15" xfId="0" applyNumberFormat="1" applyFont="1" applyFill="1" applyBorder="1" applyAlignment="1" applyProtection="1">
      <alignment horizontal="right" vertical="center"/>
      <protection locked="0"/>
    </xf>
    <xf numFmtId="169" fontId="1" fillId="2" borderId="0" xfId="0" applyNumberFormat="1" applyFont="1" applyFill="1" applyAlignment="1">
      <alignment vertical="center"/>
    </xf>
    <xf numFmtId="172" fontId="1" fillId="2" borderId="0" xfId="0" applyNumberFormat="1" applyFont="1" applyFill="1" applyAlignment="1">
      <alignment horizontal="right" vertical="center"/>
    </xf>
    <xf numFmtId="173" fontId="1" fillId="2" borderId="0" xfId="0" applyNumberFormat="1" applyFont="1" applyFill="1" applyAlignment="1">
      <alignment horizontal="left" vertical="center"/>
    </xf>
    <xf numFmtId="0" fontId="1" fillId="2" borderId="0" xfId="0" applyFont="1" applyFill="1"/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71" fontId="1" fillId="2" borderId="15" xfId="0" applyNumberFormat="1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180" fontId="0" fillId="2" borderId="15" xfId="0" applyNumberFormat="1" applyFill="1" applyBorder="1" applyAlignment="1">
      <alignment horizontal="right" vertic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4" fontId="2" fillId="2" borderId="11" xfId="2" applyFont="1" applyFill="1" applyBorder="1" applyAlignment="1" applyProtection="1">
      <alignment horizontal="center" vertical="center"/>
    </xf>
    <xf numFmtId="44" fontId="2" fillId="2" borderId="12" xfId="2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3" fontId="2" fillId="2" borderId="10" xfId="0" applyNumberFormat="1" applyFont="1" applyFill="1" applyBorder="1" applyAlignment="1">
      <alignment horizontal="center" vertical="center" wrapText="1"/>
    </xf>
    <xf numFmtId="173" fontId="2" fillId="2" borderId="10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FFC7CE"/>
      <color rgb="FF9C0006"/>
      <color rgb="FFC6EFCE"/>
      <color rgb="FF006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https://www.instagram.com/professordeestruturas/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professordeestruturas.com.br/" TargetMode="External"/><Relationship Id="rId5" Type="http://schemas.openxmlformats.org/officeDocument/2006/relationships/image" Target="../media/image3.png"/><Relationship Id="rId4" Type="http://schemas.openxmlformats.org/officeDocument/2006/relationships/hyperlink" Target="mailto:matheuscarini@gmail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288925</xdr:colOff>
      <xdr:row>24</xdr:row>
      <xdr:rowOff>51955</xdr:rowOff>
    </xdr:from>
    <xdr:to>
      <xdr:col>22</xdr:col>
      <xdr:colOff>4951</xdr:colOff>
      <xdr:row>26</xdr:row>
      <xdr:rowOff>1276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FE370B34-5515-418F-9190-319796992239}"/>
            </a:ext>
          </a:extLst>
        </xdr:cNvPr>
        <xdr:cNvGrpSpPr/>
      </xdr:nvGrpSpPr>
      <xdr:grpSpPr>
        <a:xfrm>
          <a:off x="288925" y="4658591"/>
          <a:ext cx="10280117" cy="330321"/>
          <a:chOff x="323850" y="6010275"/>
          <a:chExt cx="10264486" cy="327146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312DC933-E0E9-7C64-0EF8-1140F8FFE7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603EAD23-FDD6-AFBC-D403-0705C5747C1F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2" name="Imagem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DA0D3DC6-F878-43EC-D17F-023020E67A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3" name="Imagem 12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A44C9CD5-DB0B-5FE6-13A7-7B968ECD43F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4AF76F70-FC2A-5735-E1CA-470C22D3D8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201A2545-62C0-E454-E4C8-C09492E66A3F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20231012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5DFF-47F4-4F15-982C-81CB77189FDA}">
  <dimension ref="B1:AH23"/>
  <sheetViews>
    <sheetView tabSelected="1" zoomScale="110" zoomScaleNormal="110" workbookViewId="0">
      <selection activeCell="D19" sqref="D19:E19"/>
    </sheetView>
  </sheetViews>
  <sheetFormatPr defaultColWidth="9.140625" defaultRowHeight="15" x14ac:dyDescent="0.25"/>
  <cols>
    <col min="1" max="2" width="4.5703125" style="20" customWidth="1"/>
    <col min="3" max="3" width="9.140625" style="20"/>
    <col min="4" max="4" width="4.5703125" style="20" customWidth="1"/>
    <col min="5" max="5" width="15.5703125" style="20" customWidth="1"/>
    <col min="6" max="6" width="9.140625" style="20"/>
    <col min="7" max="8" width="4.5703125" style="20" customWidth="1"/>
    <col min="9" max="9" width="7.140625" style="20" bestFit="1" customWidth="1"/>
    <col min="10" max="10" width="13.5703125" style="20" customWidth="1"/>
    <col min="11" max="11" width="5.7109375" style="20" customWidth="1"/>
    <col min="12" max="12" width="7.140625" style="20" customWidth="1"/>
    <col min="13" max="13" width="13.7109375" style="20" customWidth="1"/>
    <col min="14" max="14" width="5.7109375" style="20" customWidth="1"/>
    <col min="15" max="15" width="7.28515625" style="20" customWidth="1"/>
    <col min="16" max="20" width="6" style="20" bestFit="1" customWidth="1"/>
    <col min="21" max="21" width="5.7109375" style="20" customWidth="1"/>
    <col min="22" max="28" width="6" style="20" bestFit="1" customWidth="1"/>
    <col min="29" max="32" width="9.140625" style="20"/>
    <col min="33" max="34" width="18" style="20" bestFit="1" customWidth="1"/>
    <col min="35" max="16384" width="9.140625" style="20"/>
  </cols>
  <sheetData>
    <row r="1" spans="2:34" ht="15.75" thickBot="1" x14ac:dyDescent="0.3"/>
    <row r="2" spans="2:34" ht="15.75" thickBot="1" x14ac:dyDescent="0.3">
      <c r="B2" s="21"/>
      <c r="C2" s="22"/>
      <c r="D2" s="22"/>
      <c r="E2" s="22"/>
      <c r="F2" s="22"/>
      <c r="G2" s="23"/>
      <c r="I2" s="71" t="s">
        <v>5</v>
      </c>
      <c r="J2" s="72"/>
      <c r="L2" s="73" t="s">
        <v>16</v>
      </c>
      <c r="M2" s="74"/>
      <c r="N2" s="27"/>
      <c r="O2" s="75" t="s">
        <v>24</v>
      </c>
      <c r="P2" s="75"/>
      <c r="Q2" s="75"/>
      <c r="R2" s="75"/>
      <c r="S2" s="75"/>
      <c r="T2" s="75"/>
      <c r="U2" s="27"/>
      <c r="V2" s="75" t="s">
        <v>25</v>
      </c>
      <c r="W2" s="75"/>
      <c r="X2" s="75"/>
      <c r="Y2" s="75"/>
      <c r="Z2" s="75"/>
      <c r="AA2" s="75"/>
      <c r="AG2" s="24"/>
      <c r="AH2" s="24"/>
    </row>
    <row r="3" spans="2:34" x14ac:dyDescent="0.25">
      <c r="B3" s="25"/>
      <c r="C3" s="65" t="s">
        <v>8</v>
      </c>
      <c r="D3" s="66"/>
      <c r="E3" s="66"/>
      <c r="F3" s="67"/>
      <c r="G3" s="26"/>
      <c r="I3" s="14" t="s">
        <v>31</v>
      </c>
      <c r="J3" s="28">
        <f>E20*0.7*E16/2</f>
        <v>0.36749999999999999</v>
      </c>
      <c r="L3" s="8" t="s">
        <v>17</v>
      </c>
      <c r="M3" s="9">
        <f>IF(I20="Domínio 2",1/100*1000,3/J17*(E9-J17))</f>
        <v>7.4198368215734973</v>
      </c>
      <c r="N3" s="29"/>
      <c r="O3" s="76" t="s">
        <v>22</v>
      </c>
      <c r="P3" s="77" t="s">
        <v>23</v>
      </c>
      <c r="Q3" s="77"/>
      <c r="R3" s="77"/>
      <c r="S3" s="77"/>
      <c r="T3" s="77"/>
      <c r="U3" s="29"/>
      <c r="V3" s="76" t="s">
        <v>22</v>
      </c>
      <c r="W3" s="77" t="s">
        <v>23</v>
      </c>
      <c r="X3" s="77"/>
      <c r="Y3" s="77"/>
      <c r="Z3" s="77"/>
      <c r="AA3" s="77"/>
      <c r="AB3" s="27"/>
      <c r="AD3" s="17"/>
      <c r="AE3" s="10"/>
      <c r="AG3" s="24"/>
      <c r="AH3" s="24"/>
    </row>
    <row r="4" spans="2:34" ht="15.75" thickBot="1" x14ac:dyDescent="0.3">
      <c r="B4" s="25"/>
      <c r="C4" s="68"/>
      <c r="D4" s="69"/>
      <c r="E4" s="69"/>
      <c r="F4" s="70"/>
      <c r="G4" s="26"/>
      <c r="I4" s="14" t="s">
        <v>32</v>
      </c>
      <c r="J4" s="33">
        <f>E17/1.15</f>
        <v>43.478260869565219</v>
      </c>
      <c r="L4" s="11" t="s">
        <v>18</v>
      </c>
      <c r="M4" s="12">
        <f>IF(L18="Armadura Dupla",M5/J17*(J17-E10),0)</f>
        <v>0</v>
      </c>
      <c r="N4" s="34"/>
      <c r="O4" s="76"/>
      <c r="P4" s="13">
        <v>1</v>
      </c>
      <c r="Q4" s="13">
        <v>2</v>
      </c>
      <c r="R4" s="13">
        <v>3</v>
      </c>
      <c r="S4" s="13">
        <v>4</v>
      </c>
      <c r="T4" s="13">
        <v>5</v>
      </c>
      <c r="U4" s="34"/>
      <c r="V4" s="76"/>
      <c r="W4" s="13">
        <v>1</v>
      </c>
      <c r="X4" s="13">
        <v>2</v>
      </c>
      <c r="Y4" s="13">
        <v>3</v>
      </c>
      <c r="Z4" s="13">
        <v>4</v>
      </c>
      <c r="AA4" s="13">
        <v>5</v>
      </c>
      <c r="AB4" s="29"/>
      <c r="AD4" s="30"/>
      <c r="AE4" s="31"/>
      <c r="AG4" s="24"/>
      <c r="AH4" s="24"/>
    </row>
    <row r="5" spans="2:34" x14ac:dyDescent="0.25">
      <c r="B5" s="25"/>
      <c r="C5" s="32"/>
      <c r="D5" s="32"/>
      <c r="E5" s="32"/>
      <c r="F5" s="32"/>
      <c r="G5" s="26"/>
      <c r="L5" s="8" t="s">
        <v>19</v>
      </c>
      <c r="M5" s="9">
        <f>IF(I20="Domínio 3",3,10/(E9-J17)*J17)</f>
        <v>3</v>
      </c>
      <c r="N5" s="34"/>
      <c r="O5" s="18">
        <v>6.3</v>
      </c>
      <c r="P5" s="35">
        <f t="shared" ref="P5:T12" si="0">P$4*PI()*($O5/20)^2</f>
        <v>0.31172453105244724</v>
      </c>
      <c r="Q5" s="35">
        <f t="shared" si="0"/>
        <v>0.62344906210489448</v>
      </c>
      <c r="R5" s="35">
        <f t="shared" si="0"/>
        <v>0.93517359315734172</v>
      </c>
      <c r="S5" s="35">
        <f t="shared" si="0"/>
        <v>1.246898124209789</v>
      </c>
      <c r="T5" s="35">
        <f t="shared" si="0"/>
        <v>1.5586226552622362</v>
      </c>
      <c r="U5" s="34"/>
      <c r="V5" s="18">
        <v>6.3</v>
      </c>
      <c r="W5" s="35">
        <f t="shared" ref="W5:AA12" si="1">W$4*PI()*($O5/20)^2</f>
        <v>0.31172453105244724</v>
      </c>
      <c r="X5" s="35">
        <f t="shared" si="1"/>
        <v>0.62344906210489448</v>
      </c>
      <c r="Y5" s="35">
        <f t="shared" si="1"/>
        <v>0.93517359315734172</v>
      </c>
      <c r="Z5" s="35">
        <f t="shared" si="1"/>
        <v>1.246898124209789</v>
      </c>
      <c r="AA5" s="35">
        <f t="shared" si="1"/>
        <v>1.5586226552622362</v>
      </c>
      <c r="AB5" s="34"/>
      <c r="AD5" s="30"/>
      <c r="AE5" s="31"/>
      <c r="AG5" s="24"/>
      <c r="AH5" s="24"/>
    </row>
    <row r="6" spans="2:34" x14ac:dyDescent="0.25">
      <c r="B6" s="25"/>
      <c r="C6" s="32"/>
      <c r="D6" s="81" t="s">
        <v>0</v>
      </c>
      <c r="E6" s="82"/>
      <c r="F6" s="32"/>
      <c r="G6" s="26"/>
      <c r="I6" s="71" t="s">
        <v>35</v>
      </c>
      <c r="J6" s="72"/>
      <c r="N6" s="34"/>
      <c r="O6" s="18">
        <v>8</v>
      </c>
      <c r="P6" s="35">
        <f t="shared" si="0"/>
        <v>0.50265482457436694</v>
      </c>
      <c r="Q6" s="35">
        <f t="shared" si="0"/>
        <v>1.0053096491487339</v>
      </c>
      <c r="R6" s="35">
        <f t="shared" si="0"/>
        <v>1.5079644737231011</v>
      </c>
      <c r="S6" s="35">
        <f t="shared" si="0"/>
        <v>2.0106192982974678</v>
      </c>
      <c r="T6" s="35">
        <f t="shared" si="0"/>
        <v>2.5132741228718349</v>
      </c>
      <c r="U6" s="34"/>
      <c r="V6" s="18">
        <v>8</v>
      </c>
      <c r="W6" s="35">
        <f t="shared" si="1"/>
        <v>0.50265482457436694</v>
      </c>
      <c r="X6" s="35">
        <f t="shared" si="1"/>
        <v>1.0053096491487339</v>
      </c>
      <c r="Y6" s="35">
        <f t="shared" si="1"/>
        <v>1.5079644737231011</v>
      </c>
      <c r="Z6" s="35">
        <f t="shared" si="1"/>
        <v>2.0106192982974678</v>
      </c>
      <c r="AA6" s="35">
        <f t="shared" si="1"/>
        <v>2.5132741228718349</v>
      </c>
      <c r="AB6" s="34"/>
      <c r="AD6" s="30"/>
      <c r="AE6" s="31"/>
      <c r="AG6" s="24"/>
      <c r="AH6" s="24"/>
    </row>
    <row r="7" spans="2:34" x14ac:dyDescent="0.25">
      <c r="B7" s="25"/>
      <c r="C7" s="32"/>
      <c r="D7" s="36" t="s">
        <v>40</v>
      </c>
      <c r="E7" s="37">
        <v>100</v>
      </c>
      <c r="F7" s="32"/>
      <c r="G7" s="26"/>
      <c r="I7" s="14" t="s">
        <v>38</v>
      </c>
      <c r="J7" s="64">
        <f>J3*0.8*E7*J17</f>
        <v>118.50473487679177</v>
      </c>
      <c r="L7" s="71" t="s">
        <v>20</v>
      </c>
      <c r="M7" s="72"/>
      <c r="N7" s="34"/>
      <c r="O7" s="18">
        <v>10</v>
      </c>
      <c r="P7" s="35">
        <f t="shared" si="0"/>
        <v>0.78539816339744828</v>
      </c>
      <c r="Q7" s="35">
        <f t="shared" si="0"/>
        <v>1.5707963267948966</v>
      </c>
      <c r="R7" s="35">
        <f t="shared" si="0"/>
        <v>2.3561944901923448</v>
      </c>
      <c r="S7" s="35">
        <f t="shared" si="0"/>
        <v>3.1415926535897931</v>
      </c>
      <c r="T7" s="35">
        <f t="shared" si="0"/>
        <v>3.9269908169872414</v>
      </c>
      <c r="U7" s="34"/>
      <c r="V7" s="18">
        <v>10</v>
      </c>
      <c r="W7" s="35">
        <f t="shared" si="1"/>
        <v>0.78539816339744828</v>
      </c>
      <c r="X7" s="35">
        <f t="shared" si="1"/>
        <v>1.5707963267948966</v>
      </c>
      <c r="Y7" s="35">
        <f t="shared" si="1"/>
        <v>2.3561944901923448</v>
      </c>
      <c r="Z7" s="35">
        <f t="shared" si="1"/>
        <v>3.1415926535897931</v>
      </c>
      <c r="AA7" s="35">
        <f t="shared" si="1"/>
        <v>3.9269908169872414</v>
      </c>
      <c r="AB7" s="34"/>
      <c r="AD7" s="30"/>
      <c r="AE7" s="31"/>
      <c r="AG7" s="24"/>
      <c r="AH7" s="24"/>
    </row>
    <row r="8" spans="2:34" x14ac:dyDescent="0.25">
      <c r="B8" s="25"/>
      <c r="C8" s="32"/>
      <c r="D8" s="36" t="s">
        <v>1</v>
      </c>
      <c r="E8" s="37">
        <v>19</v>
      </c>
      <c r="F8" s="32"/>
      <c r="G8" s="26"/>
      <c r="I8" s="14" t="s">
        <v>36</v>
      </c>
      <c r="J8" s="64">
        <f>M12*M8</f>
        <v>118.50473487679179</v>
      </c>
      <c r="L8" s="15" t="s">
        <v>42</v>
      </c>
      <c r="M8" s="33">
        <f>MIN(21*M3,J4)</f>
        <v>43.478260869565219</v>
      </c>
      <c r="N8" s="34"/>
      <c r="O8" s="18">
        <v>12.5</v>
      </c>
      <c r="P8" s="35">
        <f t="shared" si="0"/>
        <v>1.227184630308513</v>
      </c>
      <c r="Q8" s="35">
        <f t="shared" si="0"/>
        <v>2.454369260617026</v>
      </c>
      <c r="R8" s="35">
        <f t="shared" si="0"/>
        <v>3.6815538909255388</v>
      </c>
      <c r="S8" s="35">
        <f t="shared" si="0"/>
        <v>4.908738521234052</v>
      </c>
      <c r="T8" s="35">
        <f t="shared" si="0"/>
        <v>6.1359231515425643</v>
      </c>
      <c r="U8" s="34"/>
      <c r="V8" s="18">
        <v>12.5</v>
      </c>
      <c r="W8" s="35">
        <f t="shared" si="1"/>
        <v>1.227184630308513</v>
      </c>
      <c r="X8" s="35">
        <f t="shared" si="1"/>
        <v>2.454369260617026</v>
      </c>
      <c r="Y8" s="35">
        <f t="shared" si="1"/>
        <v>3.6815538909255388</v>
      </c>
      <c r="Z8" s="35">
        <f t="shared" si="1"/>
        <v>4.908738521234052</v>
      </c>
      <c r="AA8" s="35">
        <f t="shared" si="1"/>
        <v>6.1359231515425643</v>
      </c>
      <c r="AB8" s="34"/>
      <c r="AD8" s="30"/>
      <c r="AE8" s="31"/>
    </row>
    <row r="9" spans="2:34" x14ac:dyDescent="0.25">
      <c r="B9" s="25"/>
      <c r="C9" s="32"/>
      <c r="D9" s="40" t="s">
        <v>2</v>
      </c>
      <c r="E9" s="41">
        <v>14</v>
      </c>
      <c r="F9" s="32"/>
      <c r="G9" s="26"/>
      <c r="I9" s="14" t="s">
        <v>37</v>
      </c>
      <c r="J9" s="64">
        <f>M13*M9</f>
        <v>0</v>
      </c>
      <c r="L9" s="15" t="s">
        <v>21</v>
      </c>
      <c r="M9" s="33">
        <f>IF(L18="Armadura Simples",0,MIN(21*M4,J4))</f>
        <v>0</v>
      </c>
      <c r="N9" s="34"/>
      <c r="O9" s="18">
        <v>16</v>
      </c>
      <c r="P9" s="35">
        <f t="shared" si="0"/>
        <v>2.0106192982974678</v>
      </c>
      <c r="Q9" s="35">
        <f t="shared" si="0"/>
        <v>4.0212385965949355</v>
      </c>
      <c r="R9" s="35">
        <f t="shared" si="0"/>
        <v>6.0318578948924042</v>
      </c>
      <c r="S9" s="35">
        <f t="shared" si="0"/>
        <v>8.0424771931898711</v>
      </c>
      <c r="T9" s="35">
        <f t="shared" si="0"/>
        <v>10.05309649148734</v>
      </c>
      <c r="U9" s="34"/>
      <c r="V9" s="18">
        <v>16</v>
      </c>
      <c r="W9" s="35">
        <f t="shared" si="1"/>
        <v>2.0106192982974678</v>
      </c>
      <c r="X9" s="35">
        <f t="shared" si="1"/>
        <v>4.0212385965949355</v>
      </c>
      <c r="Y9" s="35">
        <f t="shared" si="1"/>
        <v>6.0318578948924042</v>
      </c>
      <c r="Z9" s="35">
        <f t="shared" si="1"/>
        <v>8.0424771931898711</v>
      </c>
      <c r="AA9" s="35">
        <f t="shared" si="1"/>
        <v>10.05309649148734</v>
      </c>
      <c r="AB9" s="34"/>
      <c r="AD9" s="30"/>
      <c r="AE9" s="31"/>
    </row>
    <row r="10" spans="2:34" x14ac:dyDescent="0.25">
      <c r="B10" s="25"/>
      <c r="C10" s="32"/>
      <c r="D10" s="36" t="s">
        <v>10</v>
      </c>
      <c r="E10" s="37">
        <v>3.5</v>
      </c>
      <c r="F10" s="32"/>
      <c r="G10" s="26"/>
      <c r="O10" s="18">
        <v>20</v>
      </c>
      <c r="P10" s="35">
        <f t="shared" si="0"/>
        <v>3.1415926535897931</v>
      </c>
      <c r="Q10" s="35">
        <f t="shared" si="0"/>
        <v>6.2831853071795862</v>
      </c>
      <c r="R10" s="35">
        <f t="shared" si="0"/>
        <v>9.4247779607693793</v>
      </c>
      <c r="S10" s="35">
        <f t="shared" si="0"/>
        <v>12.566370614359172</v>
      </c>
      <c r="T10" s="35">
        <f t="shared" si="0"/>
        <v>15.707963267948966</v>
      </c>
      <c r="V10" s="18">
        <v>20</v>
      </c>
      <c r="W10" s="35">
        <f t="shared" si="1"/>
        <v>3.1415926535897931</v>
      </c>
      <c r="X10" s="35">
        <f t="shared" si="1"/>
        <v>6.2831853071795862</v>
      </c>
      <c r="Y10" s="35">
        <f t="shared" si="1"/>
        <v>9.4247779607693793</v>
      </c>
      <c r="Z10" s="35">
        <f t="shared" si="1"/>
        <v>12.566370614359172</v>
      </c>
      <c r="AA10" s="35">
        <f t="shared" si="1"/>
        <v>15.707963267948966</v>
      </c>
      <c r="AB10" s="34"/>
      <c r="AD10" s="30"/>
      <c r="AE10" s="31"/>
    </row>
    <row r="11" spans="2:34" x14ac:dyDescent="0.25">
      <c r="B11" s="25"/>
      <c r="C11" s="32"/>
      <c r="D11" s="32"/>
      <c r="E11" s="32"/>
      <c r="F11" s="32"/>
      <c r="G11" s="26"/>
      <c r="L11" s="71" t="s">
        <v>13</v>
      </c>
      <c r="M11" s="72"/>
      <c r="N11" s="27"/>
      <c r="O11" s="18">
        <v>22</v>
      </c>
      <c r="P11" s="35">
        <f t="shared" si="0"/>
        <v>3.8013271108436504</v>
      </c>
      <c r="Q11" s="35">
        <f t="shared" si="0"/>
        <v>7.6026542216873008</v>
      </c>
      <c r="R11" s="35">
        <f t="shared" si="0"/>
        <v>11.40398133253095</v>
      </c>
      <c r="S11" s="35">
        <f t="shared" si="0"/>
        <v>15.205308443374602</v>
      </c>
      <c r="T11" s="35">
        <f t="shared" si="0"/>
        <v>19.006635554218253</v>
      </c>
      <c r="V11" s="18">
        <v>22</v>
      </c>
      <c r="W11" s="35">
        <f t="shared" si="1"/>
        <v>3.8013271108436504</v>
      </c>
      <c r="X11" s="35">
        <f t="shared" si="1"/>
        <v>7.6026542216873008</v>
      </c>
      <c r="Y11" s="35">
        <f t="shared" si="1"/>
        <v>11.40398133253095</v>
      </c>
      <c r="Z11" s="35">
        <f t="shared" si="1"/>
        <v>15.205308443374602</v>
      </c>
      <c r="AA11" s="35">
        <f t="shared" si="1"/>
        <v>19.006635554218253</v>
      </c>
      <c r="AD11" s="30"/>
      <c r="AE11" s="31"/>
    </row>
    <row r="12" spans="2:34" x14ac:dyDescent="0.25">
      <c r="B12" s="25"/>
      <c r="C12" s="32"/>
      <c r="D12" s="83" t="s">
        <v>9</v>
      </c>
      <c r="E12" s="84"/>
      <c r="F12" s="32"/>
      <c r="G12" s="26"/>
      <c r="I12" s="71" t="s">
        <v>27</v>
      </c>
      <c r="J12" s="72"/>
      <c r="L12" s="42" t="s">
        <v>14</v>
      </c>
      <c r="M12" s="44">
        <f>(0.8*J3*E7*J17+M13*M9)/J4</f>
        <v>2.7256089021662109</v>
      </c>
      <c r="N12" s="45"/>
      <c r="O12" s="18">
        <v>25</v>
      </c>
      <c r="P12" s="35">
        <f t="shared" si="0"/>
        <v>4.908738521234052</v>
      </c>
      <c r="Q12" s="35">
        <f t="shared" si="0"/>
        <v>9.8174770424681039</v>
      </c>
      <c r="R12" s="35">
        <f t="shared" si="0"/>
        <v>14.726215563702155</v>
      </c>
      <c r="S12" s="35">
        <f t="shared" si="0"/>
        <v>19.634954084936208</v>
      </c>
      <c r="T12" s="35">
        <f t="shared" si="0"/>
        <v>24.543692606170257</v>
      </c>
      <c r="V12" s="18">
        <v>25</v>
      </c>
      <c r="W12" s="35">
        <f t="shared" si="1"/>
        <v>4.908738521234052</v>
      </c>
      <c r="X12" s="35">
        <f t="shared" si="1"/>
        <v>9.8174770424681039</v>
      </c>
      <c r="Y12" s="35">
        <f t="shared" si="1"/>
        <v>14.726215563702155</v>
      </c>
      <c r="Z12" s="35">
        <f t="shared" si="1"/>
        <v>19.634954084936208</v>
      </c>
      <c r="AA12" s="35">
        <f t="shared" si="1"/>
        <v>24.543692606170257</v>
      </c>
      <c r="AD12" s="30"/>
      <c r="AE12" s="31"/>
    </row>
    <row r="13" spans="2:34" x14ac:dyDescent="0.25">
      <c r="B13" s="25"/>
      <c r="C13" s="32"/>
      <c r="D13" s="36" t="s">
        <v>3</v>
      </c>
      <c r="E13" s="19">
        <v>1468</v>
      </c>
      <c r="F13" s="32"/>
      <c r="G13" s="26"/>
      <c r="I13" s="15" t="s">
        <v>43</v>
      </c>
      <c r="J13" s="63">
        <f>J7+J9-J8</f>
        <v>0</v>
      </c>
      <c r="L13" s="16" t="s">
        <v>15</v>
      </c>
      <c r="M13" s="44">
        <f>IF(L18="Armadura Dupla",(E13-J23)/(M9*(E9-E10)),0)</f>
        <v>0</v>
      </c>
      <c r="N13" s="47"/>
      <c r="AD13" s="30"/>
      <c r="AE13" s="31"/>
    </row>
    <row r="14" spans="2:34" x14ac:dyDescent="0.25">
      <c r="B14" s="25"/>
      <c r="C14" s="32"/>
      <c r="D14" s="32"/>
      <c r="E14" s="32"/>
      <c r="F14" s="32"/>
      <c r="G14" s="26"/>
      <c r="I14" s="15" t="s">
        <v>28</v>
      </c>
      <c r="J14" s="63">
        <f>J7*(E9-0.4*J17)+J9*(E9-E10)-E13</f>
        <v>0</v>
      </c>
      <c r="M14" s="47"/>
      <c r="N14" s="48"/>
      <c r="O14" s="78" t="str">
        <f>"Armadura Adotada (As1 = "&amp;TEXT(P15*PI()*(Q15/20)^2+R15*PI()*(S15/20)^2,"0,00")&amp;" cm²)"</f>
        <v>Armadura Adotada (As1 = 1,04 cm²)</v>
      </c>
      <c r="P14" s="79"/>
      <c r="Q14" s="79"/>
      <c r="R14" s="79"/>
      <c r="S14" s="79"/>
      <c r="T14" s="80"/>
      <c r="V14" s="78" t="str">
        <f>"Armadura Adotada (As2 = "&amp;TEXT(W15*PI()*(X15/20)^2+Y15*PI()*(Z15/20)^2,"0,00")&amp;" cm²)"</f>
        <v>Armadura Adotada (As2 = 0,79 cm²)</v>
      </c>
      <c r="W14" s="79"/>
      <c r="X14" s="79"/>
      <c r="Y14" s="79"/>
      <c r="Z14" s="79"/>
      <c r="AA14" s="80"/>
      <c r="AD14" s="30"/>
      <c r="AE14" s="31"/>
    </row>
    <row r="15" spans="2:34" x14ac:dyDescent="0.25">
      <c r="B15" s="25"/>
      <c r="C15" s="32"/>
      <c r="D15" s="83" t="s">
        <v>41</v>
      </c>
      <c r="E15" s="84"/>
      <c r="F15" s="32"/>
      <c r="G15" s="26"/>
      <c r="L15" s="71" t="s">
        <v>29</v>
      </c>
      <c r="M15" s="72"/>
      <c r="N15" s="50"/>
      <c r="O15" s="36"/>
      <c r="P15" s="1">
        <f>100/30</f>
        <v>3.3333333333333335</v>
      </c>
      <c r="Q15" s="2">
        <v>6.3</v>
      </c>
      <c r="R15" s="3"/>
      <c r="S15" s="4"/>
      <c r="T15" s="5"/>
      <c r="V15" s="36"/>
      <c r="W15" s="1">
        <v>0</v>
      </c>
      <c r="X15" s="2">
        <v>6.3</v>
      </c>
      <c r="Y15" s="3">
        <v>1</v>
      </c>
      <c r="Z15" s="4">
        <v>10</v>
      </c>
      <c r="AA15" s="5"/>
      <c r="AD15" s="30"/>
      <c r="AE15" s="31"/>
    </row>
    <row r="16" spans="2:34" x14ac:dyDescent="0.25">
      <c r="B16" s="25"/>
      <c r="C16" s="32"/>
      <c r="D16" s="6" t="s">
        <v>30</v>
      </c>
      <c r="E16" s="49">
        <v>1.05</v>
      </c>
      <c r="F16" s="32"/>
      <c r="G16" s="26"/>
      <c r="I16" s="71" t="s">
        <v>6</v>
      </c>
      <c r="J16" s="72"/>
      <c r="L16" s="42" t="s">
        <v>14</v>
      </c>
      <c r="M16" s="44">
        <f>0.15/100*E7*E9</f>
        <v>2.1</v>
      </c>
      <c r="AD16" s="30"/>
      <c r="AE16" s="31"/>
    </row>
    <row r="17" spans="2:32" x14ac:dyDescent="0.25">
      <c r="B17" s="25"/>
      <c r="C17" s="32"/>
      <c r="D17" s="7" t="s">
        <v>4</v>
      </c>
      <c r="E17" s="51">
        <v>50</v>
      </c>
      <c r="F17" s="32"/>
      <c r="G17" s="26"/>
      <c r="I17" s="38" t="s">
        <v>7</v>
      </c>
      <c r="J17" s="39">
        <f>IF(E13&lt;=J23,E9/0.8*(1-(1-2*E13/(J3*E7*E9^2))^0.5),J19)</f>
        <v>4.0307732951289719</v>
      </c>
      <c r="N17" s="52"/>
      <c r="P17" s="52"/>
      <c r="Q17" s="24"/>
      <c r="R17" s="53"/>
      <c r="T17" s="54"/>
      <c r="AD17" s="30"/>
      <c r="AE17" s="31"/>
    </row>
    <row r="18" spans="2:32" x14ac:dyDescent="0.25">
      <c r="B18" s="25"/>
      <c r="C18" s="32"/>
      <c r="D18" s="32"/>
      <c r="E18" s="32"/>
      <c r="F18" s="32"/>
      <c r="G18" s="26"/>
      <c r="I18" s="42" t="s">
        <v>26</v>
      </c>
      <c r="J18" s="43">
        <f>3/13*E9</f>
        <v>3.2307692307692308</v>
      </c>
      <c r="K18" s="55"/>
      <c r="L18" s="78" t="str">
        <f>IF(E13&lt;=J23,"Armadura Simples","Armadura Dupla")</f>
        <v>Armadura Simples</v>
      </c>
      <c r="M18" s="80"/>
      <c r="O18" s="55"/>
      <c r="P18"/>
      <c r="Q18" s="55"/>
      <c r="R18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</row>
    <row r="19" spans="2:32" x14ac:dyDescent="0.25">
      <c r="B19" s="56"/>
      <c r="C19" s="57"/>
      <c r="D19" s="83" t="s">
        <v>33</v>
      </c>
      <c r="E19" s="84"/>
      <c r="F19" s="57"/>
      <c r="G19" s="58"/>
      <c r="I19" s="42" t="s">
        <v>11</v>
      </c>
      <c r="J19" s="43">
        <f>0.45*E9</f>
        <v>6.3</v>
      </c>
      <c r="K19" s="55"/>
      <c r="L19" s="85"/>
      <c r="M19" s="86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</row>
    <row r="20" spans="2:32" x14ac:dyDescent="0.25">
      <c r="B20" s="56"/>
      <c r="C20" s="57"/>
      <c r="D20" s="6" t="s">
        <v>34</v>
      </c>
      <c r="E20" s="59">
        <v>1</v>
      </c>
      <c r="F20" s="57"/>
      <c r="G20" s="58"/>
      <c r="I20" s="71" t="str">
        <f>IF(J17&lt;0,"Domínio 1",IF(J17&lt;0.259*E9,"Domínio 2",IF(J17&lt;0.629*E9,"Domínio 3",IF(J17&lt;E9,"Domínio 4","Domínio 5"))))</f>
        <v>Domínio 3</v>
      </c>
      <c r="J20" s="72"/>
      <c r="K20" s="55"/>
      <c r="L20" s="87"/>
      <c r="M20" s="88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</row>
    <row r="21" spans="2:32" ht="15.75" thickBot="1" x14ac:dyDescent="0.3">
      <c r="B21" s="60"/>
      <c r="C21" s="61"/>
      <c r="D21" s="61"/>
      <c r="E21" s="61"/>
      <c r="F21" s="61"/>
      <c r="G21" s="62"/>
    </row>
    <row r="22" spans="2:32" x14ac:dyDescent="0.25">
      <c r="I22" s="71" t="s">
        <v>39</v>
      </c>
      <c r="J22" s="72"/>
    </row>
    <row r="23" spans="2:32" x14ac:dyDescent="0.25">
      <c r="I23" s="42" t="s">
        <v>12</v>
      </c>
      <c r="J23" s="46">
        <f>J3*0.8*E7*J19*(E9-0.4*J19)</f>
        <v>2126.3256000000001</v>
      </c>
    </row>
  </sheetData>
  <sheetProtection algorithmName="SHA-512" hashValue="ikUHsPzQiNdmEq/BTkdfvAgi784IoG13wKDTvEVyjNSigLHzyB2EwUINnEJwt/t3FcIEYHk+YOuM8vpNB20glQ==" saltValue="8H48Fxa9uOzO7xn3lJwjpQ==" spinCount="100000" sheet="1" objects="1" scenarios="1" selectLockedCells="1"/>
  <mergeCells count="24">
    <mergeCell ref="I22:J22"/>
    <mergeCell ref="D15:E15"/>
    <mergeCell ref="L15:M15"/>
    <mergeCell ref="O14:T14"/>
    <mergeCell ref="L18:M20"/>
    <mergeCell ref="V14:AA14"/>
    <mergeCell ref="D6:E6"/>
    <mergeCell ref="I16:J16"/>
    <mergeCell ref="L7:M7"/>
    <mergeCell ref="I20:J20"/>
    <mergeCell ref="L11:M11"/>
    <mergeCell ref="D12:E12"/>
    <mergeCell ref="I6:J6"/>
    <mergeCell ref="I12:J12"/>
    <mergeCell ref="D19:E19"/>
    <mergeCell ref="C3:F4"/>
    <mergeCell ref="I2:J2"/>
    <mergeCell ref="L2:M2"/>
    <mergeCell ref="O2:T2"/>
    <mergeCell ref="V2:AA2"/>
    <mergeCell ref="O3:O4"/>
    <mergeCell ref="P3:T3"/>
    <mergeCell ref="V3:V4"/>
    <mergeCell ref="W3:AA3"/>
  </mergeCells>
  <phoneticPr fontId="6" type="noConversion"/>
  <conditionalFormatting sqref="O15:T15">
    <cfRule type="expression" dxfId="7" priority="65">
      <formula>$P$15*PI()*($Q$15/20)^2+$R$15*PI()*($S$15/20)^2&lt;$M$12</formula>
    </cfRule>
    <cfRule type="expression" dxfId="6" priority="66">
      <formula>$P$15*PI()*($Q$15/20)^2+$R$15*PI()*($S$15/20)^2&gt;=$M$12</formula>
    </cfRule>
  </conditionalFormatting>
  <conditionalFormatting sqref="P5:T12">
    <cfRule type="cellIs" dxfId="5" priority="61" operator="lessThan">
      <formula>$M$12</formula>
    </cfRule>
    <cfRule type="cellIs" dxfId="4" priority="62" operator="greaterThan">
      <formula>$M$12</formula>
    </cfRule>
  </conditionalFormatting>
  <conditionalFormatting sqref="V15:AA15">
    <cfRule type="expression" dxfId="3" priority="67">
      <formula>$W$15*PI()*($X$15/20)^2+$Y$15*PI()*($Z$15/20)^2&lt;$M$13</formula>
    </cfRule>
    <cfRule type="expression" dxfId="2" priority="68">
      <formula>$W$15*PI()*($X$15/20)^2+$Y$15*PI()*($Z$15/20)^2&gt;=$M$13</formula>
    </cfRule>
  </conditionalFormatting>
  <conditionalFormatting sqref="W5:AA12">
    <cfRule type="cellIs" dxfId="1" priority="63" operator="lessThan">
      <formula>$M$13</formula>
    </cfRule>
    <cfRule type="cellIs" dxfId="0" priority="64" operator="greaterThan">
      <formula>$M$13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Retangular</vt:lpstr>
      <vt:lpstr>Retangular!Armação</vt:lpstr>
      <vt:lpstr>Retangular!Duas</vt:lpstr>
      <vt:lpstr>Retangular!Uma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Carini</dc:creator>
  <cp:lastModifiedBy>Matheus Carini</cp:lastModifiedBy>
  <dcterms:created xsi:type="dcterms:W3CDTF">2017-09-15T19:56:45Z</dcterms:created>
  <dcterms:modified xsi:type="dcterms:W3CDTF">2025-01-02T21:28:56Z</dcterms:modified>
</cp:coreProperties>
</file>