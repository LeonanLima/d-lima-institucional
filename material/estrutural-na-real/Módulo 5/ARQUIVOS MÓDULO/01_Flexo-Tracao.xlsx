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jes" sheetId="1" r:id="rId4"/>
  </sheets>
  <definedNames>
    <definedName name="Armação">Lajes!#REF!</definedName>
    <definedName name="Duas">Lajes!#REF!</definedName>
    <definedName name="Uma">Lajes!#REF!</definedName>
  </definedNames>
  <calcPr/>
  <extLst>
    <ext uri="GoogleSheetsCustomDataVersion2">
      <go:sheetsCustomData xmlns:go="http://customooxmlschemas.google.com/" r:id="rId5" roundtripDataChecksum="8Mksx3nfchZyOVMA3w5mmLMBKQMfbgMFXoREUCpwK50="/>
    </ext>
  </extLst>
</workbook>
</file>

<file path=xl/sharedStrings.xml><?xml version="1.0" encoding="utf-8"?>
<sst xmlns="http://schemas.openxmlformats.org/spreadsheetml/2006/main" count="44" uniqueCount="42">
  <si>
    <t>Parâmetros</t>
  </si>
  <si>
    <t>Dados</t>
  </si>
  <si>
    <t>λ</t>
  </si>
  <si>
    <t>Deformações</t>
  </si>
  <si>
    <t>As1 (cm²/m)</t>
  </si>
  <si>
    <r>
      <rPr>
        <rFont val="Calibri"/>
        <color theme="1"/>
        <sz val="11.0"/>
      </rPr>
      <t>αc</t>
    </r>
  </si>
  <si>
    <t>ε1</t>
  </si>
  <si>
    <t>s</t>
  </si>
  <si>
    <r>
      <rPr>
        <rFont val="Calibri"/>
        <color theme="1"/>
        <sz val="11.0"/>
      </rPr>
      <t>ƞ</t>
    </r>
    <r>
      <rPr>
        <rFont val="Calibri"/>
        <color theme="1"/>
        <sz val="11.0"/>
      </rPr>
      <t>c</t>
    </r>
  </si>
  <si>
    <t>ε2</t>
  </si>
  <si>
    <t>Geometria</t>
  </si>
  <si>
    <t>εc</t>
  </si>
  <si>
    <t>b</t>
  </si>
  <si>
    <t>Resist. de Projeto</t>
  </si>
  <si>
    <t>h</t>
  </si>
  <si>
    <t>fcd</t>
  </si>
  <si>
    <t>Linha Neutra</t>
  </si>
  <si>
    <t>d</t>
  </si>
  <si>
    <t>fyd</t>
  </si>
  <si>
    <t>xduc</t>
  </si>
  <si>
    <t>d'</t>
  </si>
  <si>
    <t>x</t>
  </si>
  <si>
    <t>Excentricidades</t>
  </si>
  <si>
    <t>As2 (cm²/m)</t>
  </si>
  <si>
    <t>Solicitação</t>
  </si>
  <si>
    <t>e0</t>
  </si>
  <si>
    <t>Nd</t>
  </si>
  <si>
    <t>e1</t>
  </si>
  <si>
    <t>Tensões</t>
  </si>
  <si>
    <t>Md</t>
  </si>
  <si>
    <t>e2</t>
  </si>
  <si>
    <t>σ2</t>
  </si>
  <si>
    <t>Materiais</t>
  </si>
  <si>
    <t>Momentos Fletores</t>
  </si>
  <si>
    <t>Armaduras</t>
  </si>
  <si>
    <t>fck</t>
  </si>
  <si>
    <t>Md,min</t>
  </si>
  <si>
    <t>As1</t>
  </si>
  <si>
    <t>fyk</t>
  </si>
  <si>
    <t>Md,duc</t>
  </si>
  <si>
    <t>As2</t>
  </si>
  <si>
    <t>c/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</si>
</sst>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_-&quot;R$&quot;\ * #,##0.00_-;\-&quot;R$&quot;\ * #,##0.00_-;_-&quot;R$&quot;\ * &quot;-&quot;??_-;_-@"/>
    <numFmt numFmtId="165" formatCode="0.00&quot; ‰&quot;"/>
    <numFmt numFmtId="166" formatCode="0&quot; cm&quot;"/>
    <numFmt numFmtId="167" formatCode="\Ø0.0"/>
    <numFmt numFmtId="168" formatCode="0.0&quot; cm&quot;"/>
    <numFmt numFmtId="169" formatCode="0.00&quot; kN/cm²&quot;"/>
    <numFmt numFmtId="170" formatCode="0.00&quot; cm&quot;"/>
    <numFmt numFmtId="171" formatCode="0.0&quot; kN/m&quot;"/>
    <numFmt numFmtId="172" formatCode="0&quot; kNcm/m&quot;"/>
    <numFmt numFmtId="173" formatCode="0.0&quot; cm³&quot;"/>
    <numFmt numFmtId="174" formatCode="&quot;+ &quot;0"/>
    <numFmt numFmtId="175" formatCode="0.0&quot; kN/cm²&quot;"/>
    <numFmt numFmtId="176" formatCode="0.00&quot; cm²/m&quot;"/>
    <numFmt numFmtId="177" formatCode="0.0"/>
    <numFmt numFmtId="178" formatCode="0.000%"/>
    <numFmt numFmtId="179" formatCode="0&quot; kNcm&quot;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20.0"/>
      <color theme="1"/>
      <name val="Calibri"/>
    </font>
    <font>
      <sz val="11.0"/>
      <color rgb="FF9C0006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34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0" fontId="3" numFmtId="0" xfId="0" applyBorder="1" applyFont="1"/>
    <xf borderId="1" fillId="2" fontId="1" numFmtId="0" xfId="0" applyAlignment="1" applyBorder="1" applyFont="1">
      <alignment vertical="center"/>
    </xf>
    <xf borderId="7" fillId="3" fontId="1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3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13" fillId="2" fontId="1" numFmtId="2" xfId="0" applyAlignment="1" applyBorder="1" applyFont="1" applyNumberFormat="1">
      <alignment horizontal="center" vertical="center"/>
    </xf>
    <xf borderId="14" fillId="2" fontId="2" numFmtId="164" xfId="0" applyAlignment="1" applyBorder="1" applyFont="1" applyNumberFormat="1">
      <alignment horizontal="center" vertical="center"/>
    </xf>
    <xf borderId="15" fillId="0" fontId="3" numFmtId="0" xfId="0" applyBorder="1" applyFont="1"/>
    <xf borderId="1" fillId="2" fontId="2" numFmtId="0" xfId="0" applyAlignment="1" applyBorder="1" applyFont="1">
      <alignment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2" fontId="1" numFmtId="0" xfId="0" applyAlignment="1" applyBorder="1" applyFont="1">
      <alignment horizontal="center" vertical="center"/>
    </xf>
    <xf borderId="21" fillId="2" fontId="1" numFmtId="2" xfId="0" applyAlignment="1" applyBorder="1" applyFont="1" applyNumberFormat="1">
      <alignment horizontal="center" vertical="center"/>
    </xf>
    <xf borderId="20" fillId="2" fontId="1" numFmtId="0" xfId="0" applyAlignment="1" applyBorder="1" applyFont="1">
      <alignment horizontal="center"/>
    </xf>
    <xf borderId="21" fillId="2" fontId="1" numFmtId="165" xfId="0" applyAlignment="1" applyBorder="1" applyFont="1" applyNumberFormat="1">
      <alignment horizontal="right" vertical="center"/>
    </xf>
    <xf borderId="1" fillId="2" fontId="2" numFmtId="166" xfId="0" applyAlignment="1" applyBorder="1" applyFont="1" applyNumberFormat="1">
      <alignment horizontal="center" vertical="center"/>
    </xf>
    <xf borderId="22" fillId="2" fontId="2" numFmtId="0" xfId="0" applyAlignment="1" applyBorder="1" applyFont="1">
      <alignment horizontal="center" vertical="center"/>
    </xf>
    <xf borderId="22" fillId="2" fontId="2" numFmtId="166" xfId="0" applyAlignment="1" applyBorder="1" applyFont="1" applyNumberFormat="1">
      <alignment horizontal="center" vertical="center"/>
    </xf>
    <xf borderId="1" fillId="2" fontId="2" numFmtId="166" xfId="0" applyAlignment="1" applyBorder="1" applyFont="1" applyNumberFormat="1">
      <alignment vertical="center"/>
    </xf>
    <xf borderId="1" fillId="2" fontId="2" numFmtId="166" xfId="0" applyAlignment="1" applyBorder="1" applyFont="1" applyNumberFormat="1">
      <alignment shrinkToFit="0" vertical="center" wrapText="1"/>
    </xf>
    <xf borderId="1" fillId="3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/>
    </xf>
    <xf borderId="24" fillId="2" fontId="1" numFmtId="165" xfId="0" applyAlignment="1" applyBorder="1" applyFont="1" applyNumberFormat="1">
      <alignment horizontal="right" vertical="center"/>
    </xf>
    <xf borderId="1" fillId="2" fontId="1" numFmtId="2" xfId="0" applyAlignment="1" applyBorder="1" applyFont="1" applyNumberFormat="1">
      <alignment horizontal="center" vertical="center"/>
    </xf>
    <xf borderId="22" fillId="2" fontId="2" numFmtId="167" xfId="0" applyAlignment="1" applyBorder="1" applyFont="1" applyNumberFormat="1">
      <alignment horizontal="center" vertical="center"/>
    </xf>
    <xf borderId="22" fillId="2" fontId="1" numFmtId="2" xfId="0" applyAlignment="1" applyBorder="1" applyFont="1" applyNumberFormat="1">
      <alignment horizontal="center" vertical="center"/>
    </xf>
    <xf borderId="1" fillId="2" fontId="2" numFmtId="1" xfId="0" applyAlignment="1" applyBorder="1" applyFont="1" applyNumberFormat="1">
      <alignment horizontal="center" vertical="center"/>
    </xf>
    <xf borderId="14" fillId="2" fontId="2" numFmtId="0" xfId="0" applyAlignment="1" applyBorder="1" applyFont="1">
      <alignment horizontal="center" vertical="center"/>
    </xf>
    <xf borderId="1" fillId="2" fontId="2" numFmtId="167" xfId="0" applyAlignment="1" applyBorder="1" applyFont="1" applyNumberFormat="1">
      <alignment horizontal="center" vertical="center"/>
    </xf>
    <xf borderId="21" fillId="2" fontId="1" numFmtId="168" xfId="0" applyAlignment="1" applyBorder="1" applyFont="1" applyNumberFormat="1">
      <alignment horizontal="right" vertical="center"/>
    </xf>
    <xf borderId="21" fillId="2" fontId="1" numFmtId="169" xfId="0" applyAlignment="1" applyBorder="1" applyFont="1" applyNumberFormat="1">
      <alignment horizontal="right" vertical="center"/>
    </xf>
    <xf borderId="25" fillId="2" fontId="1" numFmtId="0" xfId="0" applyAlignment="1" applyBorder="1" applyFont="1">
      <alignment horizontal="center" vertical="center"/>
    </xf>
    <xf borderId="26" fillId="2" fontId="1" numFmtId="168" xfId="0" applyAlignment="1" applyBorder="1" applyFont="1" applyNumberFormat="1">
      <alignment horizontal="right" vertical="center"/>
    </xf>
    <xf borderId="21" fillId="2" fontId="1" numFmtId="170" xfId="0" applyAlignment="1" applyBorder="1" applyFont="1" applyNumberFormat="1">
      <alignment horizontal="right" vertical="center"/>
    </xf>
    <xf borderId="13" fillId="2" fontId="1" numFmtId="170" xfId="0" applyAlignment="1" applyBorder="1" applyFont="1" applyNumberFormat="1">
      <alignment horizontal="right" vertical="center"/>
    </xf>
    <xf borderId="21" fillId="2" fontId="1" numFmtId="168" xfId="0" applyAlignment="1" applyBorder="1" applyFont="1" applyNumberFormat="1">
      <alignment horizontal="center" vertical="center"/>
    </xf>
    <xf borderId="21" fillId="2" fontId="1" numFmtId="171" xfId="0" applyAlignment="1" applyBorder="1" applyFont="1" applyNumberFormat="1">
      <alignment horizontal="right" vertical="center"/>
    </xf>
    <xf borderId="1" fillId="2" fontId="1" numFmtId="169" xfId="0" applyAlignment="1" applyBorder="1" applyFont="1" applyNumberFormat="1">
      <alignment vertical="center"/>
    </xf>
    <xf borderId="21" fillId="2" fontId="1" numFmtId="172" xfId="0" applyAlignment="1" applyBorder="1" applyFont="1" applyNumberFormat="1">
      <alignment horizontal="right" vertical="center"/>
    </xf>
    <xf borderId="1" fillId="2" fontId="1" numFmtId="173" xfId="0" applyAlignment="1" applyBorder="1" applyFont="1" applyNumberFormat="1">
      <alignment vertical="center"/>
    </xf>
    <xf borderId="1" fillId="2" fontId="1" numFmtId="172" xfId="0" applyAlignment="1" applyBorder="1" applyFont="1" applyNumberFormat="1">
      <alignment vertical="center"/>
    </xf>
    <xf borderId="1" fillId="2" fontId="1" numFmtId="170" xfId="0" applyAlignment="1" applyBorder="1" applyFont="1" applyNumberFormat="1">
      <alignment vertical="center"/>
    </xf>
    <xf borderId="1" fillId="2" fontId="1" numFmtId="1" xfId="0" applyAlignment="1" applyBorder="1" applyFont="1" applyNumberFormat="1">
      <alignment horizontal="right" vertical="center"/>
    </xf>
    <xf borderId="1" fillId="2" fontId="1" numFmtId="167" xfId="0" applyAlignment="1" applyBorder="1" applyFont="1" applyNumberFormat="1">
      <alignment horizontal="center" vertical="center"/>
    </xf>
    <xf borderId="1" fillId="2" fontId="1" numFmtId="174" xfId="0" applyAlignment="1" applyBorder="1" applyFont="1" applyNumberFormat="1">
      <alignment horizontal="center" vertical="center"/>
    </xf>
    <xf borderId="1" fillId="2" fontId="1" numFmtId="167" xfId="0" applyAlignment="1" applyBorder="1" applyFont="1" applyNumberFormat="1">
      <alignment horizontal="left" vertical="center"/>
    </xf>
    <xf borderId="21" fillId="2" fontId="1" numFmtId="175" xfId="0" applyAlignment="1" applyBorder="1" applyFont="1" applyNumberFormat="1">
      <alignment horizontal="right" vertical="center"/>
    </xf>
    <xf borderId="21" fillId="2" fontId="1" numFmtId="176" xfId="0" applyAlignment="1" applyBorder="1" applyFont="1" applyNumberFormat="1">
      <alignment horizontal="right" vertical="center"/>
    </xf>
    <xf borderId="1" fillId="2" fontId="1" numFmtId="176" xfId="0" applyAlignment="1" applyBorder="1" applyFont="1" applyNumberFormat="1">
      <alignment vertical="center"/>
    </xf>
    <xf borderId="1" fillId="2" fontId="1" numFmtId="177" xfId="0" applyAlignment="1" applyBorder="1" applyFont="1" applyNumberFormat="1">
      <alignment horizontal="center" vertical="center"/>
    </xf>
    <xf borderId="1" fillId="2" fontId="1" numFmtId="178" xfId="0" applyAlignment="1" applyBorder="1" applyFont="1" applyNumberFormat="1">
      <alignment horizontal="center" vertical="center"/>
    </xf>
    <xf borderId="1" fillId="2" fontId="1" numFmtId="0" xfId="0" applyBorder="1" applyFont="1"/>
    <xf borderId="20" fillId="2" fontId="1" numFmtId="167" xfId="0" applyAlignment="1" applyBorder="1" applyFont="1" applyNumberFormat="1">
      <alignment horizontal="center" vertical="center"/>
    </xf>
    <xf borderId="27" fillId="3" fontId="1" numFmtId="0" xfId="0" applyAlignment="1" applyBorder="1" applyFont="1">
      <alignment horizontal="center" vertical="center"/>
    </xf>
    <xf borderId="28" fillId="3" fontId="1" numFmtId="0" xfId="0" applyAlignment="1" applyBorder="1" applyFont="1">
      <alignment horizontal="center" vertical="center"/>
    </xf>
    <xf borderId="29" fillId="3" fontId="1" numFmtId="0" xfId="0" applyAlignment="1" applyBorder="1" applyFont="1">
      <alignment horizontal="center" vertical="center"/>
    </xf>
    <xf borderId="30" fillId="0" fontId="3" numFmtId="0" xfId="0" applyBorder="1" applyFont="1"/>
    <xf borderId="23" fillId="2" fontId="2" numFmtId="0" xfId="0" applyAlignment="1" applyBorder="1" applyFont="1">
      <alignment vertical="center"/>
    </xf>
    <xf borderId="20" fillId="2" fontId="1" numFmtId="176" xfId="0" applyAlignment="1" applyBorder="1" applyFont="1" applyNumberFormat="1">
      <alignment vertical="center"/>
    </xf>
    <xf borderId="31" fillId="2" fontId="1" numFmtId="167" xfId="0" applyAlignment="1" applyBorder="1" applyFont="1" applyNumberFormat="1">
      <alignment horizontal="right" readingOrder="0" vertical="center"/>
    </xf>
    <xf borderId="31" fillId="2" fontId="1" numFmtId="0" xfId="0" applyAlignment="1" applyBorder="1" applyFont="1">
      <alignment horizontal="center" vertical="center"/>
    </xf>
    <xf borderId="31" fillId="2" fontId="1" numFmtId="166" xfId="0" applyAlignment="1" applyBorder="1" applyFont="1" applyNumberFormat="1">
      <alignment horizontal="left" vertical="center"/>
    </xf>
    <xf borderId="21" fillId="2" fontId="1" numFmtId="0" xfId="0" applyAlignment="1" applyBorder="1" applyFont="1">
      <alignment horizontal="center" vertical="center"/>
    </xf>
    <xf borderId="31" fillId="2" fontId="1" numFmtId="167" xfId="0" applyAlignment="1" applyBorder="1" applyFont="1" applyNumberFormat="1">
      <alignment horizontal="right" vertical="center"/>
    </xf>
    <xf borderId="1" fillId="2" fontId="5" numFmtId="0" xfId="0" applyAlignment="1" applyBorder="1" applyFont="1">
      <alignment vertical="center"/>
    </xf>
    <xf borderId="32" fillId="2" fontId="2" numFmtId="0" xfId="0" applyAlignment="1" applyBorder="1" applyFont="1">
      <alignment horizontal="center" vertical="center"/>
    </xf>
    <xf borderId="33" fillId="0" fontId="3" numFmtId="0" xfId="0" applyBorder="1" applyFont="1"/>
    <xf borderId="1" fillId="2" fontId="1" numFmtId="179" xfId="0" applyAlignment="1" applyBorder="1" applyFont="1" applyNumberFormat="1">
      <alignment horizontal="center" vertical="center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hyperlink" Target="https://www.instagram.com/professordeestruturas/" TargetMode="External"/><Relationship Id="rId3" Type="http://schemas.openxmlformats.org/officeDocument/2006/relationships/image" Target="../media/image1.png"/><Relationship Id="rId4" Type="http://schemas.openxmlformats.org/officeDocument/2006/relationships/hyperlink" Target="mailto:matheuscarini@gmail.com" TargetMode="External"/><Relationship Id="rId5" Type="http://schemas.openxmlformats.org/officeDocument/2006/relationships/image" Target="../media/image4.png"/><Relationship Id="rId6" Type="http://schemas.openxmlformats.org/officeDocument/2006/relationships/hyperlink" Target="https://professordeestruturas.com.br/" TargetMode="External"/><Relationship Id="rId7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21</xdr:row>
      <xdr:rowOff>171450</xdr:rowOff>
    </xdr:from>
    <xdr:ext cx="10315575" cy="352425"/>
    <xdr:grpSp>
      <xdr:nvGrpSpPr>
        <xdr:cNvPr id="2" name="Shape 2"/>
        <xdr:cNvGrpSpPr/>
      </xdr:nvGrpSpPr>
      <xdr:grpSpPr>
        <a:xfrm>
          <a:off x="188213" y="3603788"/>
          <a:ext cx="10315575" cy="352425"/>
          <a:chOff x="188213" y="3603788"/>
          <a:chExt cx="10315575" cy="352425"/>
        </a:xfrm>
      </xdr:grpSpPr>
      <xdr:grpSp>
        <xdr:nvGrpSpPr>
          <xdr:cNvPr id="3" name="Shape 3"/>
          <xdr:cNvGrpSpPr/>
        </xdr:nvGrpSpPr>
        <xdr:grpSpPr>
          <a:xfrm>
            <a:off x="188213" y="3603788"/>
            <a:ext cx="10315575" cy="352425"/>
            <a:chOff x="323850" y="6010275"/>
            <a:chExt cx="10264486" cy="327146"/>
          </a:xfrm>
        </xdr:grpSpPr>
        <xdr:sp>
          <xdr:nvSpPr>
            <xdr:cNvPr id="4" name="Shape 4"/>
            <xdr:cNvSpPr/>
          </xdr:nvSpPr>
          <xdr:spPr>
            <a:xfrm>
              <a:off x="323850" y="6010275"/>
              <a:ext cx="10264475" cy="327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23850" y="6029324"/>
              <a:ext cx="10077450" cy="299173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6" name="Shape 6"/>
            <xdr:cNvGrpSpPr/>
          </xdr:nvGrpSpPr>
          <xdr:grpSpPr>
            <a:xfrm>
              <a:off x="7286625" y="6010275"/>
              <a:ext cx="1050318" cy="301476"/>
              <a:chOff x="7286625" y="6010275"/>
              <a:chExt cx="1050318" cy="301476"/>
            </a:xfrm>
          </xdr:grpSpPr>
          <xdr:pic>
            <xdr:nvPicPr>
              <xdr:cNvPr id="7" name="Shape 7">
                <a:hlinkClick r:id="rId2"/>
              </xdr:cNvPr>
              <xdr:cNvPicPr preferRelativeResize="0"/>
            </xdr:nvPicPr>
            <xdr:blipFill rotWithShape="1">
              <a:blip r:embed="rId3">
                <a:alphaModFix/>
              </a:blip>
              <a:srcRect b="0" l="0" r="0" t="0"/>
              <a:stretch/>
            </xdr:blipFill>
            <xdr:spPr>
              <a:xfrm>
                <a:off x="7286625" y="6070692"/>
                <a:ext cx="204404" cy="203388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8" name="Shape 8">
                <a:hlinkClick r:id="rId4"/>
              </xdr:cNvPr>
              <xdr:cNvPicPr preferRelativeResize="0"/>
            </xdr:nvPicPr>
            <xdr:blipFill rotWithShape="1">
              <a:blip r:embed="rId5">
                <a:alphaModFix/>
              </a:blip>
              <a:srcRect b="0" l="0" r="0" t="0"/>
              <a:stretch/>
            </xdr:blipFill>
            <xdr:spPr>
              <a:xfrm>
                <a:off x="8033331" y="6010275"/>
                <a:ext cx="303612" cy="30147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9" name="Shape 9">
                <a:hlinkClick r:id="rId6"/>
              </xdr:cNvPr>
              <xdr:cNvPicPr preferRelativeResize="0"/>
            </xdr:nvPicPr>
            <xdr:blipFill rotWithShape="1">
              <a:blip r:embed="rId7">
                <a:alphaModFix/>
              </a:blip>
              <a:srcRect b="0" l="0" r="0" t="0"/>
              <a:stretch/>
            </xdr:blipFill>
            <xdr:spPr>
              <a:xfrm>
                <a:off x="7644665" y="6072778"/>
                <a:ext cx="228600" cy="19921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sp>
          <xdr:nvSpPr>
            <xdr:cNvPr id="10" name="Shape 10"/>
            <xdr:cNvSpPr txBox="1"/>
          </xdr:nvSpPr>
          <xdr:spPr>
            <a:xfrm>
              <a:off x="9588211" y="6051671"/>
              <a:ext cx="1000125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lt1"/>
                  </a:solidFill>
                  <a:latin typeface="Arial"/>
                  <a:ea typeface="Arial"/>
                  <a:cs typeface="Arial"/>
                  <a:sym typeface="Arial"/>
                </a:rPr>
                <a:t>20231012</a:t>
              </a:r>
              <a:endParaRPr sz="14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.57"/>
    <col customWidth="1" min="3" max="3" width="9.14"/>
    <col customWidth="1" min="4" max="4" width="4.57"/>
    <col customWidth="1" min="5" max="5" width="13.71"/>
    <col customWidth="1" min="6" max="6" width="9.14"/>
    <col customWidth="1" min="7" max="8" width="4.57"/>
    <col customWidth="1" min="9" max="9" width="7.14"/>
    <col customWidth="1" min="10" max="10" width="13.57"/>
    <col customWidth="1" min="11" max="11" width="5.71"/>
    <col customWidth="1" min="12" max="12" width="6.29"/>
    <col customWidth="1" min="13" max="13" width="12.43"/>
    <col customWidth="1" min="14" max="14" width="5.71"/>
    <col customWidth="1" min="15" max="15" width="7.29"/>
    <col customWidth="1" min="16" max="20" width="6.0"/>
    <col customWidth="1" min="21" max="21" width="6.14"/>
    <col customWidth="1" min="22" max="28" width="6.0"/>
    <col customWidth="1" min="29" max="32" width="9.14"/>
    <col customWidth="1" min="33" max="34" width="18.0"/>
    <col customWidth="1" min="35" max="41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>
      <c r="A2" s="1"/>
      <c r="B2" s="2"/>
      <c r="C2" s="3"/>
      <c r="D2" s="3"/>
      <c r="E2" s="3"/>
      <c r="F2" s="3"/>
      <c r="G2" s="4"/>
      <c r="H2" s="1"/>
      <c r="I2" s="5" t="s">
        <v>0</v>
      </c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7"/>
      <c r="AI2" s="1"/>
      <c r="AJ2" s="1"/>
      <c r="AK2" s="1"/>
      <c r="AL2" s="1"/>
      <c r="AM2" s="1"/>
      <c r="AN2" s="1"/>
      <c r="AO2" s="1"/>
    </row>
    <row r="3">
      <c r="A3" s="1"/>
      <c r="B3" s="8"/>
      <c r="C3" s="9" t="s">
        <v>1</v>
      </c>
      <c r="D3" s="10"/>
      <c r="E3" s="10"/>
      <c r="F3" s="11"/>
      <c r="G3" s="12"/>
      <c r="H3" s="1"/>
      <c r="I3" s="13" t="s">
        <v>2</v>
      </c>
      <c r="J3" s="14">
        <f>IF(E17&lt;=5,0.8,0.8-(E17*10-50)/400)</f>
        <v>0.8</v>
      </c>
      <c r="K3" s="1"/>
      <c r="L3" s="15" t="s">
        <v>3</v>
      </c>
      <c r="M3" s="16"/>
      <c r="N3" s="17"/>
      <c r="O3" s="5" t="s">
        <v>4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6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</row>
    <row r="4">
      <c r="A4" s="1"/>
      <c r="B4" s="8"/>
      <c r="C4" s="19"/>
      <c r="D4" s="20"/>
      <c r="E4" s="20"/>
      <c r="F4" s="21"/>
      <c r="G4" s="12"/>
      <c r="H4" s="1"/>
      <c r="I4" s="22" t="s">
        <v>5</v>
      </c>
      <c r="J4" s="23">
        <f>IF(E17&lt;=5,0.85,0.85*(1-(E17*10-50)/200))</f>
        <v>0.85</v>
      </c>
      <c r="K4" s="1"/>
      <c r="L4" s="24" t="s">
        <v>6</v>
      </c>
      <c r="M4" s="25">
        <f>IF(L11="Domínio 2",1/100*1000,M6/M10*(E9-M10))</f>
        <v>10</v>
      </c>
      <c r="N4" s="26"/>
      <c r="O4" s="27" t="s">
        <v>7</v>
      </c>
      <c r="P4" s="28">
        <v>5.0</v>
      </c>
      <c r="Q4" s="28">
        <v>6.0</v>
      </c>
      <c r="R4" s="28">
        <v>7.0</v>
      </c>
      <c r="S4" s="28">
        <v>8.0</v>
      </c>
      <c r="T4" s="28">
        <v>9.0</v>
      </c>
      <c r="U4" s="28">
        <v>10.0</v>
      </c>
      <c r="V4" s="28">
        <v>11.0</v>
      </c>
      <c r="W4" s="28">
        <v>12.0</v>
      </c>
      <c r="X4" s="28">
        <v>13.0</v>
      </c>
      <c r="Y4" s="28">
        <v>14.0</v>
      </c>
      <c r="Z4" s="28">
        <v>15.0</v>
      </c>
      <c r="AA4" s="26"/>
      <c r="AB4" s="26"/>
      <c r="AC4" s="26"/>
      <c r="AD4" s="26"/>
      <c r="AE4" s="26"/>
      <c r="AF4" s="29"/>
      <c r="AG4" s="29"/>
      <c r="AH4" s="29"/>
      <c r="AI4" s="26"/>
      <c r="AJ4" s="30"/>
      <c r="AK4" s="29"/>
      <c r="AL4" s="29"/>
      <c r="AM4" s="29"/>
      <c r="AN4" s="29"/>
      <c r="AO4" s="29"/>
    </row>
    <row r="5">
      <c r="A5" s="1"/>
      <c r="B5" s="8"/>
      <c r="C5" s="31"/>
      <c r="D5" s="31"/>
      <c r="E5" s="31"/>
      <c r="F5" s="31"/>
      <c r="G5" s="12"/>
      <c r="H5" s="1"/>
      <c r="I5" s="22" t="s">
        <v>8</v>
      </c>
      <c r="J5" s="23">
        <f>IF(E17&lt;=4,1,(4/E17)^(1/3))</f>
        <v>1</v>
      </c>
      <c r="K5" s="1"/>
      <c r="L5" s="32" t="s">
        <v>9</v>
      </c>
      <c r="M5" s="33">
        <f>IF(I21="Armadura Dupla",M6/M10*(M10-E10),0)</f>
        <v>0</v>
      </c>
      <c r="N5" s="34"/>
      <c r="O5" s="35">
        <v>4.2</v>
      </c>
      <c r="P5" s="36">
        <f t="shared" ref="P5:Z5" si="1">100/P$4*PI()*($O5/20)^2</f>
        <v>2.77088472</v>
      </c>
      <c r="Q5" s="36">
        <f t="shared" si="1"/>
        <v>2.3090706</v>
      </c>
      <c r="R5" s="36">
        <f t="shared" si="1"/>
        <v>1.979203372</v>
      </c>
      <c r="S5" s="36">
        <f t="shared" si="1"/>
        <v>1.73180295</v>
      </c>
      <c r="T5" s="36">
        <f t="shared" si="1"/>
        <v>1.5393804</v>
      </c>
      <c r="U5" s="36">
        <f t="shared" si="1"/>
        <v>1.38544236</v>
      </c>
      <c r="V5" s="36">
        <f t="shared" si="1"/>
        <v>1.259493055</v>
      </c>
      <c r="W5" s="36">
        <f t="shared" si="1"/>
        <v>1.1545353</v>
      </c>
      <c r="X5" s="36">
        <f t="shared" si="1"/>
        <v>1.065724892</v>
      </c>
      <c r="Y5" s="36">
        <f t="shared" si="1"/>
        <v>0.9896016859</v>
      </c>
      <c r="Z5" s="36">
        <f t="shared" si="1"/>
        <v>0.9236282402</v>
      </c>
      <c r="AA5" s="34"/>
      <c r="AB5" s="34"/>
      <c r="AC5" s="34"/>
      <c r="AD5" s="34"/>
      <c r="AE5" s="34"/>
      <c r="AF5" s="37"/>
      <c r="AG5" s="37"/>
      <c r="AH5" s="37"/>
      <c r="AI5" s="34"/>
      <c r="AJ5" s="30"/>
      <c r="AK5" s="37"/>
      <c r="AL5" s="37"/>
      <c r="AM5" s="37"/>
      <c r="AN5" s="37"/>
      <c r="AO5" s="37"/>
    </row>
    <row r="6">
      <c r="A6" s="1"/>
      <c r="B6" s="8"/>
      <c r="C6" s="31"/>
      <c r="D6" s="38" t="s">
        <v>10</v>
      </c>
      <c r="E6" s="16"/>
      <c r="F6" s="31"/>
      <c r="G6" s="12"/>
      <c r="H6" s="1"/>
      <c r="I6" s="1"/>
      <c r="J6" s="1"/>
      <c r="K6" s="1"/>
      <c r="L6" s="24" t="s">
        <v>11</v>
      </c>
      <c r="M6" s="25">
        <f>IF(L11="Domínio 3",3.5,M4/(E9-M10)*M10)</f>
        <v>0.4867458766</v>
      </c>
      <c r="N6" s="34"/>
      <c r="O6" s="35">
        <v>5.0</v>
      </c>
      <c r="P6" s="36">
        <f t="shared" ref="P6:Z6" si="2">100/P$4*PI()*($O6/20)^2</f>
        <v>3.926990817</v>
      </c>
      <c r="Q6" s="36">
        <f t="shared" si="2"/>
        <v>3.272492347</v>
      </c>
      <c r="R6" s="36">
        <f t="shared" si="2"/>
        <v>2.804993441</v>
      </c>
      <c r="S6" s="36">
        <f t="shared" si="2"/>
        <v>2.454369261</v>
      </c>
      <c r="T6" s="36">
        <f t="shared" si="2"/>
        <v>2.181661565</v>
      </c>
      <c r="U6" s="36">
        <f t="shared" si="2"/>
        <v>1.963495408</v>
      </c>
      <c r="V6" s="36">
        <f t="shared" si="2"/>
        <v>1.784995826</v>
      </c>
      <c r="W6" s="36">
        <f t="shared" si="2"/>
        <v>1.636246174</v>
      </c>
      <c r="X6" s="36">
        <f t="shared" si="2"/>
        <v>1.510381083</v>
      </c>
      <c r="Y6" s="36">
        <f t="shared" si="2"/>
        <v>1.40249672</v>
      </c>
      <c r="Z6" s="36">
        <f t="shared" si="2"/>
        <v>1.308996939</v>
      </c>
      <c r="AA6" s="34"/>
      <c r="AB6" s="34"/>
      <c r="AC6" s="34"/>
      <c r="AD6" s="34"/>
      <c r="AE6" s="34"/>
      <c r="AF6" s="34"/>
      <c r="AG6" s="34"/>
      <c r="AH6" s="34"/>
      <c r="AI6" s="34"/>
      <c r="AJ6" s="39"/>
      <c r="AK6" s="34"/>
      <c r="AL6" s="34"/>
      <c r="AM6" s="34"/>
      <c r="AN6" s="34"/>
      <c r="AO6" s="34"/>
    </row>
    <row r="7">
      <c r="A7" s="1"/>
      <c r="B7" s="8"/>
      <c r="C7" s="31"/>
      <c r="D7" s="22" t="s">
        <v>12</v>
      </c>
      <c r="E7" s="40">
        <v>100.0</v>
      </c>
      <c r="F7" s="31"/>
      <c r="G7" s="12"/>
      <c r="H7" s="1"/>
      <c r="I7" s="5" t="s">
        <v>13</v>
      </c>
      <c r="J7" s="6"/>
      <c r="K7" s="1"/>
      <c r="L7" s="1"/>
      <c r="M7" s="1"/>
      <c r="N7" s="34"/>
      <c r="O7" s="35">
        <v>6.3</v>
      </c>
      <c r="P7" s="36">
        <f t="shared" ref="P7:Z7" si="3">100/P$4*PI()*($O7/20)^2</f>
        <v>6.234490621</v>
      </c>
      <c r="Q7" s="36">
        <f t="shared" si="3"/>
        <v>5.195408851</v>
      </c>
      <c r="R7" s="36">
        <f t="shared" si="3"/>
        <v>4.453207586</v>
      </c>
      <c r="S7" s="36">
        <f t="shared" si="3"/>
        <v>3.896556638</v>
      </c>
      <c r="T7" s="36">
        <f t="shared" si="3"/>
        <v>3.463605901</v>
      </c>
      <c r="U7" s="36">
        <f t="shared" si="3"/>
        <v>3.117245311</v>
      </c>
      <c r="V7" s="36">
        <f t="shared" si="3"/>
        <v>2.833859373</v>
      </c>
      <c r="W7" s="36">
        <f t="shared" si="3"/>
        <v>2.597704425</v>
      </c>
      <c r="X7" s="36">
        <f t="shared" si="3"/>
        <v>2.397881008</v>
      </c>
      <c r="Y7" s="36">
        <f t="shared" si="3"/>
        <v>2.226603793</v>
      </c>
      <c r="Z7" s="36">
        <f t="shared" si="3"/>
        <v>2.07816354</v>
      </c>
      <c r="AA7" s="34"/>
      <c r="AB7" s="34"/>
      <c r="AC7" s="34"/>
      <c r="AD7" s="34"/>
      <c r="AE7" s="34"/>
      <c r="AF7" s="34"/>
      <c r="AG7" s="34"/>
      <c r="AH7" s="34"/>
      <c r="AI7" s="34"/>
      <c r="AJ7" s="39"/>
      <c r="AK7" s="34"/>
      <c r="AL7" s="34"/>
      <c r="AM7" s="34"/>
      <c r="AN7" s="34"/>
      <c r="AO7" s="34"/>
    </row>
    <row r="8">
      <c r="A8" s="1"/>
      <c r="B8" s="8"/>
      <c r="C8" s="31"/>
      <c r="D8" s="22" t="s">
        <v>14</v>
      </c>
      <c r="E8" s="40">
        <v>15.0</v>
      </c>
      <c r="F8" s="31"/>
      <c r="G8" s="12"/>
      <c r="H8" s="1"/>
      <c r="I8" s="22" t="s">
        <v>15</v>
      </c>
      <c r="J8" s="41">
        <f>E17/1.4</f>
        <v>1.785714286</v>
      </c>
      <c r="K8" s="1"/>
      <c r="L8" s="5" t="s">
        <v>16</v>
      </c>
      <c r="M8" s="6"/>
      <c r="N8" s="34"/>
      <c r="O8" s="35">
        <v>8.0</v>
      </c>
      <c r="P8" s="36">
        <f t="shared" ref="P8:Z8" si="4">100/P$4*PI()*($O8/20)^2</f>
        <v>10.05309649</v>
      </c>
      <c r="Q8" s="36">
        <f t="shared" si="4"/>
        <v>8.37758041</v>
      </c>
      <c r="R8" s="36">
        <f t="shared" si="4"/>
        <v>7.180783208</v>
      </c>
      <c r="S8" s="36">
        <f t="shared" si="4"/>
        <v>6.283185307</v>
      </c>
      <c r="T8" s="36">
        <f t="shared" si="4"/>
        <v>5.585053606</v>
      </c>
      <c r="U8" s="36">
        <f t="shared" si="4"/>
        <v>5.026548246</v>
      </c>
      <c r="V8" s="36">
        <f t="shared" si="4"/>
        <v>4.569589314</v>
      </c>
      <c r="W8" s="36">
        <f t="shared" si="4"/>
        <v>4.188790205</v>
      </c>
      <c r="X8" s="36">
        <f t="shared" si="4"/>
        <v>3.866575574</v>
      </c>
      <c r="Y8" s="36">
        <f t="shared" si="4"/>
        <v>3.590391604</v>
      </c>
      <c r="Z8" s="36">
        <f t="shared" si="4"/>
        <v>3.351032164</v>
      </c>
      <c r="AA8" s="34"/>
      <c r="AB8" s="34"/>
      <c r="AC8" s="34"/>
      <c r="AD8" s="34"/>
      <c r="AE8" s="34"/>
      <c r="AF8" s="34"/>
      <c r="AG8" s="34"/>
      <c r="AH8" s="34"/>
      <c r="AI8" s="34"/>
      <c r="AJ8" s="39"/>
      <c r="AK8" s="34"/>
      <c r="AL8" s="34"/>
      <c r="AM8" s="34"/>
      <c r="AN8" s="34"/>
      <c r="AO8" s="34"/>
    </row>
    <row r="9">
      <c r="A9" s="1"/>
      <c r="B9" s="8"/>
      <c r="C9" s="31"/>
      <c r="D9" s="42" t="s">
        <v>17</v>
      </c>
      <c r="E9" s="43">
        <v>12.0</v>
      </c>
      <c r="F9" s="31"/>
      <c r="G9" s="12"/>
      <c r="H9" s="1"/>
      <c r="I9" s="22" t="s">
        <v>18</v>
      </c>
      <c r="J9" s="41">
        <f>E18/1.15</f>
        <v>43.47826087</v>
      </c>
      <c r="K9" s="1"/>
      <c r="L9" s="22" t="s">
        <v>19</v>
      </c>
      <c r="M9" s="44">
        <f>IF(E17&lt;=5,0.45*E9,0.35*E9)</f>
        <v>5.4</v>
      </c>
      <c r="N9" s="34"/>
      <c r="O9" s="35">
        <v>10.0</v>
      </c>
      <c r="P9" s="36">
        <f t="shared" ref="P9:Z9" si="5">100/P$4*PI()*($O9/20)^2</f>
        <v>15.70796327</v>
      </c>
      <c r="Q9" s="36">
        <f t="shared" si="5"/>
        <v>13.08996939</v>
      </c>
      <c r="R9" s="36">
        <f t="shared" si="5"/>
        <v>11.21997376</v>
      </c>
      <c r="S9" s="36">
        <f t="shared" si="5"/>
        <v>9.817477042</v>
      </c>
      <c r="T9" s="36">
        <f t="shared" si="5"/>
        <v>8.72664626</v>
      </c>
      <c r="U9" s="36">
        <f t="shared" si="5"/>
        <v>7.853981634</v>
      </c>
      <c r="V9" s="36">
        <f t="shared" si="5"/>
        <v>7.139983304</v>
      </c>
      <c r="W9" s="36">
        <f t="shared" si="5"/>
        <v>6.544984695</v>
      </c>
      <c r="X9" s="36">
        <f t="shared" si="5"/>
        <v>6.041524334</v>
      </c>
      <c r="Y9" s="36">
        <f t="shared" si="5"/>
        <v>5.609986881</v>
      </c>
      <c r="Z9" s="36">
        <f t="shared" si="5"/>
        <v>5.235987756</v>
      </c>
      <c r="AA9" s="34"/>
      <c r="AB9" s="34"/>
      <c r="AC9" s="34"/>
      <c r="AD9" s="34"/>
      <c r="AE9" s="34"/>
      <c r="AF9" s="34"/>
      <c r="AG9" s="34"/>
      <c r="AH9" s="34"/>
      <c r="AI9" s="34"/>
      <c r="AJ9" s="39"/>
      <c r="AK9" s="34"/>
      <c r="AL9" s="34"/>
      <c r="AM9" s="34"/>
      <c r="AN9" s="34"/>
      <c r="AO9" s="34"/>
    </row>
    <row r="10">
      <c r="A10" s="1"/>
      <c r="B10" s="8"/>
      <c r="C10" s="31"/>
      <c r="D10" s="22" t="s">
        <v>20</v>
      </c>
      <c r="E10" s="40">
        <v>3.0</v>
      </c>
      <c r="F10" s="31"/>
      <c r="G10" s="12"/>
      <c r="H10" s="1"/>
      <c r="I10" s="1"/>
      <c r="J10" s="1"/>
      <c r="K10" s="1"/>
      <c r="L10" s="13" t="s">
        <v>21</v>
      </c>
      <c r="M10" s="45">
        <f>IF(E13*J13&lt;=J18,E9/J3*(1-(1-2*E13*J13/(J4*J5*J8*E7*E9^2))^0.5),M9)</f>
        <v>0.5569840814</v>
      </c>
      <c r="N10" s="3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4"/>
      <c r="AC10" s="39"/>
      <c r="AD10" s="34"/>
      <c r="AE10" s="34"/>
      <c r="AF10" s="34"/>
      <c r="AG10" s="34"/>
      <c r="AH10" s="34"/>
      <c r="AI10" s="34"/>
      <c r="AJ10" s="39"/>
      <c r="AK10" s="34"/>
      <c r="AL10" s="34"/>
      <c r="AM10" s="34"/>
      <c r="AN10" s="34"/>
      <c r="AO10" s="34"/>
    </row>
    <row r="11">
      <c r="A11" s="1"/>
      <c r="B11" s="8"/>
      <c r="C11" s="31"/>
      <c r="D11" s="31"/>
      <c r="E11" s="31"/>
      <c r="F11" s="31"/>
      <c r="G11" s="12"/>
      <c r="H11" s="1"/>
      <c r="I11" s="5" t="s">
        <v>22</v>
      </c>
      <c r="J11" s="6"/>
      <c r="K11" s="1"/>
      <c r="L11" s="5" t="str">
        <f>IF(M10&lt;0,"Domínio 1",IF(M10&lt;0.259*E9,"Domínio 2",IF(M10&lt;0.629*E9,"Domínio 3",IF(M10&lt;E9,"Domínio 4","Domínio 5"))))</f>
        <v>Domínio 2</v>
      </c>
      <c r="M11" s="6"/>
      <c r="N11" s="1"/>
      <c r="O11" s="5" t="s">
        <v>23</v>
      </c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6"/>
      <c r="AA11" s="1"/>
      <c r="AB11" s="1"/>
      <c r="AC11" s="39"/>
      <c r="AD11" s="34"/>
      <c r="AE11" s="34"/>
      <c r="AF11" s="34"/>
      <c r="AG11" s="34"/>
      <c r="AH11" s="34"/>
      <c r="AI11" s="1"/>
      <c r="AJ11" s="39"/>
      <c r="AK11" s="34"/>
      <c r="AL11" s="34"/>
      <c r="AM11" s="34"/>
      <c r="AN11" s="34"/>
      <c r="AO11" s="34"/>
    </row>
    <row r="12">
      <c r="A12" s="1"/>
      <c r="B12" s="8"/>
      <c r="C12" s="31"/>
      <c r="D12" s="5" t="s">
        <v>24</v>
      </c>
      <c r="E12" s="6"/>
      <c r="F12" s="31"/>
      <c r="G12" s="12"/>
      <c r="H12" s="1"/>
      <c r="I12" s="22" t="s">
        <v>25</v>
      </c>
      <c r="J12" s="46">
        <f>E14/E13</f>
        <v>56900</v>
      </c>
      <c r="K12" s="1"/>
      <c r="L12" s="1"/>
      <c r="M12" s="1"/>
      <c r="N12" s="17"/>
      <c r="O12" s="27" t="s">
        <v>7</v>
      </c>
      <c r="P12" s="28">
        <v>5.0</v>
      </c>
      <c r="Q12" s="28">
        <v>6.0</v>
      </c>
      <c r="R12" s="28">
        <v>7.0</v>
      </c>
      <c r="S12" s="28">
        <v>8.0</v>
      </c>
      <c r="T12" s="28">
        <v>9.0</v>
      </c>
      <c r="U12" s="28">
        <v>10.0</v>
      </c>
      <c r="V12" s="28">
        <v>11.0</v>
      </c>
      <c r="W12" s="28">
        <v>12.0</v>
      </c>
      <c r="X12" s="28">
        <v>13.0</v>
      </c>
      <c r="Y12" s="28">
        <v>14.0</v>
      </c>
      <c r="Z12" s="28">
        <v>15.0</v>
      </c>
      <c r="AA12" s="1"/>
      <c r="AB12" s="1"/>
      <c r="AC12" s="39"/>
      <c r="AD12" s="34"/>
      <c r="AE12" s="34"/>
      <c r="AF12" s="34"/>
      <c r="AG12" s="34"/>
      <c r="AH12" s="34"/>
      <c r="AI12" s="1"/>
      <c r="AJ12" s="39"/>
      <c r="AK12" s="34"/>
      <c r="AL12" s="34"/>
      <c r="AM12" s="34"/>
      <c r="AN12" s="34"/>
      <c r="AO12" s="34"/>
    </row>
    <row r="13">
      <c r="A13" s="1"/>
      <c r="B13" s="8"/>
      <c r="C13" s="31">
        <v>0.01</v>
      </c>
      <c r="D13" s="22" t="s">
        <v>26</v>
      </c>
      <c r="E13" s="47">
        <f>1.4*C13</f>
        <v>0.014</v>
      </c>
      <c r="F13" s="31"/>
      <c r="G13" s="12"/>
      <c r="H13" s="1"/>
      <c r="I13" s="22" t="s">
        <v>27</v>
      </c>
      <c r="J13" s="46">
        <f>ABS(J12-(E9-E10)/2)</f>
        <v>56895.5</v>
      </c>
      <c r="K13" s="1"/>
      <c r="L13" s="5" t="s">
        <v>28</v>
      </c>
      <c r="M13" s="6"/>
      <c r="N13" s="48"/>
      <c r="O13" s="35">
        <v>4.2</v>
      </c>
      <c r="P13" s="36">
        <f t="shared" ref="P13:Z13" si="6">100/P$4*PI()*($O13/20)^2</f>
        <v>2.77088472</v>
      </c>
      <c r="Q13" s="36">
        <f t="shared" si="6"/>
        <v>2.3090706</v>
      </c>
      <c r="R13" s="36">
        <f t="shared" si="6"/>
        <v>1.979203372</v>
      </c>
      <c r="S13" s="36">
        <f t="shared" si="6"/>
        <v>1.73180295</v>
      </c>
      <c r="T13" s="36">
        <f t="shared" si="6"/>
        <v>1.5393804</v>
      </c>
      <c r="U13" s="36">
        <f t="shared" si="6"/>
        <v>1.38544236</v>
      </c>
      <c r="V13" s="36">
        <f t="shared" si="6"/>
        <v>1.259493055</v>
      </c>
      <c r="W13" s="36">
        <f t="shared" si="6"/>
        <v>1.1545353</v>
      </c>
      <c r="X13" s="36">
        <f t="shared" si="6"/>
        <v>1.065724892</v>
      </c>
      <c r="Y13" s="36">
        <f t="shared" si="6"/>
        <v>0.9896016859</v>
      </c>
      <c r="Z13" s="36">
        <f t="shared" si="6"/>
        <v>0.9236282402</v>
      </c>
      <c r="AA13" s="1"/>
      <c r="AB13" s="1"/>
      <c r="AC13" s="39"/>
      <c r="AD13" s="34"/>
      <c r="AE13" s="34"/>
      <c r="AF13" s="34"/>
      <c r="AG13" s="34"/>
      <c r="AH13" s="34"/>
      <c r="AI13" s="1"/>
      <c r="AJ13" s="39"/>
      <c r="AK13" s="34"/>
      <c r="AL13" s="34"/>
      <c r="AM13" s="34"/>
      <c r="AN13" s="34"/>
      <c r="AO13" s="34"/>
    </row>
    <row r="14">
      <c r="A14" s="1"/>
      <c r="B14" s="8"/>
      <c r="C14" s="31">
        <v>5.69</v>
      </c>
      <c r="D14" s="22" t="s">
        <v>29</v>
      </c>
      <c r="E14" s="49">
        <f>1.4*C14*100</f>
        <v>796.6</v>
      </c>
      <c r="F14" s="31"/>
      <c r="G14" s="12"/>
      <c r="H14" s="1"/>
      <c r="I14" s="22" t="s">
        <v>30</v>
      </c>
      <c r="J14" s="46">
        <f>J12+(E9-E10)/2</f>
        <v>56904.5</v>
      </c>
      <c r="K14" s="1"/>
      <c r="L14" s="22" t="s">
        <v>31</v>
      </c>
      <c r="M14" s="41">
        <f>IF(I21="Armadura Simples",0,MIN(21*M5,J9))</f>
        <v>0</v>
      </c>
      <c r="N14" s="50"/>
      <c r="O14" s="35">
        <v>5.0</v>
      </c>
      <c r="P14" s="36">
        <f t="shared" ref="P14:Z14" si="7">100/P$4*PI()*($O14/20)^2</f>
        <v>3.926990817</v>
      </c>
      <c r="Q14" s="36">
        <f t="shared" si="7"/>
        <v>3.272492347</v>
      </c>
      <c r="R14" s="36">
        <f t="shared" si="7"/>
        <v>2.804993441</v>
      </c>
      <c r="S14" s="36">
        <f t="shared" si="7"/>
        <v>2.454369261</v>
      </c>
      <c r="T14" s="36">
        <f t="shared" si="7"/>
        <v>2.181661565</v>
      </c>
      <c r="U14" s="36">
        <f t="shared" si="7"/>
        <v>1.963495408</v>
      </c>
      <c r="V14" s="36">
        <f t="shared" si="7"/>
        <v>1.784995826</v>
      </c>
      <c r="W14" s="36">
        <f t="shared" si="7"/>
        <v>1.636246174</v>
      </c>
      <c r="X14" s="36">
        <f t="shared" si="7"/>
        <v>1.510381083</v>
      </c>
      <c r="Y14" s="36">
        <f t="shared" si="7"/>
        <v>1.40249672</v>
      </c>
      <c r="Z14" s="36">
        <f t="shared" si="7"/>
        <v>1.308996939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>
      <c r="A15" s="1"/>
      <c r="B15" s="8"/>
      <c r="C15" s="31"/>
      <c r="D15" s="31"/>
      <c r="E15" s="31"/>
      <c r="F15" s="31"/>
      <c r="G15" s="12"/>
      <c r="H15" s="1"/>
      <c r="I15" s="1"/>
      <c r="J15" s="1"/>
      <c r="K15" s="1"/>
      <c r="L15" s="1"/>
      <c r="M15" s="50"/>
      <c r="N15" s="51"/>
      <c r="O15" s="35">
        <v>6.3</v>
      </c>
      <c r="P15" s="36">
        <f t="shared" ref="P15:Z15" si="8">100/P$4*PI()*($O15/20)^2</f>
        <v>6.234490621</v>
      </c>
      <c r="Q15" s="36">
        <f t="shared" si="8"/>
        <v>5.195408851</v>
      </c>
      <c r="R15" s="36">
        <f t="shared" si="8"/>
        <v>4.453207586</v>
      </c>
      <c r="S15" s="36">
        <f t="shared" si="8"/>
        <v>3.896556638</v>
      </c>
      <c r="T15" s="36">
        <f t="shared" si="8"/>
        <v>3.463605901</v>
      </c>
      <c r="U15" s="36">
        <f t="shared" si="8"/>
        <v>3.117245311</v>
      </c>
      <c r="V15" s="36">
        <f t="shared" si="8"/>
        <v>2.833859373</v>
      </c>
      <c r="W15" s="36">
        <f t="shared" si="8"/>
        <v>2.597704425</v>
      </c>
      <c r="X15" s="36">
        <f t="shared" si="8"/>
        <v>2.397881008</v>
      </c>
      <c r="Y15" s="36">
        <f t="shared" si="8"/>
        <v>2.226603793</v>
      </c>
      <c r="Z15" s="36">
        <f t="shared" si="8"/>
        <v>2.07816354</v>
      </c>
      <c r="AA15" s="1"/>
      <c r="AB15" s="1"/>
      <c r="AC15" s="17"/>
      <c r="AD15" s="17"/>
      <c r="AE15" s="17"/>
      <c r="AF15" s="17"/>
      <c r="AG15" s="17"/>
      <c r="AH15" s="17"/>
      <c r="AI15" s="1"/>
      <c r="AJ15" s="17"/>
      <c r="AK15" s="17"/>
      <c r="AL15" s="17"/>
      <c r="AM15" s="17"/>
      <c r="AN15" s="17"/>
      <c r="AO15" s="17"/>
    </row>
    <row r="16">
      <c r="A16" s="1"/>
      <c r="B16" s="8"/>
      <c r="C16" s="31"/>
      <c r="D16" s="5" t="s">
        <v>32</v>
      </c>
      <c r="E16" s="6"/>
      <c r="F16" s="31"/>
      <c r="G16" s="12"/>
      <c r="H16" s="1"/>
      <c r="I16" s="5" t="s">
        <v>33</v>
      </c>
      <c r="J16" s="6"/>
      <c r="K16" s="1"/>
      <c r="L16" s="5" t="s">
        <v>34</v>
      </c>
      <c r="M16" s="6"/>
      <c r="N16" s="52"/>
      <c r="O16" s="35">
        <v>8.0</v>
      </c>
      <c r="P16" s="36">
        <f t="shared" ref="P16:Z16" si="9">100/P$4*PI()*($O16/20)^2</f>
        <v>10.05309649</v>
      </c>
      <c r="Q16" s="36">
        <f t="shared" si="9"/>
        <v>8.37758041</v>
      </c>
      <c r="R16" s="36">
        <f t="shared" si="9"/>
        <v>7.180783208</v>
      </c>
      <c r="S16" s="36">
        <f t="shared" si="9"/>
        <v>6.283185307</v>
      </c>
      <c r="T16" s="36">
        <f t="shared" si="9"/>
        <v>5.585053606</v>
      </c>
      <c r="U16" s="36">
        <f t="shared" si="9"/>
        <v>5.026548246</v>
      </c>
      <c r="V16" s="36">
        <f t="shared" si="9"/>
        <v>4.569589314</v>
      </c>
      <c r="W16" s="36">
        <f t="shared" si="9"/>
        <v>4.188790205</v>
      </c>
      <c r="X16" s="36">
        <f t="shared" si="9"/>
        <v>3.866575574</v>
      </c>
      <c r="Y16" s="36">
        <f t="shared" si="9"/>
        <v>3.590391604</v>
      </c>
      <c r="Z16" s="36">
        <f t="shared" si="9"/>
        <v>3.351032164</v>
      </c>
      <c r="AA16" s="1"/>
      <c r="AB16" s="1"/>
      <c r="AC16" s="1"/>
      <c r="AD16" s="53"/>
      <c r="AE16" s="54"/>
      <c r="AF16" s="55"/>
      <c r="AG16" s="56"/>
      <c r="AH16" s="1"/>
      <c r="AI16" s="1"/>
      <c r="AJ16" s="1"/>
      <c r="AK16" s="53"/>
      <c r="AL16" s="54"/>
      <c r="AM16" s="55"/>
      <c r="AN16" s="56"/>
      <c r="AO16" s="1"/>
    </row>
    <row r="17">
      <c r="A17" s="1"/>
      <c r="B17" s="8"/>
      <c r="C17" s="31"/>
      <c r="D17" s="22" t="s">
        <v>35</v>
      </c>
      <c r="E17" s="57">
        <v>2.5</v>
      </c>
      <c r="F17" s="31"/>
      <c r="G17" s="12"/>
      <c r="H17" s="1"/>
      <c r="I17" s="22" t="s">
        <v>36</v>
      </c>
      <c r="J17" s="49">
        <f>2*E7*E8^2*0.39*(E17*10)^(2/3)/10/15</f>
        <v>1000.335929</v>
      </c>
      <c r="K17" s="1"/>
      <c r="L17" s="22" t="s">
        <v>37</v>
      </c>
      <c r="M17" s="58">
        <f>IF(I20="F. T. P. E.",E13*J14/(J9*(E9-E10)),MAX((J4*J5*J8*E7*J3*M10+M18*M14+E13)/J9,0.15/100*E7*E8))</f>
        <v>2.25</v>
      </c>
      <c r="N17" s="59"/>
      <c r="O17" s="35">
        <v>10.0</v>
      </c>
      <c r="P17" s="36">
        <f t="shared" ref="P17:Z17" si="10">100/P$4*PI()*($O17/20)^2</f>
        <v>15.70796327</v>
      </c>
      <c r="Q17" s="36">
        <f t="shared" si="10"/>
        <v>13.08996939</v>
      </c>
      <c r="R17" s="36">
        <f t="shared" si="10"/>
        <v>11.21997376</v>
      </c>
      <c r="S17" s="36">
        <f t="shared" si="10"/>
        <v>9.817477042</v>
      </c>
      <c r="T17" s="36">
        <f t="shared" si="10"/>
        <v>8.72664626</v>
      </c>
      <c r="U17" s="36">
        <f t="shared" si="10"/>
        <v>7.853981634</v>
      </c>
      <c r="V17" s="36">
        <f t="shared" si="10"/>
        <v>7.139983304</v>
      </c>
      <c r="W17" s="36">
        <f t="shared" si="10"/>
        <v>6.544984695</v>
      </c>
      <c r="X17" s="36">
        <f t="shared" si="10"/>
        <v>6.041524334</v>
      </c>
      <c r="Y17" s="36">
        <f t="shared" si="10"/>
        <v>5.609986881</v>
      </c>
      <c r="Z17" s="36">
        <f t="shared" si="10"/>
        <v>5.235987756</v>
      </c>
      <c r="AA17" s="1"/>
      <c r="AB17" s="1"/>
      <c r="AC17" s="1"/>
      <c r="AD17" s="60"/>
      <c r="AE17" s="6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1"/>
      <c r="B18" s="8"/>
      <c r="C18" s="31"/>
      <c r="D18" s="22" t="s">
        <v>38</v>
      </c>
      <c r="E18" s="57">
        <v>50.0</v>
      </c>
      <c r="F18" s="31"/>
      <c r="G18" s="12"/>
      <c r="H18" s="1"/>
      <c r="I18" s="22" t="s">
        <v>39</v>
      </c>
      <c r="J18" s="49">
        <f>J4*J5*J8*E7*J3*M9*(E9-J3*M9/2)</f>
        <v>6452.228571</v>
      </c>
      <c r="K18" s="62"/>
      <c r="L18" s="63" t="s">
        <v>40</v>
      </c>
      <c r="M18" s="58">
        <f>IF(I20="F. T. P. E.",E13*J13/(J9*(E9-E10)),IF(I21="Armadura Dupla",(E13*J13-J18)/(M14*(E9-E10)),0))</f>
        <v>0</v>
      </c>
      <c r="N18" s="1"/>
      <c r="O18" s="1"/>
      <c r="P18" s="1"/>
      <c r="Q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1"/>
      <c r="B19" s="64"/>
      <c r="C19" s="65"/>
      <c r="D19" s="65"/>
      <c r="E19" s="65"/>
      <c r="F19" s="65"/>
      <c r="G19" s="66"/>
      <c r="H19" s="1"/>
      <c r="I19" s="1"/>
      <c r="J19" s="1"/>
      <c r="K19" s="62"/>
      <c r="L19" s="1"/>
      <c r="M19" s="1"/>
      <c r="N19" s="62"/>
      <c r="O19" s="5" t="str">
        <f>"As1 Adotada (As1 = "&amp;TEXT(PI()*(P20/20)^2/R20*100,"0,00")&amp;" cm²/m)"</f>
        <v>As1 Adotada (As1 = 003 cm²/m)</v>
      </c>
      <c r="P19" s="18"/>
      <c r="Q19" s="18"/>
      <c r="R19" s="18"/>
      <c r="S19" s="67"/>
      <c r="T19" s="68"/>
      <c r="U19" s="5" t="str">
        <f>"As2 Adotada (As2 = "&amp;TEXT(PI()*(V20/20)^2/X20*100,"0,00")&amp;" cm²/m)"</f>
        <v>As2 Adotada (As2 = 001 cm²/m)</v>
      </c>
      <c r="V19" s="18"/>
      <c r="W19" s="18"/>
      <c r="X19" s="18"/>
      <c r="Y19" s="6"/>
      <c r="Z19" s="62"/>
      <c r="AA19" s="62"/>
      <c r="AB19" s="62"/>
      <c r="AC19" s="62"/>
      <c r="AD19" s="62"/>
      <c r="AE19" s="62"/>
      <c r="AF19" s="62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1"/>
      <c r="B20" s="1"/>
      <c r="C20" s="1"/>
      <c r="D20" s="7"/>
      <c r="E20" s="7"/>
      <c r="F20" s="1"/>
      <c r="G20" s="1"/>
      <c r="H20" s="1"/>
      <c r="I20" s="5" t="str">
        <f>IF(J12&gt;(E9-E10)/2,"F. T. G. E.","F. T. P. E.")</f>
        <v>F. T. G. E.</v>
      </c>
      <c r="J20" s="6"/>
      <c r="K20" s="62"/>
      <c r="L20" s="1"/>
      <c r="M20" s="1"/>
      <c r="N20" s="62"/>
      <c r="O20" s="69"/>
      <c r="P20" s="70">
        <v>6.3</v>
      </c>
      <c r="Q20" s="71" t="s">
        <v>41</v>
      </c>
      <c r="R20" s="72">
        <v>10.0</v>
      </c>
      <c r="S20" s="73"/>
      <c r="T20" s="1"/>
      <c r="U20" s="69"/>
      <c r="V20" s="74">
        <v>4.2</v>
      </c>
      <c r="W20" s="71" t="s">
        <v>41</v>
      </c>
      <c r="X20" s="72">
        <v>10.0</v>
      </c>
      <c r="Y20" s="73"/>
      <c r="Z20" s="62"/>
      <c r="AA20" s="62"/>
      <c r="AB20" s="62"/>
      <c r="AC20" s="62"/>
      <c r="AD20" s="62"/>
      <c r="AE20" s="62"/>
      <c r="AF20" s="62"/>
      <c r="AG20" s="1"/>
      <c r="AH20" s="1"/>
      <c r="AI20" s="1"/>
      <c r="AJ20" s="1"/>
      <c r="AK20" s="1"/>
      <c r="AL20" s="1"/>
      <c r="AM20" s="1"/>
      <c r="AN20" s="1"/>
      <c r="AO20" s="1"/>
    </row>
    <row r="21" ht="15.75" customHeight="1">
      <c r="A21" s="1"/>
      <c r="B21" s="75"/>
      <c r="C21" s="75"/>
      <c r="D21" s="75"/>
      <c r="E21" s="75"/>
      <c r="F21" s="75"/>
      <c r="G21" s="75"/>
      <c r="H21" s="1"/>
      <c r="I21" s="5" t="str">
        <f>IF(I20="F. T. P. E.","Armadura Dupla",IF(E13*J13&lt;=J18,"Armadura Simples","Armadura Dupla"))</f>
        <v>Armadura Simples</v>
      </c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76"/>
      <c r="J23" s="7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7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20">
    <mergeCell ref="I2:J2"/>
    <mergeCell ref="C3:F4"/>
    <mergeCell ref="L3:M3"/>
    <mergeCell ref="O3:Z3"/>
    <mergeCell ref="D6:E6"/>
    <mergeCell ref="I7:J7"/>
    <mergeCell ref="L8:M8"/>
    <mergeCell ref="L16:M16"/>
    <mergeCell ref="O19:S19"/>
    <mergeCell ref="U19:Y19"/>
    <mergeCell ref="I20:J20"/>
    <mergeCell ref="I21:J21"/>
    <mergeCell ref="I23:J23"/>
    <mergeCell ref="I11:J11"/>
    <mergeCell ref="L11:M11"/>
    <mergeCell ref="O11:Z11"/>
    <mergeCell ref="D12:E12"/>
    <mergeCell ref="L13:M13"/>
    <mergeCell ref="D16:E16"/>
    <mergeCell ref="I16:J16"/>
  </mergeCells>
  <conditionalFormatting sqref="O20:S20">
    <cfRule type="expression" dxfId="0" priority="1">
      <formula>PI()*($P$20/20)^2/$R$20*100&gt;=$M$17</formula>
    </cfRule>
  </conditionalFormatting>
  <conditionalFormatting sqref="O20:S20">
    <cfRule type="expression" dxfId="1" priority="2">
      <formula>PI()*($P$20/20)^2/$R$20*100&lt;$M$17</formula>
    </cfRule>
  </conditionalFormatting>
  <conditionalFormatting sqref="P5:Z9">
    <cfRule type="expression" dxfId="1" priority="3">
      <formula>P$4&gt;2*$E$8</formula>
    </cfRule>
  </conditionalFormatting>
  <conditionalFormatting sqref="P5:Z9">
    <cfRule type="cellIs" dxfId="1" priority="4" operator="lessThan">
      <formula>$M$17</formula>
    </cfRule>
  </conditionalFormatting>
  <conditionalFormatting sqref="P5:Z9">
    <cfRule type="cellIs" dxfId="0" priority="5" operator="greaterThan">
      <formula>$M$17</formula>
    </cfRule>
  </conditionalFormatting>
  <conditionalFormatting sqref="P13:Z17">
    <cfRule type="expression" dxfId="1" priority="6">
      <formula>P$4&gt;2*$E$8</formula>
    </cfRule>
  </conditionalFormatting>
  <conditionalFormatting sqref="P13:Z17">
    <cfRule type="cellIs" dxfId="1" priority="7" operator="lessThan">
      <formula>$M$18</formula>
    </cfRule>
  </conditionalFormatting>
  <conditionalFormatting sqref="P13:Z17">
    <cfRule type="cellIs" dxfId="0" priority="8" operator="greaterThan">
      <formula>$M$18</formula>
    </cfRule>
  </conditionalFormatting>
  <conditionalFormatting sqref="U20:Y20">
    <cfRule type="expression" dxfId="0" priority="9">
      <formula>PI()*($V$20/20)^2/$X$20*100&gt;=$M$18</formula>
    </cfRule>
  </conditionalFormatting>
  <conditionalFormatting sqref="U20:Y20">
    <cfRule type="expression" dxfId="1" priority="10">
      <formula>PI()*($V$20/20)^2/$X$20*100&lt;$M$18</formula>
    </cfRule>
  </conditionalFormatting>
  <dataValidations>
    <dataValidation type="list" allowBlank="1" showErrorMessage="1" sqref="E20">
      <formula1>Armação</formula1>
    </dataValidation>
  </dataValidations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2017-09-15T19:56:45Z</dcterms:created>
  <dc:creator>Matheus Carini</dc:creator>
</cp:coreProperties>
</file>