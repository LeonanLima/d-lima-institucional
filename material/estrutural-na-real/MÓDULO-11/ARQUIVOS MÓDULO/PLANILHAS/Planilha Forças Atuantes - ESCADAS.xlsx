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f9566427f0cd7a/[LEÔNIDAS]/[EMPRESA]/PRODUTOS/CURSOS/PÓS GRADUAÇÃO - ESTRUTURAS METÁLICAS - WALTNER WAGNER/AULAS/"/>
    </mc:Choice>
  </mc:AlternateContent>
  <xr:revisionPtr revIDLastSave="448" documentId="8_{F62FBA9A-F0EE-49BE-891B-6983B7BAF4D7}" xr6:coauthVersionLast="47" xr6:coauthVersionMax="47" xr10:uidLastSave="{D9B601B6-B49C-46F7-9172-01E29B99E579}"/>
  <bookViews>
    <workbookView xWindow="35505" yWindow="2430" windowWidth="20175" windowHeight="11505" tabRatio="897" activeTab="1" xr2:uid="{A7DC7C51-D0D4-4610-9F1F-5BC4EAEF436C}"/>
  </bookViews>
  <sheets>
    <sheet name="DEFINIÇÃO DA GEOMETRIA" sheetId="2" r:id="rId1"/>
    <sheet name="AÇÕES NA ESTRUTURA" sheetId="19" r:id="rId2"/>
    <sheet name="CARGA NOS DEGAUS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1" i="2" l="1"/>
  <c r="B19" i="2"/>
  <c r="C15" i="14"/>
  <c r="C16" i="14" s="1"/>
  <c r="C14" i="14"/>
  <c r="B17" i="2"/>
  <c r="C18" i="14" l="1"/>
  <c r="C19" i="14"/>
  <c r="B25" i="2"/>
  <c r="B7" i="2"/>
  <c r="B23" i="2" l="1"/>
  <c r="B12" i="19"/>
  <c r="C5" i="14" s="1"/>
  <c r="I21" i="19"/>
  <c r="I19" i="19"/>
  <c r="I10" i="19"/>
  <c r="I8" i="19"/>
  <c r="I6" i="19"/>
  <c r="I4" i="19"/>
  <c r="I17" i="19" l="1"/>
  <c r="B23" i="19" l="1"/>
  <c r="I23" i="19" s="1"/>
  <c r="I12" i="19" l="1"/>
  <c r="C9" i="14" l="1"/>
  <c r="C3" i="14"/>
  <c r="C11" i="14" s="1"/>
  <c r="C10" i="14" s="1"/>
  <c r="C7" i="14" l="1"/>
  <c r="C6" i="14" s="1"/>
</calcChain>
</file>

<file path=xl/sharedStrings.xml><?xml version="1.0" encoding="utf-8"?>
<sst xmlns="http://schemas.openxmlformats.org/spreadsheetml/2006/main" count="66" uniqueCount="46">
  <si>
    <t>kN/m²</t>
  </si>
  <si>
    <t>AÇÃO PERMANENTE TOTAL</t>
  </si>
  <si>
    <t>AÇÃO VARIÁVEL TOTAL</t>
  </si>
  <si>
    <t>PP-1</t>
  </si>
  <si>
    <t>PPt</t>
  </si>
  <si>
    <t>SC-1</t>
  </si>
  <si>
    <t>SCt-1</t>
  </si>
  <si>
    <t>kg/m²</t>
  </si>
  <si>
    <t>OUTROS</t>
  </si>
  <si>
    <t>PPt/2</t>
  </si>
  <si>
    <t>AÇÕES ACIDENTAIS</t>
  </si>
  <si>
    <t>AÇÕES PERMANENTES</t>
  </si>
  <si>
    <t xml:space="preserve"> </t>
  </si>
  <si>
    <t>PESSOAS</t>
  </si>
  <si>
    <t>CONTRAPISO</t>
  </si>
  <si>
    <t>PISO CERÂMICO</t>
  </si>
  <si>
    <t xml:space="preserve">kn/m², peso próprio da estrutura </t>
  </si>
  <si>
    <t>kN/m, peso próprio linear linear total sobre a viga</t>
  </si>
  <si>
    <t>kN/m²,sobrecargas distribuidas</t>
  </si>
  <si>
    <t>kN/m, sobrecarga distribuida linear lateral sobre a viga</t>
  </si>
  <si>
    <t>kN/m, sobrecarga distribuida linear total sobre a viga</t>
  </si>
  <si>
    <t>kN/m, peso próprio linear linear lateral sobre a viga</t>
  </si>
  <si>
    <t>Altura (Z)</t>
  </si>
  <si>
    <t>Comprimento (X)</t>
  </si>
  <si>
    <t>m, distância entre degraus</t>
  </si>
  <si>
    <t>CHAPA PISO XADREZ</t>
  </si>
  <si>
    <t>dd</t>
  </si>
  <si>
    <t>Comprimento da Longarina</t>
  </si>
  <si>
    <t>Inclinação da Escada</t>
  </si>
  <si>
    <t>Verificação de profundidade x altura entre degraus (0,6 &lt;= g +2h &lt;= 0,66)</t>
  </si>
  <si>
    <t>Altura entre degraus (h) altura máxima 0,25m</t>
  </si>
  <si>
    <t>Largura útil da Escada (Y) mínimo 0,6m</t>
  </si>
  <si>
    <t>Profundidade do degrau (t)</t>
  </si>
  <si>
    <t xml:space="preserve">Distância dos Degraus na longarina </t>
  </si>
  <si>
    <t>DEFINIÇÃO DE GEOMETRIA - ESCADAS (NR12)</t>
  </si>
  <si>
    <t>Projeção do degrau (r) mínimo (0,015m)</t>
  </si>
  <si>
    <t>Profundidade livre do degrau (g)</t>
  </si>
  <si>
    <t>Quantidade de nós (deve ser um número inteiro)</t>
  </si>
  <si>
    <t>Carga Distribuída nos Degraus</t>
  </si>
  <si>
    <t>m, Profundidade do Degrau</t>
  </si>
  <si>
    <t>m, Largura do Degrau</t>
  </si>
  <si>
    <t>m², Área do Degrau</t>
  </si>
  <si>
    <t>PP</t>
  </si>
  <si>
    <t>Carga por nó</t>
  </si>
  <si>
    <t>kN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</si>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</sst>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.000"/>
    <numFmt numFmtId="165" formatCode="0.0&quot;°&quot;"/>
    <numFmt numFmtId="166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 Narrow"/>
      <family val="2"/>
    </font>
    <font>
      <sz val="6"/>
      <color rgb="FF000000"/>
      <name val="Courier New"/>
      <family val="2"/>
      <charset val="1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9" fillId="0" borderId="0" applyFont="0" applyFill="0" applyBorder="0" applyAlignment="0" applyProtection="0"/>
    <xf numFmtId="0" fontId="10" fillId="0" borderId="0" applyBorder="0" applyProtection="0"/>
    <xf numFmtId="0" fontId="9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7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indent="1"/>
    </xf>
    <xf numFmtId="164" fontId="11" fillId="0" borderId="2" xfId="0" applyNumberFormat="1" applyFont="1" applyBorder="1" applyAlignment="1">
      <alignment horizontal="center"/>
    </xf>
    <xf numFmtId="164" fontId="11" fillId="0" borderId="0" xfId="0" applyNumberFormat="1" applyFont="1" applyAlignment="1">
      <alignment horizontal="center"/>
    </xf>
    <xf numFmtId="164" fontId="11" fillId="3" borderId="2" xfId="0" applyNumberFormat="1" applyFont="1" applyFill="1" applyBorder="1" applyAlignment="1">
      <alignment horizontal="center"/>
    </xf>
    <xf numFmtId="164" fontId="11" fillId="2" borderId="2" xfId="0" applyNumberFormat="1" applyFont="1" applyFill="1" applyBorder="1" applyAlignment="1">
      <alignment horizontal="center"/>
    </xf>
    <xf numFmtId="164" fontId="0" fillId="0" borderId="2" xfId="0" applyNumberFormat="1" applyBorder="1" applyAlignment="1" applyProtection="1">
      <alignment horizontal="center" vertical="center"/>
      <protection hidden="1"/>
    </xf>
    <xf numFmtId="0" fontId="5" fillId="0" borderId="0" xfId="0" applyFont="1" applyAlignment="1">
      <alignment horizontal="center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2" fontId="0" fillId="0" borderId="0" xfId="0" applyNumberFormat="1" applyAlignment="1" applyProtection="1">
      <alignment horizontal="center"/>
      <protection hidden="1"/>
    </xf>
    <xf numFmtId="2" fontId="0" fillId="0" borderId="0" xfId="0" applyNumberFormat="1" applyProtection="1">
      <protection hidden="1"/>
    </xf>
    <xf numFmtId="0" fontId="0" fillId="0" borderId="0" xfId="0" applyAlignment="1" applyProtection="1">
      <alignment vertical="center"/>
      <protection hidden="1"/>
    </xf>
    <xf numFmtId="164" fontId="0" fillId="0" borderId="0" xfId="0" applyNumberFormat="1" applyProtection="1">
      <protection hidden="1"/>
    </xf>
    <xf numFmtId="2" fontId="0" fillId="0" borderId="1" xfId="0" applyNumberFormat="1" applyBorder="1" applyAlignment="1" applyProtection="1">
      <alignment horizontal="center"/>
      <protection locked="0" hidden="1"/>
    </xf>
    <xf numFmtId="0" fontId="0" fillId="0" borderId="0" xfId="0" applyAlignment="1" applyProtection="1">
      <alignment vertical="top" wrapText="1"/>
      <protection hidden="1"/>
    </xf>
    <xf numFmtId="2" fontId="0" fillId="5" borderId="1" xfId="0" applyNumberForma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left" vertical="top" wrapText="1"/>
      <protection hidden="1"/>
    </xf>
    <xf numFmtId="0" fontId="7" fillId="3" borderId="0" xfId="0" applyFont="1" applyFill="1"/>
    <xf numFmtId="0" fontId="0" fillId="3" borderId="0" xfId="0" applyFill="1"/>
    <xf numFmtId="0" fontId="3" fillId="0" borderId="0" xfId="0" applyFont="1" applyAlignment="1" applyProtection="1">
      <alignment horizontal="center"/>
      <protection hidden="1"/>
    </xf>
    <xf numFmtId="0" fontId="2" fillId="0" borderId="0" xfId="0" applyFont="1"/>
    <xf numFmtId="0" fontId="0" fillId="0" borderId="0" xfId="0" applyAlignment="1" applyProtection="1">
      <alignment horizontal="right"/>
      <protection hidden="1"/>
    </xf>
    <xf numFmtId="165" fontId="0" fillId="0" borderId="2" xfId="0" applyNumberFormat="1" applyBorder="1" applyAlignment="1" applyProtection="1">
      <alignment horizontal="center" vertical="center"/>
      <protection hidden="1"/>
    </xf>
    <xf numFmtId="1" fontId="0" fillId="0" borderId="2" xfId="0" applyNumberFormat="1" applyBorder="1" applyAlignment="1" applyProtection="1">
      <alignment horizontal="center" vertical="center"/>
      <protection hidden="1"/>
    </xf>
    <xf numFmtId="164" fontId="0" fillId="4" borderId="2" xfId="0" applyNumberFormat="1" applyFill="1" applyBorder="1" applyAlignment="1" applyProtection="1">
      <alignment horizontal="center" vertical="center"/>
      <protection hidden="1"/>
    </xf>
    <xf numFmtId="2" fontId="0" fillId="4" borderId="2" xfId="0" applyNumberFormat="1" applyFill="1" applyBorder="1" applyAlignment="1" applyProtection="1">
      <alignment horizontal="center" vertical="center"/>
      <protection locked="0" hidden="1"/>
    </xf>
    <xf numFmtId="2" fontId="0" fillId="0" borderId="0" xfId="0" applyNumberFormat="1" applyAlignment="1" applyProtection="1">
      <alignment vertical="center"/>
      <protection hidden="1"/>
    </xf>
    <xf numFmtId="164" fontId="0" fillId="4" borderId="2" xfId="0" applyNumberFormat="1" applyFill="1" applyBorder="1" applyAlignment="1" applyProtection="1">
      <alignment horizontal="center" vertical="center"/>
      <protection locked="0" hidden="1"/>
    </xf>
    <xf numFmtId="166" fontId="0" fillId="0" borderId="2" xfId="0" applyNumberFormat="1" applyBorder="1" applyAlignment="1" applyProtection="1">
      <alignment horizontal="center" vertical="center"/>
      <protection hidden="1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</cellXfs>
  <cellStyles count="5">
    <cellStyle name="Moeda 2" xfId="2" xr:uid="{5BFB05B1-4F41-47AA-AED0-AC81C7931E94}"/>
    <cellStyle name="Normal" xfId="0" builtinId="0"/>
    <cellStyle name="Normal 2" xfId="4" xr:uid="{30AE58C6-2881-4299-8D3A-95A22C74D8F6}"/>
    <cellStyle name="Normal 2 4" xfId="1" xr:uid="{1B09F753-4A8A-45FE-9EDA-0FFE8155EF89}"/>
    <cellStyle name="TableStyleLight1" xfId="3" xr:uid="{AF46ED77-FA42-42FB-AD59-61624725821B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304799</xdr:colOff>
      <xdr:row>0</xdr:row>
      <xdr:rowOff>266700</xdr:rowOff>
    </xdr:from>
    <xdr:to>
      <xdr:col>19</xdr:col>
      <xdr:colOff>219074</xdr:colOff>
      <xdr:row>7</xdr:row>
      <xdr:rowOff>113571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67282A5-661F-F160-048E-22F5416B2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2774" y="266700"/>
          <a:ext cx="5400675" cy="1637571"/>
        </a:xfrm>
        <a:prstGeom prst="rect">
          <a:avLst/>
        </a:prstGeom>
      </xdr:spPr>
    </xdr:pic>
    <xdr:clientData/>
  </xdr:twoCellAnchor>
  <xdr:twoCellAnchor editAs="oneCell">
    <xdr:from>
      <xdr:col>10</xdr:col>
      <xdr:colOff>364547</xdr:colOff>
      <xdr:row>7</xdr:row>
      <xdr:rowOff>106425</xdr:rowOff>
    </xdr:from>
    <xdr:to>
      <xdr:col>19</xdr:col>
      <xdr:colOff>371474</xdr:colOff>
      <xdr:row>26</xdr:row>
      <xdr:rowOff>82405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6C85609-0246-B0F3-A998-3E7534495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2522" y="1897125"/>
          <a:ext cx="5493327" cy="46813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24</xdr:row>
      <xdr:rowOff>0</xdr:rowOff>
    </xdr:from>
    <xdr:ext cx="304800" cy="182656"/>
    <xdr:sp macro="" textlink="">
      <xdr:nvSpPr>
        <xdr:cNvPr id="3" name="AutoShape 1" descr="A norma ABNT NBR estabelece os parâmetros mínimos de desempenho exigidos de  esquadrias para instalação face externa, para uso residencial. - PDF  Download grátis">
          <a:extLst>
            <a:ext uri="{FF2B5EF4-FFF2-40B4-BE49-F238E27FC236}">
              <a16:creationId xmlns:a16="http://schemas.microsoft.com/office/drawing/2014/main" id="{168B455B-845E-469B-A1D0-36EA71F7ABA0}"/>
            </a:ext>
          </a:extLst>
        </xdr:cNvPr>
        <xdr:cNvSpPr>
          <a:spLocks noChangeAspect="1" noChangeArrowheads="1"/>
        </xdr:cNvSpPr>
      </xdr:nvSpPr>
      <xdr:spPr bwMode="auto">
        <a:xfrm>
          <a:off x="12049125" y="3486150"/>
          <a:ext cx="304800" cy="182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11</xdr:col>
      <xdr:colOff>517071</xdr:colOff>
      <xdr:row>2</xdr:row>
      <xdr:rowOff>122464</xdr:rowOff>
    </xdr:from>
    <xdr:to>
      <xdr:col>26</xdr:col>
      <xdr:colOff>544210</xdr:colOff>
      <xdr:row>13</xdr:row>
      <xdr:rowOff>190886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D8A7BDC-F565-3046-2C26-AEA8138EF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96892" y="612321"/>
          <a:ext cx="9211961" cy="2762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9AB6-DE88-4FA5-A02D-9A7D4EB4EA80}">
  <sheetPr codeName="Planilha12">
    <tabColor rgb="FFFF0000"/>
  </sheetPr>
  <dimension ref="B1:Q96"/>
  <sheetViews>
    <sheetView showGridLines="0" topLeftCell="A2" zoomScale="85" zoomScaleNormal="85" workbookViewId="0">
      <selection activeCell="G23" sqref="G23"/>
    </sheetView>
  </sheetViews>
  <sheetFormatPr defaultColWidth="9.140625" defaultRowHeight="15" zeroHeight="1" x14ac:dyDescent="0.25"/>
  <cols>
    <col min="1" max="1" width="9.140625" style="17" customWidth="1"/>
    <col min="2" max="2" width="14.42578125" style="17" customWidth="1"/>
    <col min="3" max="3" width="8.28515625" style="17" customWidth="1"/>
    <col min="4" max="5" width="11.140625" style="17" customWidth="1"/>
    <col min="6" max="19" width="9.140625" style="17" customWidth="1"/>
    <col min="20" max="16384" width="9.140625" style="17"/>
  </cols>
  <sheetData>
    <row r="1" spans="2:17" customFormat="1" ht="28.5" x14ac:dyDescent="0.45">
      <c r="B1" s="40" t="s">
        <v>34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2:17" customFormat="1" x14ac:dyDescent="0.25"/>
    <row r="3" spans="2:17" ht="20.100000000000001" customHeight="1" x14ac:dyDescent="0.25">
      <c r="B3" s="35">
        <v>3</v>
      </c>
      <c r="C3" s="21"/>
      <c r="D3" s="21" t="s">
        <v>22</v>
      </c>
    </row>
    <row r="4" spans="2:17" ht="20.100000000000001" customHeight="1" x14ac:dyDescent="0.25">
      <c r="B4" s="36"/>
      <c r="C4" s="21"/>
      <c r="D4" s="21"/>
    </row>
    <row r="5" spans="2:17" ht="20.100000000000001" customHeight="1" x14ac:dyDescent="0.25">
      <c r="B5" s="35">
        <v>3</v>
      </c>
      <c r="C5" s="21"/>
      <c r="D5" s="21" t="s">
        <v>23</v>
      </c>
    </row>
    <row r="6" spans="2:17" ht="20.100000000000001" customHeight="1" x14ac:dyDescent="0.25">
      <c r="B6" s="21"/>
      <c r="C6" s="21"/>
      <c r="D6" s="21"/>
    </row>
    <row r="7" spans="2:17" ht="20.100000000000001" customHeight="1" x14ac:dyDescent="0.25">
      <c r="B7" s="32">
        <f>DEGREES(ATAN((B3)/(B5)))</f>
        <v>45</v>
      </c>
      <c r="C7" s="21"/>
      <c r="D7" s="21" t="s">
        <v>28</v>
      </c>
    </row>
    <row r="8" spans="2:17" ht="20.100000000000001" customHeight="1" x14ac:dyDescent="0.25">
      <c r="B8" s="21"/>
      <c r="C8" s="21"/>
      <c r="D8" s="21"/>
    </row>
    <row r="9" spans="2:17" ht="20.100000000000001" customHeight="1" x14ac:dyDescent="0.25">
      <c r="B9" s="37">
        <v>1</v>
      </c>
      <c r="C9" s="21"/>
      <c r="D9" s="21" t="s">
        <v>31</v>
      </c>
    </row>
    <row r="10" spans="2:17" ht="20.100000000000001" customHeight="1" x14ac:dyDescent="0.25">
      <c r="B10" s="21"/>
      <c r="C10" s="21"/>
      <c r="D10" s="21"/>
    </row>
    <row r="11" spans="2:17" ht="20.100000000000001" customHeight="1" x14ac:dyDescent="0.25">
      <c r="B11" s="34">
        <v>0.28000000000000003</v>
      </c>
      <c r="D11" s="17" t="s">
        <v>32</v>
      </c>
    </row>
    <row r="12" spans="2:17" ht="20.100000000000001" customHeight="1" x14ac:dyDescent="0.25">
      <c r="B12" s="21"/>
      <c r="C12" s="21"/>
      <c r="D12" s="21"/>
    </row>
    <row r="13" spans="2:17" ht="20.100000000000001" customHeight="1" x14ac:dyDescent="0.25">
      <c r="B13" s="34">
        <v>0.18</v>
      </c>
      <c r="D13" s="17" t="s">
        <v>30</v>
      </c>
    </row>
    <row r="14" spans="2:17" ht="20.100000000000001" customHeight="1" x14ac:dyDescent="0.25">
      <c r="B14" s="21"/>
      <c r="C14" s="21"/>
      <c r="D14" s="21"/>
    </row>
    <row r="15" spans="2:17" ht="20.100000000000001" customHeight="1" x14ac:dyDescent="0.25">
      <c r="B15" s="15">
        <v>1.4999999999999999E-2</v>
      </c>
      <c r="C15" s="21"/>
      <c r="D15" s="21" t="s">
        <v>35</v>
      </c>
    </row>
    <row r="16" spans="2:17" ht="20.100000000000001" customHeight="1" x14ac:dyDescent="0.25">
      <c r="B16" s="22"/>
    </row>
    <row r="17" spans="2:8" ht="20.100000000000001" customHeight="1" x14ac:dyDescent="0.25">
      <c r="B17" s="15">
        <f>B11-B15</f>
        <v>0.26500000000000001</v>
      </c>
      <c r="D17" s="17" t="s">
        <v>36</v>
      </c>
    </row>
    <row r="18" spans="2:8" ht="20.100000000000001" customHeight="1" x14ac:dyDescent="0.25">
      <c r="B18" s="22"/>
    </row>
    <row r="19" spans="2:8" ht="20.100000000000001" customHeight="1" x14ac:dyDescent="0.25">
      <c r="B19" s="38">
        <f>SQRT(B13^2+B11^2)</f>
        <v>0.33286633954186479</v>
      </c>
      <c r="C19" s="21"/>
      <c r="D19" s="21" t="s">
        <v>33</v>
      </c>
      <c r="E19" s="18"/>
      <c r="G19" s="19"/>
      <c r="H19" s="17" t="s">
        <v>12</v>
      </c>
    </row>
    <row r="20" spans="2:8" ht="20.100000000000001" customHeight="1" x14ac:dyDescent="0.25"/>
    <row r="21" spans="2:8" ht="20.100000000000001" customHeight="1" x14ac:dyDescent="0.25">
      <c r="B21" s="38">
        <f>(B5)/(COS(RADIANS(B7)))</f>
        <v>4.2426406871192848</v>
      </c>
      <c r="C21" s="21"/>
      <c r="D21" s="21" t="s">
        <v>27</v>
      </c>
    </row>
    <row r="22" spans="2:8" ht="20.100000000000001" customHeight="1" x14ac:dyDescent="0.25">
      <c r="B22" s="21"/>
      <c r="C22" s="21"/>
      <c r="D22" s="21"/>
    </row>
    <row r="23" spans="2:8" ht="20.100000000000001" customHeight="1" x14ac:dyDescent="0.25">
      <c r="B23" s="33">
        <f>B21/B19</f>
        <v>12.745778659862619</v>
      </c>
      <c r="C23" s="21"/>
      <c r="D23" s="21" t="s">
        <v>37</v>
      </c>
    </row>
    <row r="24" spans="2:8" ht="20.100000000000001" customHeight="1" x14ac:dyDescent="0.25">
      <c r="B24" s="21"/>
      <c r="C24" s="21"/>
      <c r="D24" s="21"/>
    </row>
    <row r="25" spans="2:8" ht="20.100000000000001" customHeight="1" x14ac:dyDescent="0.25">
      <c r="B25" s="15">
        <f>B17+2*B13</f>
        <v>0.625</v>
      </c>
      <c r="D25" s="17" t="s">
        <v>29</v>
      </c>
    </row>
    <row r="26" spans="2:8" ht="20.100000000000001" customHeight="1" x14ac:dyDescent="0.25"/>
    <row r="27" spans="2:8" ht="20.100000000000001" customHeight="1" x14ac:dyDescent="0.25"/>
    <row r="28" spans="2:8" ht="20.100000000000001" customHeight="1" x14ac:dyDescent="0.25"/>
    <row r="29" spans="2:8" ht="20.100000000000001" customHeight="1" x14ac:dyDescent="0.25"/>
    <row r="30" spans="2:8" ht="20.100000000000001" customHeight="1" x14ac:dyDescent="0.25"/>
    <row r="31" spans="2:8" ht="20.100000000000001" customHeight="1" x14ac:dyDescent="0.25"/>
    <row r="32" spans="2:8" ht="20.100000000000001" customHeight="1" x14ac:dyDescent="0.25"/>
    <row r="33" ht="20.100000000000001" customHeight="1" x14ac:dyDescent="0.25"/>
    <row r="34" ht="20.100000000000001" customHeight="1" x14ac:dyDescent="0.25"/>
    <row r="35" ht="20.100000000000001" hidden="1" customHeight="1" x14ac:dyDescent="0.25"/>
    <row r="36" ht="20.100000000000001" hidden="1" customHeight="1" x14ac:dyDescent="0.25"/>
    <row r="37" ht="20.100000000000001" hidden="1" customHeight="1" x14ac:dyDescent="0.25"/>
    <row r="38" ht="20.100000000000001" hidden="1" customHeight="1" x14ac:dyDescent="0.25"/>
    <row r="39" ht="20.100000000000001" hidden="1" customHeight="1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</sheetData>
  <mergeCells count="1">
    <mergeCell ref="B1:Q1"/>
  </mergeCells>
  <phoneticPr fontId="8" type="noConversion"/>
  <conditionalFormatting sqref="B17">
    <cfRule type="cellIs" dxfId="5" priority="1" operator="equal">
      <formula>0.15</formula>
    </cfRule>
    <cfRule type="cellIs" dxfId="4" priority="2" operator="greaterThan">
      <formula>0.15</formula>
    </cfRule>
    <cfRule type="cellIs" dxfId="3" priority="3" operator="lessThan">
      <formula>0.15</formula>
    </cfRule>
  </conditionalFormatting>
  <conditionalFormatting sqref="B25">
    <cfRule type="cellIs" dxfId="2" priority="7" operator="between">
      <formula>0.6</formula>
      <formula>0.66</formula>
    </cfRule>
    <cfRule type="cellIs" dxfId="1" priority="8" operator="lessThan">
      <formula>0.6</formula>
    </cfRule>
    <cfRule type="cellIs" dxfId="0" priority="9" operator="greaterThan">
      <formula>0.66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D4D29-2638-4047-A766-4306F68C2E33}">
  <sheetPr codeName="Planilha15">
    <tabColor rgb="FFFFC000"/>
  </sheetPr>
  <dimension ref="B1:Q87"/>
  <sheetViews>
    <sheetView showGridLines="0" tabSelected="1" zoomScale="70" zoomScaleNormal="70" workbookViewId="0">
      <selection activeCell="H15" sqref="H15"/>
    </sheetView>
  </sheetViews>
  <sheetFormatPr defaultColWidth="9.140625" defaultRowHeight="15" zeroHeight="1" x14ac:dyDescent="0.25"/>
  <cols>
    <col min="1" max="1" width="9.140625" style="17" customWidth="1"/>
    <col min="2" max="2" width="16.140625" style="17" customWidth="1"/>
    <col min="3" max="3" width="10.42578125" style="17" customWidth="1"/>
    <col min="4" max="18" width="9.140625" style="17" customWidth="1"/>
    <col min="19" max="16384" width="9.140625" style="17"/>
  </cols>
  <sheetData>
    <row r="1" spans="2:17" ht="20.100000000000001" customHeight="1" x14ac:dyDescent="0.25"/>
    <row r="2" spans="2:17" s="28" customFormat="1" ht="18.75" x14ac:dyDescent="0.3">
      <c r="B2" s="27" t="s">
        <v>11</v>
      </c>
    </row>
    <row r="3" spans="2:17" ht="20.100000000000001" customHeight="1" thickBot="1" x14ac:dyDescent="0.3"/>
    <row r="4" spans="2:17" ht="20.100000000000001" customHeight="1" thickBot="1" x14ac:dyDescent="0.3">
      <c r="B4" s="23">
        <v>0.27</v>
      </c>
      <c r="C4" s="17" t="s">
        <v>0</v>
      </c>
      <c r="D4" s="17" t="s">
        <v>25</v>
      </c>
      <c r="I4" s="17">
        <f>B4*102</f>
        <v>27.540000000000003</v>
      </c>
      <c r="J4" s="17" t="s">
        <v>7</v>
      </c>
      <c r="L4" s="26"/>
      <c r="M4" s="24"/>
      <c r="N4" s="24"/>
      <c r="O4" s="24"/>
      <c r="P4" s="24"/>
      <c r="Q4" s="24"/>
    </row>
    <row r="5" spans="2:17" ht="20.100000000000001" customHeight="1" thickBot="1" x14ac:dyDescent="0.3">
      <c r="B5" s="18"/>
      <c r="L5" s="24"/>
      <c r="M5" s="24"/>
      <c r="N5" s="24"/>
      <c r="O5" s="24"/>
      <c r="P5" s="24"/>
      <c r="Q5" s="24"/>
    </row>
    <row r="6" spans="2:17" ht="20.100000000000001" customHeight="1" thickBot="1" x14ac:dyDescent="0.3">
      <c r="B6" s="23">
        <v>0</v>
      </c>
      <c r="C6" s="17" t="s">
        <v>0</v>
      </c>
      <c r="D6" s="17" t="s">
        <v>14</v>
      </c>
      <c r="I6" s="17">
        <f>B6*102</f>
        <v>0</v>
      </c>
      <c r="J6" s="17" t="s">
        <v>7</v>
      </c>
      <c r="L6" s="24"/>
      <c r="M6" s="24"/>
      <c r="N6" s="24"/>
      <c r="O6" s="24"/>
      <c r="P6" s="24"/>
      <c r="Q6" s="24"/>
    </row>
    <row r="7" spans="2:17" ht="20.100000000000001" customHeight="1" thickBot="1" x14ac:dyDescent="0.3">
      <c r="B7" s="19"/>
      <c r="L7" s="24"/>
      <c r="M7" s="24"/>
      <c r="N7" s="24"/>
      <c r="O7" s="24"/>
      <c r="P7" s="24"/>
      <c r="Q7" s="24"/>
    </row>
    <row r="8" spans="2:17" ht="20.100000000000001" customHeight="1" thickBot="1" x14ac:dyDescent="0.3">
      <c r="B8" s="23">
        <v>0</v>
      </c>
      <c r="C8" s="17" t="s">
        <v>0</v>
      </c>
      <c r="D8" s="17" t="s">
        <v>15</v>
      </c>
      <c r="G8" s="20"/>
      <c r="I8" s="17">
        <f>B8*102</f>
        <v>0</v>
      </c>
      <c r="J8" s="17" t="s">
        <v>7</v>
      </c>
      <c r="L8" s="24"/>
      <c r="M8" s="24"/>
      <c r="N8" s="24"/>
      <c r="O8" s="24"/>
      <c r="P8" s="24"/>
      <c r="Q8" s="24"/>
    </row>
    <row r="9" spans="2:17" ht="20.100000000000001" customHeight="1" thickBot="1" x14ac:dyDescent="0.3">
      <c r="B9" s="18"/>
      <c r="L9" s="24"/>
      <c r="M9" s="24"/>
      <c r="N9" s="24"/>
      <c r="O9" s="24"/>
      <c r="P9" s="24"/>
      <c r="Q9" s="24"/>
    </row>
    <row r="10" spans="2:17" ht="20.100000000000001" customHeight="1" thickBot="1" x14ac:dyDescent="0.3">
      <c r="B10" s="23">
        <v>0</v>
      </c>
      <c r="C10" s="17" t="s">
        <v>0</v>
      </c>
      <c r="D10" s="17" t="s">
        <v>8</v>
      </c>
      <c r="G10" s="20"/>
      <c r="I10" s="17">
        <f>B10*102</f>
        <v>0</v>
      </c>
      <c r="J10" s="17" t="s">
        <v>7</v>
      </c>
      <c r="L10" s="24"/>
      <c r="M10" s="24"/>
      <c r="N10" s="24"/>
      <c r="O10" s="24"/>
      <c r="P10" s="24"/>
      <c r="Q10" s="24"/>
    </row>
    <row r="11" spans="2:17" ht="20.100000000000001" customHeight="1" thickBot="1" x14ac:dyDescent="0.3">
      <c r="B11" s="18"/>
      <c r="L11" s="24"/>
      <c r="M11" s="24"/>
      <c r="N11" s="24"/>
      <c r="O11" s="24"/>
      <c r="P11" s="24"/>
      <c r="Q11" s="24"/>
    </row>
    <row r="12" spans="2:17" ht="20.100000000000001" customHeight="1" thickBot="1" x14ac:dyDescent="0.3">
      <c r="B12" s="25">
        <f>SUM(B4:B10)</f>
        <v>0.27</v>
      </c>
      <c r="C12" s="17" t="s">
        <v>0</v>
      </c>
      <c r="D12" s="17" t="s">
        <v>1</v>
      </c>
      <c r="I12" s="17">
        <f>B12*102</f>
        <v>27.540000000000003</v>
      </c>
      <c r="J12" s="17" t="s">
        <v>7</v>
      </c>
      <c r="L12" s="24"/>
      <c r="M12" s="24"/>
      <c r="N12" s="24"/>
      <c r="O12" s="24"/>
      <c r="P12" s="24"/>
      <c r="Q12" s="24"/>
    </row>
    <row r="13" spans="2:17" ht="20.100000000000001" customHeight="1" x14ac:dyDescent="0.25"/>
    <row r="14" spans="2:17" ht="20.100000000000001" customHeight="1" x14ac:dyDescent="0.25"/>
    <row r="15" spans="2:17" s="28" customFormat="1" ht="18.75" x14ac:dyDescent="0.3">
      <c r="B15" s="27" t="s">
        <v>10</v>
      </c>
    </row>
    <row r="16" spans="2:17" customFormat="1" ht="15.75" thickBot="1" x14ac:dyDescent="0.3"/>
    <row r="17" spans="2:10" ht="20.100000000000001" customHeight="1" thickBot="1" x14ac:dyDescent="0.3">
      <c r="B17" s="23">
        <v>2.5</v>
      </c>
      <c r="C17" s="17" t="s">
        <v>0</v>
      </c>
      <c r="D17" s="17" t="s">
        <v>13</v>
      </c>
      <c r="I17" s="31">
        <f>B17*102</f>
        <v>255</v>
      </c>
      <c r="J17" s="17" t="s">
        <v>7</v>
      </c>
    </row>
    <row r="18" spans="2:10" ht="20.100000000000001" customHeight="1" thickBot="1" x14ac:dyDescent="0.3">
      <c r="B18" s="20"/>
      <c r="G18" s="18"/>
    </row>
    <row r="19" spans="2:10" ht="20.100000000000001" customHeight="1" thickBot="1" x14ac:dyDescent="0.3">
      <c r="B19" s="23">
        <v>0</v>
      </c>
      <c r="C19" s="17" t="s">
        <v>0</v>
      </c>
      <c r="D19" s="17" t="s">
        <v>8</v>
      </c>
      <c r="G19" s="22"/>
      <c r="I19" s="31">
        <f>B19*102</f>
        <v>0</v>
      </c>
      <c r="J19" s="17" t="s">
        <v>7</v>
      </c>
    </row>
    <row r="20" spans="2:10" ht="20.100000000000001" customHeight="1" thickBot="1" x14ac:dyDescent="0.3">
      <c r="B20" s="19"/>
    </row>
    <row r="21" spans="2:10" ht="20.100000000000001" customHeight="1" thickBot="1" x14ac:dyDescent="0.3">
      <c r="B21" s="23">
        <v>0</v>
      </c>
      <c r="C21" s="17" t="s">
        <v>0</v>
      </c>
      <c r="D21" s="17" t="s">
        <v>8</v>
      </c>
      <c r="G21" s="22"/>
      <c r="I21" s="31">
        <f>B21*102</f>
        <v>0</v>
      </c>
      <c r="J21" s="17" t="s">
        <v>7</v>
      </c>
    </row>
    <row r="22" spans="2:10" ht="20.100000000000001" customHeight="1" thickBot="1" x14ac:dyDescent="0.3"/>
    <row r="23" spans="2:10" ht="20.100000000000001" customHeight="1" thickBot="1" x14ac:dyDescent="0.3">
      <c r="B23" s="25">
        <f>SUM(B17:B22)</f>
        <v>2.5</v>
      </c>
      <c r="C23" s="17" t="s">
        <v>0</v>
      </c>
      <c r="D23" s="17" t="s">
        <v>2</v>
      </c>
      <c r="I23" s="31">
        <f>B23*102</f>
        <v>255</v>
      </c>
      <c r="J23" s="17" t="s">
        <v>7</v>
      </c>
    </row>
    <row r="24" spans="2:10" ht="20.100000000000001" customHeight="1" x14ac:dyDescent="0.25"/>
    <row r="25" spans="2:10" ht="20.100000000000001" customHeight="1" x14ac:dyDescent="0.25"/>
    <row r="26" spans="2:10" ht="20.100000000000001" customHeight="1" x14ac:dyDescent="0.25">
      <c r="C26" s="21"/>
    </row>
    <row r="27" spans="2:10" ht="20.100000000000001" customHeight="1" x14ac:dyDescent="0.25">
      <c r="C27" s="21"/>
    </row>
    <row r="28" spans="2:10" ht="20.100000000000001" customHeight="1" x14ac:dyDescent="0.25">
      <c r="C28" s="21"/>
    </row>
    <row r="29" spans="2:10" ht="20.100000000000001" customHeight="1" x14ac:dyDescent="0.25">
      <c r="C29" s="21"/>
    </row>
    <row r="30" spans="2:10" ht="20.100000000000001" customHeight="1" x14ac:dyDescent="0.25">
      <c r="C30" s="21"/>
    </row>
    <row r="31" spans="2:10" ht="20.100000000000001" customHeight="1" x14ac:dyDescent="0.25">
      <c r="C31" s="21"/>
    </row>
    <row r="32" spans="2:10" ht="20.100000000000001" customHeight="1" x14ac:dyDescent="0.25">
      <c r="C32" s="21"/>
    </row>
    <row r="33" spans="3:3" ht="20.100000000000001" customHeight="1" x14ac:dyDescent="0.25">
      <c r="C33" s="21"/>
    </row>
    <row r="34" spans="3:3" ht="20.100000000000001" customHeight="1" x14ac:dyDescent="0.25">
      <c r="C34" s="21"/>
    </row>
    <row r="35" spans="3:3" ht="20.100000000000001" customHeight="1" x14ac:dyDescent="0.25">
      <c r="C35" s="21"/>
    </row>
    <row r="36" spans="3:3" ht="20.100000000000001" customHeight="1" x14ac:dyDescent="0.25">
      <c r="C36" s="21"/>
    </row>
    <row r="37" spans="3:3" ht="20.100000000000001" customHeight="1" x14ac:dyDescent="0.25">
      <c r="C37" s="21"/>
    </row>
    <row r="38" spans="3:3" ht="20.100000000000001" customHeight="1" x14ac:dyDescent="0.25">
      <c r="C38" s="21"/>
    </row>
    <row r="39" spans="3:3" ht="20.100000000000001" customHeight="1" x14ac:dyDescent="0.25">
      <c r="C39" s="21"/>
    </row>
    <row r="40" spans="3:3" ht="20.100000000000001" customHeight="1" x14ac:dyDescent="0.25">
      <c r="C40" s="21"/>
    </row>
    <row r="41" spans="3:3" ht="20.100000000000001" customHeight="1" x14ac:dyDescent="0.25">
      <c r="C41" s="21"/>
    </row>
    <row r="42" spans="3:3" ht="20.100000000000001" customHeight="1" x14ac:dyDescent="0.25">
      <c r="C42" s="21"/>
    </row>
    <row r="43" spans="3:3" ht="20.100000000000001" customHeight="1" x14ac:dyDescent="0.25">
      <c r="C43" s="21"/>
    </row>
    <row r="44" spans="3:3" ht="20.100000000000001" customHeight="1" x14ac:dyDescent="0.25">
      <c r="C44" s="21"/>
    </row>
    <row r="45" spans="3:3" ht="20.100000000000001" customHeight="1" x14ac:dyDescent="0.25">
      <c r="C45" s="21"/>
    </row>
    <row r="46" spans="3:3" ht="20.100000000000001" customHeight="1" x14ac:dyDescent="0.25">
      <c r="C46" s="21"/>
    </row>
    <row r="47" spans="3:3" ht="20.100000000000001" customHeight="1" x14ac:dyDescent="0.25">
      <c r="C47" s="21"/>
    </row>
    <row r="48" spans="3:3" ht="20.100000000000001" hidden="1" customHeight="1" x14ac:dyDescent="0.25">
      <c r="C48" s="21"/>
    </row>
    <row r="49" spans="3:3" ht="20.100000000000001" hidden="1" customHeight="1" x14ac:dyDescent="0.25">
      <c r="C49" s="21"/>
    </row>
    <row r="50" spans="3:3" ht="20.100000000000001" hidden="1" customHeight="1" x14ac:dyDescent="0.25">
      <c r="C50" s="21"/>
    </row>
    <row r="51" spans="3:3" ht="20.100000000000001" hidden="1" customHeight="1" x14ac:dyDescent="0.25">
      <c r="C51" s="21"/>
    </row>
    <row r="52" spans="3:3" ht="20.100000000000001" hidden="1" customHeight="1" x14ac:dyDescent="0.25">
      <c r="C52" s="21"/>
    </row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637B-A992-4629-8E54-57ADDF5A1ECC}">
  <sheetPr codeName="Planilha22">
    <tabColor rgb="FF00B0F0"/>
  </sheetPr>
  <dimension ref="A1:O28"/>
  <sheetViews>
    <sheetView showGridLines="0" zoomScaleNormal="100" workbookViewId="0">
      <selection activeCell="C3" sqref="C3"/>
    </sheetView>
  </sheetViews>
  <sheetFormatPr defaultColWidth="9.140625" defaultRowHeight="15" x14ac:dyDescent="0.25"/>
  <cols>
    <col min="1" max="1" width="9.140625" customWidth="1"/>
    <col min="2" max="2" width="20.140625" customWidth="1"/>
    <col min="3" max="3" width="15.7109375" style="1" bestFit="1" customWidth="1"/>
    <col min="4" max="4" width="9.140625" style="6" customWidth="1"/>
    <col min="5" max="6" width="9.140625" customWidth="1"/>
    <col min="7" max="7" width="7.42578125" style="2" customWidth="1"/>
    <col min="8" max="8" width="8.42578125" style="2" customWidth="1"/>
    <col min="9" max="9" width="9.7109375" style="2" customWidth="1"/>
    <col min="10" max="10" width="10.85546875" style="2" customWidth="1"/>
    <col min="11" max="11" width="9.28515625" style="2" customWidth="1"/>
    <col min="12" max="15" width="7.42578125" style="2" customWidth="1"/>
    <col min="16" max="23" width="9.140625" customWidth="1"/>
  </cols>
  <sheetData>
    <row r="1" spans="1:15" ht="28.5" x14ac:dyDescent="0.45">
      <c r="B1" s="30" t="s">
        <v>38</v>
      </c>
      <c r="C1" s="30"/>
      <c r="D1" s="30"/>
      <c r="E1" s="30"/>
      <c r="F1" s="30"/>
      <c r="G1" s="30"/>
      <c r="H1" s="30"/>
      <c r="I1" s="29"/>
      <c r="J1"/>
      <c r="K1"/>
      <c r="L1"/>
      <c r="M1"/>
      <c r="N1"/>
      <c r="O1"/>
    </row>
    <row r="2" spans="1:15" ht="20.100000000000001" customHeight="1" x14ac:dyDescent="0.3">
      <c r="B2" s="7"/>
      <c r="C2" s="4"/>
      <c r="D2" s="5"/>
    </row>
    <row r="3" spans="1:15" ht="20.100000000000001" customHeight="1" x14ac:dyDescent="0.25">
      <c r="A3" s="8"/>
      <c r="B3" s="9" t="s">
        <v>26</v>
      </c>
      <c r="C3" s="11">
        <f>'DEFINIÇÃO DA GEOMETRIA'!B19</f>
        <v>0.33286633954186479</v>
      </c>
      <c r="D3" s="10" t="s">
        <v>24</v>
      </c>
      <c r="E3" s="8"/>
      <c r="F3" s="8"/>
      <c r="G3" s="3"/>
      <c r="H3" s="3"/>
      <c r="I3" s="3"/>
      <c r="J3" s="3"/>
      <c r="K3" s="3"/>
      <c r="L3" s="3"/>
      <c r="M3" s="3"/>
      <c r="N3" s="3"/>
      <c r="O3" s="3"/>
    </row>
    <row r="4" spans="1:15" ht="20.100000000000001" customHeight="1" x14ac:dyDescent="0.25">
      <c r="A4" s="8"/>
      <c r="B4" s="9"/>
      <c r="C4" s="12"/>
      <c r="D4" s="10"/>
      <c r="E4" s="8"/>
      <c r="F4" s="8"/>
      <c r="G4" s="3"/>
      <c r="H4" s="3"/>
      <c r="I4" s="3"/>
      <c r="J4" s="3"/>
      <c r="K4" s="3"/>
      <c r="L4" s="3"/>
      <c r="M4" s="3"/>
      <c r="N4" s="3"/>
      <c r="O4" s="3"/>
    </row>
    <row r="5" spans="1:15" ht="20.100000000000001" customHeight="1" x14ac:dyDescent="0.25">
      <c r="A5" s="8"/>
      <c r="B5" s="9" t="s">
        <v>3</v>
      </c>
      <c r="C5" s="12">
        <f>'AÇÕES NA ESTRUTURA'!B12</f>
        <v>0.27</v>
      </c>
      <c r="D5" s="10" t="s">
        <v>16</v>
      </c>
      <c r="E5" s="8"/>
      <c r="F5" s="8"/>
      <c r="G5" s="3"/>
      <c r="H5" s="3"/>
      <c r="I5" s="3"/>
      <c r="J5" s="3"/>
      <c r="K5" s="3"/>
      <c r="L5" s="3"/>
      <c r="M5" s="3"/>
      <c r="N5" s="3"/>
      <c r="O5" s="3"/>
    </row>
    <row r="6" spans="1:15" ht="20.100000000000001" customHeight="1" x14ac:dyDescent="0.25">
      <c r="A6" s="8"/>
      <c r="B6" s="9" t="s">
        <v>9</v>
      </c>
      <c r="C6" s="13">
        <f>C7/2</f>
        <v>4.493695583815175E-2</v>
      </c>
      <c r="D6" s="10" t="s">
        <v>21</v>
      </c>
      <c r="E6" s="8"/>
      <c r="F6" s="8"/>
      <c r="G6" s="3"/>
      <c r="H6" s="3"/>
      <c r="I6" s="3"/>
      <c r="J6" s="3"/>
      <c r="K6" s="3"/>
      <c r="L6" s="3"/>
      <c r="M6" s="3"/>
      <c r="N6" s="3"/>
      <c r="O6" s="3"/>
    </row>
    <row r="7" spans="1:15" ht="20.100000000000001" customHeight="1" x14ac:dyDescent="0.25">
      <c r="A7" s="8"/>
      <c r="B7" s="16" t="s">
        <v>4</v>
      </c>
      <c r="C7" s="14">
        <f>C5*C3</f>
        <v>8.98739116763035E-2</v>
      </c>
      <c r="D7" s="10" t="s">
        <v>17</v>
      </c>
      <c r="E7" s="8"/>
      <c r="F7" s="8"/>
      <c r="G7" s="3"/>
      <c r="H7" s="3"/>
      <c r="I7" s="3"/>
      <c r="J7" s="3"/>
      <c r="K7" s="3"/>
      <c r="L7" s="3"/>
      <c r="M7" s="3"/>
      <c r="N7" s="3"/>
      <c r="O7" s="3"/>
    </row>
    <row r="8" spans="1:15" ht="20.100000000000001" customHeight="1" x14ac:dyDescent="0.25">
      <c r="A8" s="8"/>
      <c r="B8" s="16"/>
      <c r="C8" s="8"/>
      <c r="D8" s="10"/>
      <c r="E8" s="8"/>
      <c r="F8" s="8"/>
      <c r="G8" s="3"/>
      <c r="H8" s="3"/>
      <c r="I8" s="3"/>
      <c r="J8" s="3"/>
      <c r="K8" s="3"/>
      <c r="L8" s="3"/>
      <c r="M8" s="3"/>
      <c r="N8" s="3"/>
      <c r="O8" s="3"/>
    </row>
    <row r="9" spans="1:15" ht="20.100000000000001" customHeight="1" x14ac:dyDescent="0.25">
      <c r="A9" s="8"/>
      <c r="B9" s="9" t="s">
        <v>5</v>
      </c>
      <c r="C9" s="12">
        <f>'AÇÕES NA ESTRUTURA'!B23</f>
        <v>2.5</v>
      </c>
      <c r="D9" s="10" t="s">
        <v>18</v>
      </c>
      <c r="E9" s="8"/>
      <c r="F9" s="8"/>
      <c r="G9" s="3"/>
      <c r="H9" s="3"/>
      <c r="I9" s="3"/>
      <c r="J9" s="3"/>
      <c r="K9" s="3"/>
      <c r="L9" s="3"/>
      <c r="M9" s="3"/>
      <c r="N9" s="3"/>
      <c r="O9" s="3"/>
    </row>
    <row r="10" spans="1:15" ht="20.100000000000001" customHeight="1" x14ac:dyDescent="0.25">
      <c r="A10" s="8"/>
      <c r="B10" s="9" t="s">
        <v>5</v>
      </c>
      <c r="C10" s="13">
        <f>C11/2</f>
        <v>0.41608292442733097</v>
      </c>
      <c r="D10" s="10" t="s">
        <v>19</v>
      </c>
      <c r="E10" s="8"/>
      <c r="F10" s="8"/>
      <c r="G10" s="3"/>
      <c r="H10" s="3"/>
      <c r="I10" s="3"/>
      <c r="J10" s="3"/>
      <c r="K10" s="3"/>
      <c r="L10" s="3"/>
      <c r="M10" s="3"/>
      <c r="N10" s="3"/>
      <c r="O10" s="3"/>
    </row>
    <row r="11" spans="1:15" ht="20.100000000000001" customHeight="1" x14ac:dyDescent="0.25">
      <c r="A11" s="8"/>
      <c r="B11" s="16" t="s">
        <v>6</v>
      </c>
      <c r="C11" s="14">
        <f>C3*C9</f>
        <v>0.83216584885466194</v>
      </c>
      <c r="D11" s="10" t="s">
        <v>20</v>
      </c>
      <c r="E11" s="8"/>
      <c r="F11" s="8"/>
      <c r="G11" s="3"/>
      <c r="H11" s="3"/>
      <c r="I11" s="3"/>
      <c r="J11" s="3"/>
      <c r="K11" s="3"/>
      <c r="L11" s="3"/>
      <c r="M11" s="3"/>
      <c r="N11" s="3"/>
      <c r="O11" s="3"/>
    </row>
    <row r="12" spans="1:15" ht="20.100000000000001" customHeight="1" x14ac:dyDescent="0.25">
      <c r="A12" s="8"/>
      <c r="B12" s="16"/>
      <c r="C12" s="10"/>
      <c r="D12" s="10"/>
      <c r="E12" s="8"/>
      <c r="F12" s="8"/>
      <c r="G12" s="3"/>
      <c r="H12" s="3"/>
      <c r="I12" s="3"/>
      <c r="J12" s="3"/>
      <c r="K12" s="3"/>
      <c r="L12" s="3"/>
      <c r="M12" s="3"/>
      <c r="N12" s="3"/>
      <c r="O12" s="3"/>
    </row>
    <row r="13" spans="1:15" ht="20.100000000000001" customHeight="1" x14ac:dyDescent="0.25">
      <c r="A13" s="8"/>
      <c r="B13" s="16"/>
      <c r="C13" s="10"/>
      <c r="E13" s="8"/>
      <c r="F13" s="8"/>
      <c r="G13" s="3"/>
      <c r="H13" s="3"/>
      <c r="I13" s="3"/>
      <c r="J13" s="3"/>
      <c r="K13" s="3"/>
      <c r="L13" s="3"/>
      <c r="M13" s="3"/>
      <c r="N13" s="3"/>
      <c r="O13" s="3"/>
    </row>
    <row r="14" spans="1:15" ht="20.100000000000001" customHeight="1" x14ac:dyDescent="0.25">
      <c r="A14" s="8"/>
      <c r="B14" s="8"/>
      <c r="C14" s="12">
        <f>'DEFINIÇÃO DA GEOMETRIA'!B11</f>
        <v>0.28000000000000003</v>
      </c>
      <c r="D14" s="10" t="s">
        <v>39</v>
      </c>
      <c r="E14" s="8"/>
      <c r="F14" s="8"/>
      <c r="G14" s="3"/>
      <c r="H14" s="3"/>
      <c r="I14" s="3"/>
      <c r="J14" s="3"/>
      <c r="K14" s="3"/>
      <c r="L14" s="3"/>
      <c r="M14" s="3"/>
      <c r="N14" s="3"/>
      <c r="O14" s="3"/>
    </row>
    <row r="15" spans="1:15" ht="20.100000000000001" customHeight="1" x14ac:dyDescent="0.25">
      <c r="C15" s="12">
        <f>'DEFINIÇÃO DA GEOMETRIA'!B9</f>
        <v>1</v>
      </c>
      <c r="D15" s="6" t="s">
        <v>40</v>
      </c>
    </row>
    <row r="16" spans="1:15" ht="20.100000000000001" customHeight="1" x14ac:dyDescent="0.25">
      <c r="C16" s="12">
        <f>C14*C15</f>
        <v>0.28000000000000003</v>
      </c>
      <c r="D16" s="6" t="s">
        <v>41</v>
      </c>
    </row>
    <row r="17" spans="2:4" ht="20.100000000000001" customHeight="1" x14ac:dyDescent="0.25">
      <c r="B17" s="1" t="s">
        <v>43</v>
      </c>
    </row>
    <row r="18" spans="2:4" ht="20.100000000000001" customHeight="1" x14ac:dyDescent="0.25">
      <c r="B18" s="1" t="s">
        <v>42</v>
      </c>
      <c r="C18" s="39">
        <f>C16*C5</f>
        <v>7.5600000000000014E-2</v>
      </c>
      <c r="D18" s="6" t="s">
        <v>44</v>
      </c>
    </row>
    <row r="19" spans="2:4" ht="20.100000000000001" customHeight="1" x14ac:dyDescent="0.25">
      <c r="B19" s="1" t="s">
        <v>45</v>
      </c>
      <c r="C19" s="39">
        <f>C16*C9</f>
        <v>0.70000000000000007</v>
      </c>
      <c r="D19" s="6" t="s">
        <v>44</v>
      </c>
    </row>
    <row r="20" spans="2:4" ht="20.100000000000001" customHeight="1" x14ac:dyDescent="0.25"/>
    <row r="21" spans="2:4" ht="20.100000000000001" customHeight="1" x14ac:dyDescent="0.25"/>
    <row r="22" spans="2:4" ht="20.100000000000001" customHeight="1" x14ac:dyDescent="0.25"/>
    <row r="23" spans="2:4" ht="20.100000000000001" customHeight="1" x14ac:dyDescent="0.25"/>
    <row r="24" spans="2:4" ht="20.100000000000001" customHeight="1" x14ac:dyDescent="0.25"/>
    <row r="25" spans="2:4" ht="20.100000000000001" customHeight="1" x14ac:dyDescent="0.25"/>
    <row r="26" spans="2:4" ht="20.100000000000001" customHeight="1" x14ac:dyDescent="0.25"/>
    <row r="27" spans="2:4" ht="20.100000000000001" customHeight="1" x14ac:dyDescent="0.25"/>
    <row r="28" spans="2:4" ht="20.100000000000001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DEFINIÇÃO DA GEOMETRIA</vt:lpstr>
      <vt:lpstr>AÇÕES NA ESTRUTURA</vt:lpstr>
      <vt:lpstr>CARGA NOS DEGAUS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Leônidas Müller de Oliveira</dc:creator>
  <cp:keywords/>
  <dc:description/>
  <cp:lastModifiedBy>Leônidas Müller de Oliveira</cp:lastModifiedBy>
  <cp:revision/>
  <dcterms:created xsi:type="dcterms:W3CDTF">2021-12-20T18:53:31Z</dcterms:created>
  <dcterms:modified xsi:type="dcterms:W3CDTF">2025-06-01T17:33:41Z</dcterms:modified>
  <cp:category/>
  <cp:contentStatus/>
</cp:coreProperties>
</file>