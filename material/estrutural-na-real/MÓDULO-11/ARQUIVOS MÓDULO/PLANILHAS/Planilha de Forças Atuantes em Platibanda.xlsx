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f9566427f0cd7a/[LEÔNIDAS]/[EMPRESA]/PRODUTOS/CURSOS/PÓS GRADUAÇÃO - ESTRUTURAS METÁLICAS - WALTNER WAGNER/AULAS/"/>
    </mc:Choice>
  </mc:AlternateContent>
  <xr:revisionPtr revIDLastSave="72" documentId="8_{817F77DB-CB99-4EB5-BB5D-DD5BD850033B}" xr6:coauthVersionLast="47" xr6:coauthVersionMax="47" xr10:uidLastSave="{474EF951-1986-4DF3-95CD-94AC57236412}"/>
  <bookViews>
    <workbookView xWindow="35505" yWindow="2430" windowWidth="20175" windowHeight="11505" xr2:uid="{E147D87D-4B73-4834-948B-0A27560D4F54}"/>
  </bookViews>
  <sheets>
    <sheet name="CARGA NA PLATIBAND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" l="1"/>
  <c r="C33" i="2"/>
  <c r="C34" i="2"/>
  <c r="C20" i="2"/>
  <c r="C15" i="2"/>
  <c r="C37" i="2"/>
  <c r="C39" i="2" s="1"/>
  <c r="C32" i="2"/>
  <c r="C28" i="2" l="1"/>
  <c r="C25" i="2"/>
  <c r="C9" i="2"/>
  <c r="C14" i="2" l="1"/>
  <c r="C19" i="2"/>
  <c r="C16" i="2" l="1"/>
  <c r="C21" i="2"/>
  <c r="C35" i="2"/>
  <c r="C40" i="2"/>
</calcChain>
</file>

<file path=xl/sharedStrings.xml><?xml version="1.0" encoding="utf-8"?>
<sst xmlns="http://schemas.openxmlformats.org/spreadsheetml/2006/main" count="51" uniqueCount="24">
  <si>
    <t>Carga Distribuída nas Platibandas</t>
  </si>
  <si>
    <t>q</t>
  </si>
  <si>
    <t>kN/m², pressão dinâmica do vento</t>
  </si>
  <si>
    <t>Comprimento</t>
  </si>
  <si>
    <t>m</t>
  </si>
  <si>
    <t>Altura</t>
  </si>
  <si>
    <t>Ae</t>
  </si>
  <si>
    <t>Área de Exposição Frontal (m²)</t>
  </si>
  <si>
    <t>Coeficiente Barlavento</t>
  </si>
  <si>
    <t>Coeficiente Sotavento</t>
  </si>
  <si>
    <t>Distância Entre Montantes</t>
  </si>
  <si>
    <t xml:space="preserve">Carga Total Barlavento 0° </t>
  </si>
  <si>
    <t>Carga Beiral Barlavento (kN)</t>
  </si>
  <si>
    <t xml:space="preserve">Fbb0° </t>
  </si>
  <si>
    <t>Carga Beiral Barlavento (kN/m)</t>
  </si>
  <si>
    <t>Fbb0° /2</t>
  </si>
  <si>
    <t xml:space="preserve">Carga Total Sotavento 0° </t>
  </si>
  <si>
    <t>Carga Beiral Sotavento (kN/m²)</t>
  </si>
  <si>
    <t xml:space="preserve">Fbs0° </t>
  </si>
  <si>
    <t>Carga Beiral Sotavento (kN/m)</t>
  </si>
  <si>
    <t>Fbs0° /2</t>
  </si>
  <si>
    <t>Cargas na Platibanda V0</t>
  </si>
  <si>
    <t>Cargas na Platibanda V90</t>
  </si>
  <si>
    <t>Largura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</si>
</sst>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6" fillId="0" borderId="0" xfId="0" applyFont="1"/>
    <xf numFmtId="0" fontId="6" fillId="0" borderId="0" xfId="0" applyFont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2" fillId="0" borderId="0" xfId="0" applyNumberFormat="1" applyFont="1" applyAlignment="1" applyProtection="1">
      <alignment vertical="center"/>
      <protection hidden="1"/>
    </xf>
    <xf numFmtId="0" fontId="5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164" fontId="6" fillId="2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333375</xdr:colOff>
      <xdr:row>3</xdr:row>
      <xdr:rowOff>114300</xdr:rowOff>
    </xdr:from>
    <xdr:to>
      <xdr:col>16</xdr:col>
      <xdr:colOff>514833</xdr:colOff>
      <xdr:row>13</xdr:row>
      <xdr:rowOff>4193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840D3C-ED5A-AA42-8B5D-C1BDE1C06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9825" y="904875"/>
          <a:ext cx="5248758" cy="1937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2133-328B-4463-9EEC-88665CCA7D4A}">
  <sheetPr>
    <tabColor rgb="FF00B0F0"/>
  </sheetPr>
  <dimension ref="A2:M40"/>
  <sheetViews>
    <sheetView showGridLines="0" tabSelected="1" topLeftCell="A25" zoomScaleNormal="100" workbookViewId="0">
      <selection activeCell="F7" sqref="F7"/>
    </sheetView>
  </sheetViews>
  <sheetFormatPr defaultColWidth="9.140625" defaultRowHeight="15" x14ac:dyDescent="0.25"/>
  <cols>
    <col min="1" max="1" width="9.140625" customWidth="1"/>
    <col min="2" max="2" width="29.28515625" customWidth="1"/>
    <col min="3" max="3" width="15" style="15" bestFit="1" customWidth="1"/>
    <col min="4" max="4" width="9.140625" style="16" customWidth="1"/>
    <col min="5" max="6" width="9.140625" customWidth="1"/>
    <col min="7" max="7" width="7.42578125" style="3" customWidth="1"/>
    <col min="8" max="8" width="9.7109375" style="3" customWidth="1"/>
    <col min="9" max="12" width="7.42578125" style="3" customWidth="1"/>
    <col min="13" max="20" width="9.140625" customWidth="1"/>
  </cols>
  <sheetData>
    <row r="2" spans="1:13" ht="28.5" x14ac:dyDescent="0.45">
      <c r="B2" s="1" t="s">
        <v>0</v>
      </c>
      <c r="C2" s="1"/>
      <c r="D2" s="1"/>
      <c r="E2" s="1"/>
      <c r="F2" s="1"/>
      <c r="G2" s="1"/>
      <c r="H2" s="2"/>
      <c r="I2"/>
    </row>
    <row r="3" spans="1:13" ht="18.75" x14ac:dyDescent="0.3">
      <c r="B3" s="4"/>
      <c r="C3" s="5"/>
      <c r="D3" s="6"/>
    </row>
    <row r="4" spans="1:13" ht="15.75" x14ac:dyDescent="0.25">
      <c r="B4" s="7" t="s">
        <v>21</v>
      </c>
      <c r="C4" s="8"/>
      <c r="D4" s="8"/>
      <c r="E4" s="9"/>
      <c r="F4" s="9"/>
    </row>
    <row r="5" spans="1:13" ht="15.75" x14ac:dyDescent="0.25">
      <c r="B5" s="10" t="s">
        <v>1</v>
      </c>
      <c r="C5" s="18">
        <v>0.48899999999999999</v>
      </c>
      <c r="D5" s="8" t="s">
        <v>2</v>
      </c>
      <c r="E5" s="9"/>
      <c r="F5" s="9"/>
    </row>
    <row r="6" spans="1:13" ht="15.75" x14ac:dyDescent="0.25">
      <c r="B6" s="10"/>
      <c r="C6" s="8"/>
      <c r="D6" s="8"/>
      <c r="E6" s="9"/>
      <c r="F6" s="9"/>
    </row>
    <row r="7" spans="1:13" s="3" customFormat="1" ht="20.100000000000001" customHeight="1" x14ac:dyDescent="0.25">
      <c r="A7"/>
      <c r="B7" s="10" t="s">
        <v>23</v>
      </c>
      <c r="C7" s="11">
        <v>20</v>
      </c>
      <c r="D7" s="8" t="s">
        <v>4</v>
      </c>
      <c r="E7" s="9"/>
      <c r="F7" s="9"/>
      <c r="M7"/>
    </row>
    <row r="8" spans="1:13" ht="15.75" x14ac:dyDescent="0.25">
      <c r="B8" s="10" t="s">
        <v>5</v>
      </c>
      <c r="C8" s="11">
        <v>1.75</v>
      </c>
      <c r="D8" s="8" t="s">
        <v>4</v>
      </c>
      <c r="E8" s="9"/>
      <c r="F8" s="9"/>
    </row>
    <row r="9" spans="1:13" ht="15.75" x14ac:dyDescent="0.25">
      <c r="B9" s="10" t="s">
        <v>6</v>
      </c>
      <c r="C9" s="11">
        <f>C8*C7</f>
        <v>35</v>
      </c>
      <c r="D9" s="8" t="s">
        <v>7</v>
      </c>
      <c r="E9" s="9"/>
      <c r="F9" s="9"/>
    </row>
    <row r="10" spans="1:13" ht="15.75" x14ac:dyDescent="0.25">
      <c r="B10" s="10"/>
      <c r="C10" s="8"/>
      <c r="D10" s="8"/>
      <c r="E10" s="9"/>
      <c r="F10" s="9"/>
      <c r="H10" s="12"/>
    </row>
    <row r="11" spans="1:13" ht="15.75" x14ac:dyDescent="0.25">
      <c r="B11" s="10" t="s">
        <v>10</v>
      </c>
      <c r="C11" s="18">
        <v>1.25</v>
      </c>
      <c r="D11" s="8" t="s">
        <v>4</v>
      </c>
      <c r="E11" s="9"/>
      <c r="F11" s="9"/>
    </row>
    <row r="12" spans="1:13" ht="15.75" x14ac:dyDescent="0.25">
      <c r="B12" s="10"/>
      <c r="C12" s="8"/>
      <c r="D12" s="8"/>
      <c r="E12" s="9"/>
      <c r="F12" s="9"/>
    </row>
    <row r="13" spans="1:13" ht="15.75" x14ac:dyDescent="0.25">
      <c r="B13" s="10" t="s">
        <v>8</v>
      </c>
      <c r="C13" s="11">
        <v>1.3</v>
      </c>
      <c r="D13" s="8"/>
      <c r="E13" s="9"/>
      <c r="F13" s="9"/>
      <c r="H13" s="12"/>
    </row>
    <row r="14" spans="1:13" ht="15.75" x14ac:dyDescent="0.25">
      <c r="B14" s="13" t="s">
        <v>11</v>
      </c>
      <c r="C14" s="17">
        <f>C9*C13*C5</f>
        <v>22.249500000000001</v>
      </c>
      <c r="D14" s="8" t="s">
        <v>12</v>
      </c>
      <c r="E14" s="9"/>
      <c r="F14" s="9"/>
    </row>
    <row r="15" spans="1:13" ht="15.75" x14ac:dyDescent="0.25">
      <c r="B15" s="13" t="s">
        <v>13</v>
      </c>
      <c r="C15" s="17">
        <f>$C$11*C13*$C$5</f>
        <v>0.79462500000000003</v>
      </c>
      <c r="D15" s="8" t="s">
        <v>14</v>
      </c>
      <c r="E15" s="9"/>
      <c r="F15" s="9"/>
    </row>
    <row r="16" spans="1:13" ht="15.75" x14ac:dyDescent="0.25">
      <c r="B16" s="13" t="s">
        <v>15</v>
      </c>
      <c r="C16" s="17">
        <f>C15/2</f>
        <v>0.39731250000000001</v>
      </c>
      <c r="D16" s="8" t="s">
        <v>14</v>
      </c>
      <c r="E16" s="9"/>
      <c r="F16" s="9"/>
    </row>
    <row r="17" spans="2:8" ht="15.75" x14ac:dyDescent="0.25">
      <c r="B17" s="13"/>
      <c r="C17" s="8"/>
      <c r="D17" s="8"/>
      <c r="E17" s="9"/>
      <c r="F17" s="9"/>
    </row>
    <row r="18" spans="2:8" ht="15.75" x14ac:dyDescent="0.25">
      <c r="B18" s="10" t="s">
        <v>9</v>
      </c>
      <c r="C18" s="11">
        <v>0.8</v>
      </c>
      <c r="D18" s="8"/>
      <c r="E18" s="9"/>
      <c r="F18" s="9"/>
      <c r="H18" s="12"/>
    </row>
    <row r="19" spans="2:8" ht="15.75" x14ac:dyDescent="0.25">
      <c r="B19" s="13" t="s">
        <v>16</v>
      </c>
      <c r="C19" s="17">
        <f>C9*C18*C5</f>
        <v>13.692</v>
      </c>
      <c r="D19" s="8" t="s">
        <v>17</v>
      </c>
      <c r="E19" s="9"/>
      <c r="F19" s="9"/>
    </row>
    <row r="20" spans="2:8" ht="15.75" x14ac:dyDescent="0.25">
      <c r="B20" s="13" t="s">
        <v>18</v>
      </c>
      <c r="C20" s="17">
        <f>$C$11*C18*$C$5</f>
        <v>0.48899999999999999</v>
      </c>
      <c r="D20" s="8" t="s">
        <v>19</v>
      </c>
      <c r="E20" s="9"/>
      <c r="F20" s="9"/>
    </row>
    <row r="21" spans="2:8" ht="15.75" x14ac:dyDescent="0.25">
      <c r="B21" s="13" t="s">
        <v>20</v>
      </c>
      <c r="C21" s="17">
        <f>C20/2</f>
        <v>0.2445</v>
      </c>
      <c r="D21" s="8" t="s">
        <v>19</v>
      </c>
      <c r="E21" s="9"/>
      <c r="F21" s="9"/>
    </row>
    <row r="22" spans="2:8" ht="15.75" x14ac:dyDescent="0.25">
      <c r="B22" s="13"/>
      <c r="C22" s="9"/>
      <c r="D22" s="8"/>
      <c r="E22" s="9"/>
      <c r="F22" s="9"/>
    </row>
    <row r="23" spans="2:8" ht="15.75" x14ac:dyDescent="0.25">
      <c r="B23" s="13"/>
      <c r="C23" s="8"/>
      <c r="D23" s="8"/>
      <c r="E23" s="9"/>
      <c r="F23" s="9"/>
    </row>
    <row r="24" spans="2:8" ht="15.75" x14ac:dyDescent="0.25">
      <c r="B24" s="7" t="s">
        <v>22</v>
      </c>
      <c r="C24" s="8"/>
      <c r="D24" s="8"/>
      <c r="E24" s="9"/>
      <c r="F24" s="9"/>
    </row>
    <row r="25" spans="2:8" ht="15.75" x14ac:dyDescent="0.25">
      <c r="B25" s="10" t="s">
        <v>1</v>
      </c>
      <c r="C25" s="14">
        <f>C5</f>
        <v>0.48899999999999999</v>
      </c>
      <c r="D25" s="8" t="s">
        <v>2</v>
      </c>
      <c r="E25" s="9"/>
      <c r="F25" s="9"/>
    </row>
    <row r="26" spans="2:8" ht="15.75" x14ac:dyDescent="0.25">
      <c r="B26" s="10" t="s">
        <v>3</v>
      </c>
      <c r="C26" s="11">
        <v>30</v>
      </c>
      <c r="D26" s="8" t="s">
        <v>4</v>
      </c>
      <c r="E26" s="9"/>
      <c r="F26" s="9"/>
    </row>
    <row r="27" spans="2:8" ht="15.75" x14ac:dyDescent="0.25">
      <c r="B27" s="10" t="s">
        <v>5</v>
      </c>
      <c r="C27" s="11">
        <v>1.75</v>
      </c>
      <c r="D27" s="8" t="s">
        <v>4</v>
      </c>
      <c r="E27" s="9"/>
      <c r="F27" s="9"/>
    </row>
    <row r="28" spans="2:8" ht="15.75" x14ac:dyDescent="0.25">
      <c r="B28" s="10" t="s">
        <v>6</v>
      </c>
      <c r="C28" s="11">
        <f>C27*C26</f>
        <v>52.5</v>
      </c>
      <c r="D28" s="8" t="s">
        <v>7</v>
      </c>
      <c r="E28" s="9"/>
      <c r="F28" s="9"/>
    </row>
    <row r="29" spans="2:8" ht="15.75" x14ac:dyDescent="0.25">
      <c r="B29" s="10"/>
      <c r="C29" s="8"/>
      <c r="D29" s="8"/>
      <c r="E29" s="9"/>
      <c r="F29" s="9"/>
    </row>
    <row r="30" spans="2:8" ht="15.75" x14ac:dyDescent="0.25">
      <c r="B30" s="10" t="s">
        <v>10</v>
      </c>
      <c r="C30" s="18">
        <v>1.25</v>
      </c>
      <c r="D30" s="8" t="s">
        <v>4</v>
      </c>
      <c r="E30" s="9"/>
      <c r="F30" s="9"/>
    </row>
    <row r="31" spans="2:8" ht="15.75" x14ac:dyDescent="0.25">
      <c r="B31" s="10"/>
      <c r="C31" s="8"/>
      <c r="D31" s="8"/>
      <c r="E31" s="9"/>
      <c r="F31" s="9"/>
    </row>
    <row r="32" spans="2:8" ht="15.75" x14ac:dyDescent="0.25">
      <c r="B32" s="10" t="s">
        <v>8</v>
      </c>
      <c r="C32" s="11">
        <f>C13</f>
        <v>1.3</v>
      </c>
      <c r="D32" s="8"/>
      <c r="E32" s="9"/>
      <c r="F32" s="9"/>
      <c r="H32" s="12"/>
    </row>
    <row r="33" spans="2:8" ht="15.75" x14ac:dyDescent="0.25">
      <c r="B33" s="13" t="s">
        <v>11</v>
      </c>
      <c r="C33" s="17">
        <f>C28*C32*$C$5</f>
        <v>33.374249999999996</v>
      </c>
      <c r="D33" s="8" t="s">
        <v>12</v>
      </c>
      <c r="E33" s="9"/>
      <c r="F33" s="9"/>
    </row>
    <row r="34" spans="2:8" ht="15.75" x14ac:dyDescent="0.25">
      <c r="B34" s="13" t="s">
        <v>13</v>
      </c>
      <c r="C34" s="17">
        <f>$C$30*C32*$C$5</f>
        <v>0.79462500000000003</v>
      </c>
      <c r="D34" s="8" t="s">
        <v>14</v>
      </c>
      <c r="E34" s="9"/>
      <c r="F34" s="9"/>
    </row>
    <row r="35" spans="2:8" ht="15.75" x14ac:dyDescent="0.25">
      <c r="B35" s="13" t="s">
        <v>15</v>
      </c>
      <c r="C35" s="17">
        <f>C34/2</f>
        <v>0.39731250000000001</v>
      </c>
      <c r="D35" s="8" t="s">
        <v>14</v>
      </c>
      <c r="E35" s="9"/>
      <c r="F35" s="9"/>
    </row>
    <row r="36" spans="2:8" ht="15.75" x14ac:dyDescent="0.25">
      <c r="B36" s="13"/>
      <c r="C36" s="8"/>
      <c r="D36" s="8"/>
      <c r="E36" s="9"/>
      <c r="F36" s="9"/>
    </row>
    <row r="37" spans="2:8" ht="15.75" x14ac:dyDescent="0.25">
      <c r="B37" s="10" t="s">
        <v>9</v>
      </c>
      <c r="C37" s="11">
        <f>C18</f>
        <v>0.8</v>
      </c>
      <c r="D37" s="8"/>
      <c r="E37" s="9"/>
      <c r="F37" s="9"/>
      <c r="H37" s="12"/>
    </row>
    <row r="38" spans="2:8" ht="15.75" x14ac:dyDescent="0.25">
      <c r="B38" s="13" t="s">
        <v>16</v>
      </c>
      <c r="C38" s="17">
        <f>C28*C37*$C$5</f>
        <v>20.538</v>
      </c>
      <c r="D38" s="8" t="s">
        <v>17</v>
      </c>
      <c r="E38" s="9"/>
      <c r="F38" s="9"/>
    </row>
    <row r="39" spans="2:8" ht="15.75" x14ac:dyDescent="0.25">
      <c r="B39" s="13" t="s">
        <v>18</v>
      </c>
      <c r="C39" s="17">
        <f>$C$5*C37*C30</f>
        <v>0.48899999999999999</v>
      </c>
      <c r="D39" s="8" t="s">
        <v>19</v>
      </c>
      <c r="E39" s="9"/>
      <c r="F39" s="9"/>
    </row>
    <row r="40" spans="2:8" ht="15.75" x14ac:dyDescent="0.25">
      <c r="B40" s="13" t="s">
        <v>20</v>
      </c>
      <c r="C40" s="17">
        <f>C39/2</f>
        <v>0.2445</v>
      </c>
      <c r="D40" s="8" t="s">
        <v>19</v>
      </c>
      <c r="E40" s="9"/>
      <c r="F40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CARGA NA PLATIBANDA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Leônidas Müller de Oliveira</dc:creator>
  <cp:lastModifiedBy>Leônidas Müller de Oliveira</cp:lastModifiedBy>
  <dcterms:created xsi:type="dcterms:W3CDTF">2024-08-16T22:32:26Z</dcterms:created>
  <dcterms:modified xsi:type="dcterms:W3CDTF">2025-06-01T21:52:11Z</dcterms:modified>
</cp:coreProperties>
</file>