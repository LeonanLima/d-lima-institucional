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1\Desktop\"/>
    </mc:Choice>
  </mc:AlternateContent>
  <xr:revisionPtr revIDLastSave="0" documentId="13_ncr:1_{88EEF4AF-41C6-4027-BC2B-24CD4974E8F8}" xr6:coauthVersionLast="47" xr6:coauthVersionMax="47" xr10:uidLastSave="{00000000-0000-0000-0000-000000000000}"/>
  <bookViews>
    <workbookView xWindow="28680" yWindow="-120" windowWidth="29040" windowHeight="15720" xr2:uid="{D0B617ED-6B23-4D8C-92E8-BC7D4658BE08}"/>
  </bookViews>
  <sheets>
    <sheet name="DIMENSONAMENTO TELHA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4" i="1" l="1"/>
  <c r="D85" i="1"/>
  <c r="D84" i="1"/>
  <c r="D83" i="1"/>
  <c r="I68" i="1"/>
  <c r="C66" i="1"/>
  <c r="C67" i="1" s="1"/>
  <c r="C68" i="1" s="1"/>
  <c r="G64" i="1" s="1"/>
  <c r="I62" i="1" s="1"/>
  <c r="I65" i="1"/>
  <c r="C65" i="1"/>
  <c r="L64" i="1"/>
  <c r="I64" i="1"/>
  <c r="H64" i="1"/>
  <c r="C37" i="1"/>
  <c r="C30" i="1"/>
  <c r="C34" i="1"/>
  <c r="C15" i="1"/>
  <c r="D15" i="1" s="1"/>
  <c r="C18" i="1" s="1"/>
  <c r="H16" i="1"/>
  <c r="H14" i="1"/>
  <c r="C56" i="1" l="1"/>
  <c r="C57" i="1"/>
  <c r="C47" i="1"/>
  <c r="C42" i="1"/>
  <c r="C24" i="1"/>
  <c r="C38" i="1"/>
  <c r="C48" i="1" s="1"/>
  <c r="L62" i="1"/>
  <c r="C60" i="1"/>
  <c r="C29" i="1"/>
  <c r="C31" i="1"/>
  <c r="C43" i="1" s="1"/>
  <c r="C55" i="1"/>
  <c r="C58" i="1" l="1"/>
  <c r="F59" i="1" s="1"/>
  <c r="C44" i="1"/>
  <c r="F49" i="1"/>
  <c r="F44" i="1"/>
  <c r="C49" i="1"/>
  <c r="C5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Leônidas Müller de Oliveira</author>
  </authors>
  <commentList>
    <comment ref="D14" authorId="0" shapeId="0" xr:uid="{992BDBFA-7C16-4700-8CFB-2B4B6D860EAD}">
      <text>
        <r>
          <rPr>
            <b/>
            <sz val="9"/>
            <color indexed="81"/>
            <rFont val="Segoe UI"/>
            <family val="2"/>
          </rPr>
          <t>Leônidas Müller de Oliveira:</t>
        </r>
        <r>
          <rPr>
            <sz val="9"/>
            <color indexed="81"/>
            <rFont val="Segoe UI"/>
            <family val="2"/>
          </rPr>
          <t xml:space="preserve">
kN/m², tensão admissível conforme catálogo fornecedor</t>
        </r>
      </text>
    </comment>
  </commentList>
</comments>
</file>

<file path=xl/sharedStrings.xml><?xml version="1.0" encoding="utf-8"?>
<sst xmlns="http://schemas.openxmlformats.org/spreadsheetml/2006/main" count="99" uniqueCount="66">
  <si>
    <t>Dimensionamento da Telha</t>
  </si>
  <si>
    <t>INFORMAÇÕES DA TELHA</t>
  </si>
  <si>
    <t>e</t>
  </si>
  <si>
    <t>mm, espessura da telha conforme catálogo do fornecedor</t>
  </si>
  <si>
    <t>CASO O VALOR DE CARGA ADMISSÍVEL DA TELHA NÃO SEJA CONFORME A DISTÂNCIA DAS TERÇAS, DEVE-SE INTERPOLAR PARA ACHAR O VALOR:</t>
  </si>
  <si>
    <t>x1</t>
  </si>
  <si>
    <t>y1</t>
  </si>
  <si>
    <t>kgf/m²</t>
  </si>
  <si>
    <t>x</t>
  </si>
  <si>
    <t>x2</t>
  </si>
  <si>
    <t>y2</t>
  </si>
  <si>
    <r>
      <t>σ</t>
    </r>
    <r>
      <rPr>
        <vertAlign val="subscript"/>
        <sz val="12"/>
        <color theme="1"/>
        <rFont val="Calibri"/>
        <family val="2"/>
      </rPr>
      <t>adm,forn</t>
    </r>
  </si>
  <si>
    <t>kN/m², tensão admissível conforme catálogo fornecedor</t>
  </si>
  <si>
    <t>dt</t>
  </si>
  <si>
    <t>m, distância entre terças (dt)</t>
  </si>
  <si>
    <r>
      <t>K</t>
    </r>
    <r>
      <rPr>
        <vertAlign val="subscript"/>
        <sz val="12"/>
        <color theme="1"/>
        <rFont val="Aptos Narrow"/>
        <family val="2"/>
        <scheme val="minor"/>
      </rPr>
      <t>FORN</t>
    </r>
  </si>
  <si>
    <t>Coeficiente de flecha conforme catálogo do fornecedor</t>
  </si>
  <si>
    <t>para casos muito conversadores utilizar:</t>
  </si>
  <si>
    <r>
      <t>K</t>
    </r>
    <r>
      <rPr>
        <vertAlign val="subscript"/>
        <sz val="12"/>
        <color theme="1"/>
        <rFont val="Aptos Narrow"/>
        <family val="2"/>
        <scheme val="minor"/>
      </rPr>
      <t>ABCEM</t>
    </r>
  </si>
  <si>
    <t xml:space="preserve">conforme o manual de telhas do ABECEM a flecha admissível (L/200), </t>
  </si>
  <si>
    <r>
      <t>σ</t>
    </r>
    <r>
      <rPr>
        <vertAlign val="subscript"/>
        <sz val="12"/>
        <color theme="1"/>
        <rFont val="Calibri"/>
        <family val="2"/>
      </rPr>
      <t>adm</t>
    </r>
  </si>
  <si>
    <t>kN/m², para o vão de terças do projeto com flecha admissível (L/200), conforme o manual de telhas do ABECEM</t>
  </si>
  <si>
    <t>CARGAS ATUANTES</t>
  </si>
  <si>
    <t>a) Primeira Combinação = PP + SC</t>
  </si>
  <si>
    <t>PP</t>
  </si>
  <si>
    <t>kN/m², peso próprio da telha por m² conforme catálogo do fornecedor</t>
  </si>
  <si>
    <t>kgf /m²</t>
  </si>
  <si>
    <t>SC</t>
  </si>
  <si>
    <t>kN/m², sobrecarga característica mínima</t>
  </si>
  <si>
    <t>Total</t>
  </si>
  <si>
    <t>kN/m²</t>
  </si>
  <si>
    <t>b) Segunda Combinação = PP - VT</t>
  </si>
  <si>
    <t>q</t>
  </si>
  <si>
    <t>kN/m², pressão dinâmica do vento</t>
  </si>
  <si>
    <t>Cpe</t>
  </si>
  <si>
    <t>Maior coeficiente de pressão externo do telhado</t>
  </si>
  <si>
    <t>Vento</t>
  </si>
  <si>
    <t>kN/m², na verificação usar o valor em módulo = ABS(xxx)</t>
  </si>
  <si>
    <t>DIMENSIONAMENTO DA TELHA (SOLICITAÇÃO VS RESISTÊNCIA)</t>
  </si>
  <si>
    <t>kN/m², para o vão de terças do projeto com flecha admissível (L/120), conforme o fabricante</t>
  </si>
  <si>
    <r>
      <t>σ</t>
    </r>
    <r>
      <rPr>
        <vertAlign val="subscript"/>
        <sz val="12"/>
        <color theme="1"/>
        <rFont val="Calibri"/>
        <family val="2"/>
      </rPr>
      <t>atuante</t>
    </r>
  </si>
  <si>
    <t>kN/m², tensão atuante conforme primeira combinação</t>
  </si>
  <si>
    <r>
      <t>σ</t>
    </r>
    <r>
      <rPr>
        <vertAlign val="subscript"/>
        <sz val="12"/>
        <color theme="1"/>
        <rFont val="Calibri"/>
        <family val="2"/>
      </rPr>
      <t>adm</t>
    </r>
    <r>
      <rPr>
        <sz val="12"/>
        <color theme="1"/>
        <rFont val="Calibri"/>
        <family val="2"/>
      </rPr>
      <t xml:space="preserve"> ≥ σ</t>
    </r>
    <r>
      <rPr>
        <vertAlign val="subscript"/>
        <sz val="12"/>
        <color theme="1"/>
        <rFont val="Calibri"/>
        <family val="2"/>
      </rPr>
      <t>atuante</t>
    </r>
  </si>
  <si>
    <t>ZONA CRÍTICA SUJEITO AO ARRANCAMENTO DE TELHAS</t>
  </si>
  <si>
    <t>c) Verificação das zonas críticas sujeitas ao arrancamento =  cpe,máx . qVT + Pptelha</t>
  </si>
  <si>
    <t>Cpe,máx</t>
  </si>
  <si>
    <t>kN/m², pressão de obstrução do vento</t>
  </si>
  <si>
    <t>VT</t>
  </si>
  <si>
    <t>kN/m², tensão atuante conforme o coeficiente de pressão máximo de arrancamento</t>
  </si>
  <si>
    <t>Largura de Sucção</t>
  </si>
  <si>
    <t>G</t>
  </si>
  <si>
    <t>h</t>
  </si>
  <si>
    <t>m</t>
  </si>
  <si>
    <t>E</t>
  </si>
  <si>
    <t>b</t>
  </si>
  <si>
    <t>0,15 . b</t>
  </si>
  <si>
    <t>y</t>
  </si>
  <si>
    <t>m, o menor valor entre y = h ou 0,15.b</t>
  </si>
  <si>
    <t>F</t>
  </si>
  <si>
    <t>H</t>
  </si>
  <si>
    <t>I</t>
  </si>
  <si>
    <t>J</t>
  </si>
  <si>
    <t>CONVERSÃO DE CARGA EM KGF PARA KN</t>
  </si>
  <si>
    <t>1 kN = 101.97 Kgf</t>
  </si>
  <si>
    <t>PESO DAS TELHAS</t>
  </si>
  <si>
    <t>Editar célular em 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</si>
</sst>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00"/>
    <numFmt numFmtId="165" formatCode="0.000"/>
    <numFmt numFmtId="166" formatCode="0.00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vertAlign val="subscript"/>
      <sz val="12"/>
      <color theme="1"/>
      <name val="Calibri"/>
      <family val="2"/>
    </font>
    <font>
      <vertAlign val="subscript"/>
      <sz val="12"/>
      <color theme="1"/>
      <name val="Aptos Narrow"/>
      <family val="2"/>
      <scheme val="minor"/>
    </font>
    <font>
      <b/>
      <i/>
      <sz val="12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 applyProtection="1">
      <alignment horizontal="left"/>
      <protection hidden="1"/>
    </xf>
    <xf numFmtId="0" fontId="4" fillId="0" borderId="0" xfId="0" applyFont="1" applyProtection="1">
      <protection hidden="1"/>
    </xf>
    <xf numFmtId="0" fontId="0" fillId="0" borderId="0" xfId="0" applyProtection="1"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2" borderId="1" xfId="0" applyFont="1" applyFill="1" applyBorder="1" applyAlignment="1" applyProtection="1">
      <alignment horizontal="center"/>
      <protection locked="0" hidden="1"/>
    </xf>
    <xf numFmtId="0" fontId="4" fillId="0" borderId="0" xfId="0" applyFont="1" applyAlignment="1" applyProtection="1">
      <alignment horizontal="left" indent="1"/>
      <protection hidden="1"/>
    </xf>
    <xf numFmtId="0" fontId="0" fillId="0" borderId="0" xfId="0" applyAlignment="1" applyProtection="1">
      <alignment horizontal="center"/>
      <protection hidden="1"/>
    </xf>
    <xf numFmtId="44" fontId="0" fillId="0" borderId="0" xfId="2" applyFont="1" applyProtection="1">
      <protection hidden="1"/>
    </xf>
    <xf numFmtId="44" fontId="0" fillId="0" borderId="0" xfId="0" applyNumberFormat="1" applyProtection="1">
      <protection hidden="1"/>
    </xf>
    <xf numFmtId="0" fontId="6" fillId="0" borderId="0" xfId="0" applyFont="1" applyAlignment="1" applyProtection="1">
      <alignment horizontal="left"/>
      <protection hidden="1"/>
    </xf>
    <xf numFmtId="164" fontId="0" fillId="0" borderId="0" xfId="0" applyNumberFormat="1" applyProtection="1">
      <protection hidden="1"/>
    </xf>
    <xf numFmtId="2" fontId="4" fillId="0" borderId="0" xfId="0" applyNumberFormat="1" applyFont="1" applyAlignment="1" applyProtection="1">
      <alignment horizontal="center"/>
      <protection hidden="1"/>
    </xf>
    <xf numFmtId="2" fontId="4" fillId="0" borderId="0" xfId="0" applyNumberFormat="1" applyFont="1" applyAlignment="1" applyProtection="1">
      <alignment horizontal="left" indent="1"/>
      <protection hidden="1"/>
    </xf>
    <xf numFmtId="2" fontId="4" fillId="0" borderId="1" xfId="0" applyNumberFormat="1" applyFont="1" applyBorder="1" applyAlignment="1" applyProtection="1">
      <alignment horizontal="center"/>
      <protection hidden="1"/>
    </xf>
    <xf numFmtId="165" fontId="4" fillId="3" borderId="1" xfId="0" applyNumberFormat="1" applyFont="1" applyFill="1" applyBorder="1" applyAlignment="1" applyProtection="1">
      <alignment horizontal="center"/>
      <protection hidden="1"/>
    </xf>
    <xf numFmtId="2" fontId="4" fillId="4" borderId="1" xfId="0" applyNumberFormat="1" applyFont="1" applyFill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4" fillId="5" borderId="1" xfId="0" applyNumberFormat="1" applyFont="1" applyFill="1" applyBorder="1" applyAlignment="1" applyProtection="1">
      <alignment horizontal="center"/>
      <protection hidden="1"/>
    </xf>
    <xf numFmtId="0" fontId="4" fillId="0" borderId="0" xfId="0" applyFont="1" applyAlignment="1" applyProtection="1">
      <alignment horizontal="left" indent="2"/>
      <protection hidden="1"/>
    </xf>
    <xf numFmtId="165" fontId="4" fillId="0" borderId="1" xfId="0" applyNumberFormat="1" applyFont="1" applyBorder="1" applyAlignment="1" applyProtection="1">
      <alignment horizontal="center"/>
      <protection hidden="1"/>
    </xf>
    <xf numFmtId="165" fontId="4" fillId="0" borderId="0" xfId="0" applyNumberFormat="1" applyFont="1" applyAlignment="1" applyProtection="1">
      <alignment horizontal="center"/>
      <protection hidden="1"/>
    </xf>
    <xf numFmtId="165" fontId="4" fillId="4" borderId="1" xfId="0" applyNumberFormat="1" applyFont="1" applyFill="1" applyBorder="1" applyAlignment="1" applyProtection="1">
      <alignment horizontal="center"/>
      <protection hidden="1"/>
    </xf>
    <xf numFmtId="166" fontId="4" fillId="0" borderId="0" xfId="0" applyNumberFormat="1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left"/>
      <protection hidden="1"/>
    </xf>
    <xf numFmtId="0" fontId="7" fillId="0" borderId="0" xfId="0" applyFont="1" applyAlignment="1" applyProtection="1">
      <alignment horizontal="left" indent="1"/>
      <protection hidden="1"/>
    </xf>
    <xf numFmtId="9" fontId="4" fillId="0" borderId="0" xfId="3" applyFont="1" applyFill="1" applyBorder="1" applyAlignment="1" applyProtection="1">
      <alignment horizontal="center"/>
      <protection hidden="1"/>
    </xf>
    <xf numFmtId="0" fontId="10" fillId="0" borderId="0" xfId="0" applyFont="1" applyAlignment="1" applyProtection="1">
      <alignment horizontal="left"/>
      <protection hidden="1"/>
    </xf>
    <xf numFmtId="0" fontId="11" fillId="0" borderId="0" xfId="0" applyFont="1" applyAlignment="1" applyProtection="1">
      <alignment horizontal="center"/>
      <protection hidden="1"/>
    </xf>
    <xf numFmtId="0" fontId="11" fillId="0" borderId="0" xfId="0" applyFont="1" applyAlignment="1" applyProtection="1">
      <alignment horizontal="left" indent="1"/>
      <protection hidden="1"/>
    </xf>
    <xf numFmtId="0" fontId="11" fillId="0" borderId="0" xfId="0" applyFont="1" applyProtection="1">
      <protection hidden="1"/>
    </xf>
    <xf numFmtId="0" fontId="11" fillId="0" borderId="0" xfId="0" applyFont="1" applyAlignment="1" applyProtection="1">
      <alignment vertical="center"/>
      <protection hidden="1"/>
    </xf>
    <xf numFmtId="9" fontId="4" fillId="0" borderId="0" xfId="3" applyFont="1" applyAlignment="1" applyProtection="1">
      <alignment horizontal="center"/>
      <protection hidden="1"/>
    </xf>
    <xf numFmtId="2" fontId="5" fillId="0" borderId="1" xfId="0" applyNumberFormat="1" applyFont="1" applyBorder="1" applyAlignment="1" applyProtection="1">
      <alignment horizontal="center" vertical="center" textRotation="90"/>
      <protection hidden="1"/>
    </xf>
    <xf numFmtId="2" fontId="5" fillId="0" borderId="1" xfId="0" applyNumberFormat="1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 textRotation="90"/>
      <protection hidden="1"/>
    </xf>
    <xf numFmtId="2" fontId="4" fillId="6" borderId="2" xfId="0" applyNumberFormat="1" applyFont="1" applyFill="1" applyBorder="1" applyAlignment="1" applyProtection="1">
      <alignment horizontal="center" vertical="center"/>
      <protection hidden="1"/>
    </xf>
    <xf numFmtId="2" fontId="4" fillId="6" borderId="3" xfId="0" applyNumberFormat="1" applyFont="1" applyFill="1" applyBorder="1" applyAlignment="1" applyProtection="1">
      <alignment horizontal="center" vertical="center"/>
      <protection hidden="1"/>
    </xf>
    <xf numFmtId="2" fontId="4" fillId="4" borderId="3" xfId="0" applyNumberFormat="1" applyFont="1" applyFill="1" applyBorder="1" applyAlignment="1" applyProtection="1">
      <alignment horizontal="center" vertical="center" textRotation="90"/>
      <protection hidden="1"/>
    </xf>
    <xf numFmtId="2" fontId="4" fillId="7" borderId="3" xfId="0" applyNumberFormat="1" applyFont="1" applyFill="1" applyBorder="1" applyAlignment="1" applyProtection="1">
      <alignment horizontal="center" vertical="center"/>
      <protection hidden="1"/>
    </xf>
    <xf numFmtId="2" fontId="4" fillId="7" borderId="4" xfId="0" applyNumberFormat="1" applyFont="1" applyFill="1" applyBorder="1" applyAlignment="1" applyProtection="1">
      <alignment horizontal="center" vertical="center"/>
      <protection hidden="1"/>
    </xf>
    <xf numFmtId="2" fontId="5" fillId="0" borderId="0" xfId="1" applyNumberFormat="1" applyFont="1" applyBorder="1" applyAlignment="1" applyProtection="1">
      <alignment vertical="center"/>
      <protection hidden="1"/>
    </xf>
    <xf numFmtId="2" fontId="4" fillId="5" borderId="5" xfId="0" applyNumberFormat="1" applyFont="1" applyFill="1" applyBorder="1" applyAlignment="1" applyProtection="1">
      <alignment horizontal="center" vertical="center" textRotation="90"/>
      <protection hidden="1"/>
    </xf>
    <xf numFmtId="2" fontId="4" fillId="7" borderId="1" xfId="0" applyNumberFormat="1" applyFont="1" applyFill="1" applyBorder="1" applyAlignment="1" applyProtection="1">
      <alignment horizontal="center" vertical="center"/>
      <protection hidden="1"/>
    </xf>
    <xf numFmtId="2" fontId="4" fillId="4" borderId="1" xfId="0" applyNumberFormat="1" applyFont="1" applyFill="1" applyBorder="1" applyAlignment="1" applyProtection="1">
      <alignment horizontal="center" vertical="center" textRotation="90"/>
      <protection hidden="1"/>
    </xf>
    <xf numFmtId="2" fontId="4" fillId="7" borderId="6" xfId="0" applyNumberFormat="1" applyFont="1" applyFill="1" applyBorder="1" applyAlignment="1" applyProtection="1">
      <alignment horizontal="center" vertical="center"/>
      <protection hidden="1"/>
    </xf>
    <xf numFmtId="2" fontId="4" fillId="8" borderId="5" xfId="0" applyNumberFormat="1" applyFont="1" applyFill="1" applyBorder="1" applyAlignment="1" applyProtection="1">
      <alignment horizontal="center" vertical="center" textRotation="90"/>
      <protection hidden="1"/>
    </xf>
    <xf numFmtId="2" fontId="4" fillId="7" borderId="7" xfId="0" applyNumberFormat="1" applyFont="1" applyFill="1" applyBorder="1" applyAlignment="1" applyProtection="1">
      <alignment horizontal="center" vertical="center"/>
      <protection hidden="1"/>
    </xf>
    <xf numFmtId="2" fontId="4" fillId="7" borderId="8" xfId="0" applyNumberFormat="1" applyFont="1" applyFill="1" applyBorder="1" applyAlignment="1" applyProtection="1">
      <alignment horizontal="center" vertical="center"/>
      <protection hidden="1"/>
    </xf>
    <xf numFmtId="2" fontId="5" fillId="0" borderId="0" xfId="0" applyNumberFormat="1" applyFont="1" applyAlignment="1" applyProtection="1">
      <alignment vertical="center"/>
      <protection hidden="1"/>
    </xf>
    <xf numFmtId="2" fontId="4" fillId="7" borderId="9" xfId="0" applyNumberFormat="1" applyFont="1" applyFill="1" applyBorder="1" applyAlignment="1" applyProtection="1">
      <alignment horizontal="center" vertical="center"/>
      <protection hidden="1"/>
    </xf>
    <xf numFmtId="2" fontId="4" fillId="7" borderId="10" xfId="0" applyNumberFormat="1" applyFont="1" applyFill="1" applyBorder="1" applyAlignment="1" applyProtection="1">
      <alignment horizontal="center" vertical="center"/>
      <protection hidden="1"/>
    </xf>
    <xf numFmtId="2" fontId="4" fillId="7" borderId="11" xfId="0" applyNumberFormat="1" applyFont="1" applyFill="1" applyBorder="1" applyAlignment="1" applyProtection="1">
      <alignment horizontal="center" vertical="center"/>
      <protection hidden="1"/>
    </xf>
    <xf numFmtId="2" fontId="4" fillId="7" borderId="12" xfId="0" applyNumberFormat="1" applyFont="1" applyFill="1" applyBorder="1" applyAlignment="1" applyProtection="1">
      <alignment horizontal="center" vertical="center"/>
      <protection hidden="1"/>
    </xf>
    <xf numFmtId="2" fontId="4" fillId="7" borderId="13" xfId="0" applyNumberFormat="1" applyFont="1" applyFill="1" applyBorder="1" applyAlignment="1" applyProtection="1">
      <alignment horizontal="center" vertical="center"/>
      <protection hidden="1"/>
    </xf>
    <xf numFmtId="0" fontId="4" fillId="7" borderId="1" xfId="0" applyFont="1" applyFill="1" applyBorder="1" applyAlignment="1" applyProtection="1">
      <alignment horizontal="center" vertical="center"/>
      <protection hidden="1"/>
    </xf>
    <xf numFmtId="2" fontId="4" fillId="7" borderId="14" xfId="0" applyNumberFormat="1" applyFont="1" applyFill="1" applyBorder="1" applyAlignment="1" applyProtection="1">
      <alignment horizontal="center" vertical="center"/>
      <protection hidden="1"/>
    </xf>
    <xf numFmtId="0" fontId="4" fillId="7" borderId="13" xfId="0" applyFont="1" applyFill="1" applyBorder="1" applyAlignment="1" applyProtection="1">
      <alignment horizontal="center" vertical="center"/>
      <protection hidden="1"/>
    </xf>
    <xf numFmtId="2" fontId="4" fillId="7" borderId="0" xfId="0" applyNumberFormat="1" applyFont="1" applyFill="1" applyAlignment="1" applyProtection="1">
      <alignment horizontal="center" vertical="center"/>
      <protection hidden="1"/>
    </xf>
    <xf numFmtId="0" fontId="4" fillId="7" borderId="15" xfId="0" applyFont="1" applyFill="1" applyBorder="1" applyAlignment="1" applyProtection="1">
      <alignment horizontal="center" vertical="center"/>
      <protection hidden="1"/>
    </xf>
    <xf numFmtId="0" fontId="4" fillId="7" borderId="16" xfId="0" applyFont="1" applyFill="1" applyBorder="1" applyAlignment="1" applyProtection="1">
      <alignment horizontal="center" vertical="center"/>
      <protection hidden="1"/>
    </xf>
    <xf numFmtId="2" fontId="4" fillId="7" borderId="17" xfId="0" applyNumberFormat="1" applyFont="1" applyFill="1" applyBorder="1" applyAlignment="1" applyProtection="1">
      <alignment horizontal="center" vertical="center"/>
      <protection hidden="1"/>
    </xf>
    <xf numFmtId="2" fontId="4" fillId="7" borderId="18" xfId="0" applyNumberFormat="1" applyFont="1" applyFill="1" applyBorder="1" applyAlignment="1" applyProtection="1">
      <alignment horizontal="center" vertical="center"/>
      <protection hidden="1"/>
    </xf>
    <xf numFmtId="2" fontId="4" fillId="7" borderId="19" xfId="0" applyNumberFormat="1" applyFont="1" applyFill="1" applyBorder="1" applyAlignment="1" applyProtection="1">
      <alignment horizontal="center" vertical="center"/>
      <protection hidden="1"/>
    </xf>
    <xf numFmtId="165" fontId="4" fillId="0" borderId="0" xfId="0" applyNumberFormat="1" applyFont="1" applyProtection="1">
      <protection hidden="1"/>
    </xf>
    <xf numFmtId="2" fontId="4" fillId="5" borderId="21" xfId="0" applyNumberFormat="1" applyFont="1" applyFill="1" applyBorder="1" applyAlignment="1" applyProtection="1">
      <alignment horizontal="center"/>
      <protection hidden="1"/>
    </xf>
    <xf numFmtId="0" fontId="4" fillId="2" borderId="22" xfId="0" applyFont="1" applyFill="1" applyBorder="1" applyAlignment="1" applyProtection="1">
      <alignment horizontal="center"/>
      <protection locked="0" hidden="1"/>
    </xf>
    <xf numFmtId="165" fontId="4" fillId="3" borderId="20" xfId="0" applyNumberFormat="1" applyFont="1" applyFill="1" applyBorder="1" applyAlignment="1" applyProtection="1">
      <alignment horizontal="center"/>
      <protection hidden="1"/>
    </xf>
    <xf numFmtId="0" fontId="2" fillId="0" borderId="0" xfId="0" applyFont="1" applyAlignment="1">
      <alignment horizontal="left"/>
    </xf>
    <xf numFmtId="2" fontId="4" fillId="0" borderId="1" xfId="0" applyNumberFormat="1" applyFont="1" applyFill="1" applyBorder="1" applyAlignment="1" applyProtection="1">
      <alignment horizontal="center"/>
      <protection hidden="1"/>
    </xf>
    <xf numFmtId="2" fontId="4" fillId="9" borderId="1" xfId="0" applyNumberFormat="1" applyFont="1" applyFill="1" applyBorder="1" applyAlignment="1" applyProtection="1">
      <alignment horizontal="center"/>
      <protection hidden="1"/>
    </xf>
    <xf numFmtId="165" fontId="4" fillId="9" borderId="1" xfId="0" applyNumberFormat="1" applyFont="1" applyFill="1" applyBorder="1" applyAlignment="1" applyProtection="1">
      <alignment horizontal="center"/>
      <protection hidden="1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114</xdr:row>
      <xdr:rowOff>126547</xdr:rowOff>
    </xdr:from>
    <xdr:to>
      <xdr:col>12</xdr:col>
      <xdr:colOff>94776</xdr:colOff>
      <xdr:row>124</xdr:row>
      <xdr:rowOff>66952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8C7741D-15DD-4808-A697-1EACAF85C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" y="25815472"/>
          <a:ext cx="6305076" cy="1940655"/>
        </a:xfrm>
        <a:prstGeom prst="rect">
          <a:avLst/>
        </a:prstGeom>
      </xdr:spPr>
    </xdr:pic>
    <xdr:clientData/>
  </xdr:twoCellAnchor>
  <xdr:twoCellAnchor editAs="oneCell">
    <xdr:from>
      <xdr:col>0</xdr:col>
      <xdr:colOff>412873</xdr:colOff>
      <xdr:row>125</xdr:row>
      <xdr:rowOff>50347</xdr:rowOff>
    </xdr:from>
    <xdr:to>
      <xdr:col>13</xdr:col>
      <xdr:colOff>234110</xdr:colOff>
      <xdr:row>147</xdr:row>
      <xdr:rowOff>18641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4525FF3-1F53-40F1-AAC5-AED8CEAA5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2873" y="27939547"/>
          <a:ext cx="6650662" cy="4368844"/>
        </a:xfrm>
        <a:prstGeom prst="rect">
          <a:avLst/>
        </a:prstGeom>
      </xdr:spPr>
    </xdr:pic>
    <xdr:clientData/>
  </xdr:twoCellAnchor>
  <xdr:twoCellAnchor editAs="oneCell">
    <xdr:from>
      <xdr:col>0</xdr:col>
      <xdr:colOff>469210</xdr:colOff>
      <xdr:row>87</xdr:row>
      <xdr:rowOff>52930</xdr:rowOff>
    </xdr:from>
    <xdr:to>
      <xdr:col>14</xdr:col>
      <xdr:colOff>340177</xdr:colOff>
      <xdr:row>118</xdr:row>
      <xdr:rowOff>62854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8570BEB-8EA2-4979-A66B-FC216C08F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9210" y="20341180"/>
          <a:ext cx="6948042" cy="62106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af9566427f0cd7a/%5bLE&#212;NIDAS%5d/%5bEMPRESA%5d/PRODUTOS/CURSOS/CALCULISTA%20DE%20ESTRUTURAS%20MET&#193;LICAS/Webin&#225;rio/2023/2022%20-%20Planilha%20Dimensionamento%20Galp&#245;es%20de%202%20&#225;guas%20-%2026.01.2023.xlsx" TargetMode="External"/><Relationship Id="rId1" Type="http://schemas.openxmlformats.org/officeDocument/2006/relationships/externalLinkPath" Target="https://d.docs.live.net/5af9566427f0cd7a/%5bLE&#212;NIDAS%5d/%5bEMPRESA%5d/PRODUTOS/CURSOS/CALCULISTA%20DE%20ESTRUTURAS%20MET&#193;LICAS/Webin&#225;rio/2023/2022%20-%20Planilha%20Dimensionamento%20Galp&#245;es%20de%202%20&#225;guas%20-%2026.01.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FINIÇÃO DA GEOMETRIA"/>
      <sheetName val="AÇÕES NA ESTRUTURA"/>
      <sheetName val="CLASSE DO TERRENO"/>
      <sheetName val="FATOR TOPOGRÁFICO"/>
      <sheetName val="FATOR ESTATÍSTICO"/>
      <sheetName val="CLASSE DAS EDIFICAÇÕES"/>
      <sheetName val="PARÂMETROS METEROLÓGICOS"/>
      <sheetName val="CE PAREDES"/>
      <sheetName val="CE TELHADOS"/>
      <sheetName val="CPI"/>
      <sheetName val="FORÇA DE VENTO NA PAREDE"/>
      <sheetName val="FORÇA DE VENTO NO TELHADO"/>
      <sheetName val="CARGA NAS TERÇAS"/>
      <sheetName val="Vsd e Msd"/>
      <sheetName val="CARGA NAS TESOURAS"/>
      <sheetName val="COMBINAÇÕES"/>
      <sheetName val="DIMENSONAMENTO TELHAS"/>
      <sheetName val="DIMENSIONAMENTO TERÇA"/>
      <sheetName val="FLECHAS"/>
      <sheetName val="COMBINAÇÕES (2)"/>
    </sheetNames>
    <sheetDataSet>
      <sheetData sheetId="0">
        <row r="10">
          <cell r="B10">
            <v>20</v>
          </cell>
        </row>
        <row r="20">
          <cell r="H20">
            <v>6.75</v>
          </cell>
        </row>
      </sheetData>
      <sheetData sheetId="1">
        <row r="21">
          <cell r="B21">
            <v>0.25</v>
          </cell>
        </row>
      </sheetData>
      <sheetData sheetId="2"/>
      <sheetData sheetId="3"/>
      <sheetData sheetId="4"/>
      <sheetData sheetId="5"/>
      <sheetData sheetId="6"/>
      <sheetData sheetId="7">
        <row r="21">
          <cell r="AJ21">
            <v>6.25</v>
          </cell>
        </row>
      </sheetData>
      <sheetData sheetId="8">
        <row r="24">
          <cell r="L24">
            <v>-1.4</v>
          </cell>
          <cell r="M24">
            <v>-1.2284237254999857</v>
          </cell>
          <cell r="N24">
            <v>-1.0294576470000856</v>
          </cell>
          <cell r="O24">
            <v>-1.0284237254999857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30339-8D0E-45AF-894D-0D9E6C7DC368}">
  <sheetPr>
    <tabColor rgb="FF92D050"/>
  </sheetPr>
  <dimension ref="B1:AC85"/>
  <sheetViews>
    <sheetView showGridLines="0" tabSelected="1" zoomScaleNormal="100" workbookViewId="0">
      <selection activeCell="C68" sqref="C68"/>
    </sheetView>
  </sheetViews>
  <sheetFormatPr defaultRowHeight="15.75" x14ac:dyDescent="0.25"/>
  <cols>
    <col min="1" max="1" width="10.7109375" style="4" customWidth="1"/>
    <col min="2" max="2" width="10.7109375" style="3" customWidth="1"/>
    <col min="3" max="3" width="10.7109375" style="11" customWidth="1"/>
    <col min="4" max="4" width="10.7109375" style="13" customWidth="1"/>
    <col min="5" max="6" width="10.7109375" style="3" customWidth="1"/>
    <col min="7" max="7" width="10.7109375" style="9" customWidth="1"/>
    <col min="8" max="9" width="5.42578125" style="9" bestFit="1" customWidth="1"/>
    <col min="10" max="11" width="3.7109375" style="9" customWidth="1"/>
    <col min="12" max="12" width="5.42578125" style="9" bestFit="1" customWidth="1"/>
    <col min="13" max="14" width="3.7109375" style="9" customWidth="1"/>
    <col min="15" max="18" width="10.7109375" style="9" customWidth="1"/>
    <col min="19" max="23" width="10.7109375" style="3" customWidth="1"/>
    <col min="24" max="24" width="9.140625" style="3"/>
    <col min="25" max="27" width="9.140625" style="4"/>
    <col min="28" max="28" width="15.7109375" style="4" customWidth="1"/>
    <col min="29" max="29" width="21" style="4" customWidth="1"/>
    <col min="30" max="30" width="9.5703125" style="4" bestFit="1" customWidth="1"/>
    <col min="31" max="16384" width="9.140625" style="4"/>
  </cols>
  <sheetData>
    <row r="1" spans="2:29" customFormat="1" ht="28.5" x14ac:dyDescent="0.4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2:29" customFormat="1" ht="15.75" customHeight="1" thickBot="1" x14ac:dyDescent="0.5"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</row>
    <row r="3" spans="2:29" ht="16.5" thickBot="1" x14ac:dyDescent="0.3">
      <c r="B3" s="2"/>
      <c r="C3" s="74"/>
      <c r="D3" s="2" t="s">
        <v>65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2:29" ht="20.100000000000001" customHeight="1" thickBot="1" x14ac:dyDescent="0.3">
      <c r="B4" s="11" t="s">
        <v>13</v>
      </c>
      <c r="C4" s="74">
        <v>1.26</v>
      </c>
      <c r="D4" s="13" t="s">
        <v>14</v>
      </c>
    </row>
    <row r="5" spans="2:29" ht="20.100000000000001" customHeight="1" thickBot="1" x14ac:dyDescent="0.3">
      <c r="B5" s="11" t="s">
        <v>24</v>
      </c>
      <c r="C5" s="74">
        <v>0.04</v>
      </c>
      <c r="D5" s="13" t="s">
        <v>25</v>
      </c>
    </row>
    <row r="6" spans="2:29" ht="20.100000000000001" customHeight="1" thickBot="1" x14ac:dyDescent="0.3">
      <c r="B6" s="11" t="s">
        <v>32</v>
      </c>
      <c r="C6" s="74">
        <v>0.42599999999999999</v>
      </c>
      <c r="D6" s="13" t="s">
        <v>33</v>
      </c>
    </row>
    <row r="7" spans="2:29" ht="20.100000000000001" customHeight="1" thickBot="1" x14ac:dyDescent="0.3">
      <c r="B7" s="11" t="s">
        <v>34</v>
      </c>
      <c r="C7" s="74">
        <v>-0.94</v>
      </c>
      <c r="D7" s="13" t="s">
        <v>35</v>
      </c>
    </row>
    <row r="8" spans="2:29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2:29" s="10" customFormat="1" ht="39.75" customHeight="1" x14ac:dyDescent="0.25">
      <c r="B9" s="5" t="s">
        <v>1</v>
      </c>
      <c r="C9" s="6"/>
      <c r="D9" s="7"/>
      <c r="E9" s="8"/>
      <c r="F9" s="8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8"/>
      <c r="T9" s="8"/>
      <c r="U9" s="8"/>
      <c r="V9" s="8"/>
      <c r="W9" s="8"/>
      <c r="X9" s="8"/>
    </row>
    <row r="10" spans="2:29" ht="20.100000000000001" customHeight="1" x14ac:dyDescent="0.25">
      <c r="B10" s="11" t="s">
        <v>2</v>
      </c>
      <c r="C10" s="12">
        <v>0.43</v>
      </c>
      <c r="D10" s="13" t="s">
        <v>3</v>
      </c>
      <c r="Z10" s="14"/>
      <c r="AA10" s="14"/>
      <c r="AB10" s="15"/>
      <c r="AC10" s="16"/>
    </row>
    <row r="11" spans="2:29" ht="20.100000000000001" customHeight="1" x14ac:dyDescent="0.25">
      <c r="B11" s="11"/>
      <c r="C11" s="3"/>
      <c r="Z11" s="14"/>
      <c r="AA11" s="14"/>
      <c r="AB11" s="15"/>
      <c r="AC11" s="16"/>
    </row>
    <row r="12" spans="2:29" ht="20.100000000000001" customHeight="1" x14ac:dyDescent="0.25">
      <c r="B12" s="17" t="s">
        <v>4</v>
      </c>
      <c r="C12" s="3"/>
      <c r="AB12" s="18"/>
    </row>
    <row r="13" spans="2:29" ht="20.100000000000001" customHeight="1" x14ac:dyDescent="0.25">
      <c r="C13" s="19" t="s">
        <v>5</v>
      </c>
      <c r="D13" s="20" t="s">
        <v>6</v>
      </c>
    </row>
    <row r="14" spans="2:29" ht="20.100000000000001" customHeight="1" x14ac:dyDescent="0.25">
      <c r="C14" s="21">
        <v>1.4</v>
      </c>
      <c r="D14" s="12">
        <v>2.33</v>
      </c>
      <c r="F14" s="3">
        <v>238</v>
      </c>
      <c r="G14" s="9" t="s">
        <v>7</v>
      </c>
      <c r="H14" s="9">
        <f>F14/101.96</f>
        <v>2.3342487249901924</v>
      </c>
    </row>
    <row r="15" spans="2:29" ht="20.100000000000001" customHeight="1" x14ac:dyDescent="0.25">
      <c r="B15" s="19" t="s">
        <v>8</v>
      </c>
      <c r="C15" s="22">
        <f>C19</f>
        <v>1.26</v>
      </c>
      <c r="D15" s="23">
        <f>D14+(((C15-C14)/(C16-C14))*(D16-D14))</f>
        <v>2.5189999999999997</v>
      </c>
    </row>
    <row r="16" spans="2:29" ht="20.100000000000001" customHeight="1" x14ac:dyDescent="0.25">
      <c r="C16" s="21">
        <v>1.8</v>
      </c>
      <c r="D16" s="12">
        <v>1.79</v>
      </c>
      <c r="F16" s="3">
        <v>181</v>
      </c>
      <c r="G16" s="9" t="s">
        <v>7</v>
      </c>
      <c r="H16" s="9">
        <f>F16/101.96</f>
        <v>1.7752059631227934</v>
      </c>
    </row>
    <row r="17" spans="2:24" ht="20.100000000000001" customHeight="1" x14ac:dyDescent="0.25">
      <c r="C17" s="19" t="s">
        <v>9</v>
      </c>
      <c r="D17" s="20" t="s">
        <v>10</v>
      </c>
    </row>
    <row r="18" spans="2:24" ht="20.100000000000001" customHeight="1" thickBot="1" x14ac:dyDescent="0.4">
      <c r="B18" s="24" t="s">
        <v>11</v>
      </c>
      <c r="C18" s="72">
        <f>D15</f>
        <v>2.5189999999999997</v>
      </c>
      <c r="D18" s="13" t="s">
        <v>12</v>
      </c>
    </row>
    <row r="19" spans="2:24" ht="20.100000000000001" customHeight="1" thickBot="1" x14ac:dyDescent="0.3">
      <c r="B19" s="11" t="s">
        <v>13</v>
      </c>
      <c r="C19" s="74">
        <v>1.26</v>
      </c>
      <c r="D19" s="13" t="s">
        <v>14</v>
      </c>
    </row>
    <row r="20" spans="2:24" ht="20.100000000000001" customHeight="1" x14ac:dyDescent="0.35">
      <c r="B20" s="11" t="s">
        <v>15</v>
      </c>
      <c r="C20" s="73">
        <v>120</v>
      </c>
      <c r="D20" s="13" t="s">
        <v>16</v>
      </c>
    </row>
    <row r="21" spans="2:24" ht="20.100000000000001" customHeight="1" x14ac:dyDescent="0.25">
      <c r="B21" s="11"/>
    </row>
    <row r="22" spans="2:24" ht="20.100000000000001" customHeight="1" x14ac:dyDescent="0.25">
      <c r="B22" s="26" t="s">
        <v>17</v>
      </c>
    </row>
    <row r="23" spans="2:24" ht="20.100000000000001" customHeight="1" x14ac:dyDescent="0.35">
      <c r="B23" s="11" t="s">
        <v>18</v>
      </c>
      <c r="C23" s="12">
        <v>200</v>
      </c>
      <c r="D23" s="13" t="s">
        <v>19</v>
      </c>
    </row>
    <row r="24" spans="2:24" ht="20.100000000000001" customHeight="1" x14ac:dyDescent="0.35">
      <c r="B24" s="24" t="s">
        <v>20</v>
      </c>
      <c r="C24" s="23">
        <f>(C20/C23)*C18</f>
        <v>1.5113999999999999</v>
      </c>
      <c r="D24" s="13" t="s">
        <v>21</v>
      </c>
    </row>
    <row r="25" spans="2:24" ht="20.100000000000001" customHeight="1" x14ac:dyDescent="0.25">
      <c r="B25" s="24"/>
      <c r="C25" s="24"/>
    </row>
    <row r="26" spans="2:24" s="10" customFormat="1" ht="20.100000000000001" customHeight="1" x14ac:dyDescent="0.25">
      <c r="B26" s="5" t="s">
        <v>22</v>
      </c>
      <c r="C26" s="6"/>
      <c r="D26" s="7"/>
      <c r="E26" s="8"/>
      <c r="F26" s="8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8"/>
      <c r="T26" s="8"/>
      <c r="U26" s="8"/>
      <c r="V26" s="8"/>
      <c r="W26" s="8"/>
      <c r="X26" s="8"/>
    </row>
    <row r="27" spans="2:24" ht="20.100000000000001" customHeight="1" thickBot="1" x14ac:dyDescent="0.3">
      <c r="B27" s="17" t="s">
        <v>23</v>
      </c>
    </row>
    <row r="28" spans="2:24" ht="20.100000000000001" customHeight="1" thickBot="1" x14ac:dyDescent="0.3">
      <c r="B28" s="11" t="s">
        <v>24</v>
      </c>
      <c r="C28" s="74">
        <v>0.04</v>
      </c>
      <c r="D28" s="13" t="s">
        <v>25</v>
      </c>
    </row>
    <row r="29" spans="2:24" ht="20.100000000000001" customHeight="1" x14ac:dyDescent="0.25">
      <c r="B29" s="11"/>
      <c r="C29" s="27">
        <f>C28*101.97</f>
        <v>4.0788000000000002</v>
      </c>
      <c r="D29" s="11" t="s">
        <v>26</v>
      </c>
    </row>
    <row r="30" spans="2:24" ht="20.100000000000001" customHeight="1" x14ac:dyDescent="0.25">
      <c r="B30" s="11" t="s">
        <v>27</v>
      </c>
      <c r="C30" s="28">
        <f>'[1]AÇÕES NA ESTRUTURA'!B21</f>
        <v>0.25</v>
      </c>
      <c r="D30" s="13" t="s">
        <v>28</v>
      </c>
    </row>
    <row r="31" spans="2:24" ht="20.100000000000001" customHeight="1" x14ac:dyDescent="0.25">
      <c r="B31" s="11" t="s">
        <v>29</v>
      </c>
      <c r="C31" s="29">
        <f>C28+C30</f>
        <v>0.28999999999999998</v>
      </c>
      <c r="D31" s="13" t="s">
        <v>30</v>
      </c>
    </row>
    <row r="32" spans="2:24" ht="20.100000000000001" customHeight="1" x14ac:dyDescent="0.25">
      <c r="B32" s="11"/>
    </row>
    <row r="33" spans="2:24" ht="20.100000000000001" customHeight="1" x14ac:dyDescent="0.25">
      <c r="B33" s="17" t="s">
        <v>31</v>
      </c>
    </row>
    <row r="34" spans="2:24" ht="20.100000000000001" customHeight="1" thickBot="1" x14ac:dyDescent="0.3">
      <c r="B34" s="11" t="s">
        <v>24</v>
      </c>
      <c r="C34" s="30">
        <f>C28</f>
        <v>0.04</v>
      </c>
      <c r="D34" s="13" t="s">
        <v>25</v>
      </c>
    </row>
    <row r="35" spans="2:24" ht="20.100000000000001" customHeight="1" thickBot="1" x14ac:dyDescent="0.3">
      <c r="B35" s="11" t="s">
        <v>32</v>
      </c>
      <c r="C35" s="74">
        <v>0.42599999999999999</v>
      </c>
      <c r="D35" s="13" t="s">
        <v>33</v>
      </c>
    </row>
    <row r="36" spans="2:24" ht="20.100000000000001" customHeight="1" thickBot="1" x14ac:dyDescent="0.3">
      <c r="B36" s="11" t="s">
        <v>34</v>
      </c>
      <c r="C36" s="74">
        <v>-0.94</v>
      </c>
      <c r="D36" s="13" t="s">
        <v>35</v>
      </c>
    </row>
    <row r="37" spans="2:24" ht="20.100000000000001" customHeight="1" x14ac:dyDescent="0.25">
      <c r="B37" s="11" t="s">
        <v>36</v>
      </c>
      <c r="C37" s="28">
        <f>C35*C36</f>
        <v>-0.40043999999999996</v>
      </c>
      <c r="D37" s="13" t="s">
        <v>28</v>
      </c>
    </row>
    <row r="38" spans="2:24" ht="20.100000000000001" customHeight="1" x14ac:dyDescent="0.25">
      <c r="B38" s="11" t="s">
        <v>29</v>
      </c>
      <c r="C38" s="78">
        <f>C34+C37</f>
        <v>-0.36043999999999998</v>
      </c>
      <c r="D38" s="13" t="s">
        <v>37</v>
      </c>
    </row>
    <row r="39" spans="2:24" ht="20.100000000000001" customHeight="1" x14ac:dyDescent="0.25">
      <c r="B39" s="11"/>
      <c r="C39" s="3"/>
    </row>
    <row r="40" spans="2:24" s="10" customFormat="1" ht="20.100000000000001" customHeight="1" x14ac:dyDescent="0.25">
      <c r="B40" s="5" t="s">
        <v>38</v>
      </c>
      <c r="C40" s="6"/>
      <c r="D40" s="7"/>
      <c r="E40" s="8"/>
      <c r="F40" s="8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8"/>
      <c r="T40" s="8"/>
      <c r="U40" s="8"/>
      <c r="V40" s="8"/>
      <c r="W40" s="8"/>
      <c r="X40" s="8"/>
    </row>
    <row r="41" spans="2:24" ht="20.100000000000001" customHeight="1" x14ac:dyDescent="0.25">
      <c r="B41" s="17" t="s">
        <v>23</v>
      </c>
    </row>
    <row r="42" spans="2:24" ht="20.100000000000001" customHeight="1" x14ac:dyDescent="0.35">
      <c r="B42" s="24" t="s">
        <v>20</v>
      </c>
      <c r="C42" s="25">
        <f>C18</f>
        <v>2.5189999999999997</v>
      </c>
      <c r="D42" s="13" t="s">
        <v>39</v>
      </c>
    </row>
    <row r="43" spans="2:24" ht="20.100000000000001" customHeight="1" x14ac:dyDescent="0.35">
      <c r="B43" s="24" t="s">
        <v>40</v>
      </c>
      <c r="C43" s="28">
        <f>C31</f>
        <v>0.28999999999999998</v>
      </c>
      <c r="D43" s="13" t="s">
        <v>41</v>
      </c>
    </row>
    <row r="44" spans="2:24" ht="20.100000000000001" customHeight="1" x14ac:dyDescent="0.35">
      <c r="B44" s="31" t="s">
        <v>42</v>
      </c>
      <c r="C44" s="76" t="str">
        <f>IF(C42&gt;C43,"OK","VERIFICAR")</f>
        <v>OK</v>
      </c>
      <c r="D44" s="32" t="s">
        <v>42</v>
      </c>
      <c r="F44" s="33">
        <f>C43/C42</f>
        <v>0.11512504962286622</v>
      </c>
    </row>
    <row r="45" spans="2:24" ht="20.100000000000001" customHeight="1" x14ac:dyDescent="0.25">
      <c r="B45" s="24"/>
      <c r="C45" s="19"/>
    </row>
    <row r="46" spans="2:24" ht="20.100000000000001" customHeight="1" x14ac:dyDescent="0.25">
      <c r="B46" s="17" t="s">
        <v>31</v>
      </c>
    </row>
    <row r="47" spans="2:24" ht="20.100000000000001" customHeight="1" x14ac:dyDescent="0.35">
      <c r="B47" s="24" t="s">
        <v>20</v>
      </c>
      <c r="C47" s="25">
        <f>C18</f>
        <v>2.5189999999999997</v>
      </c>
      <c r="D47" s="13" t="s">
        <v>39</v>
      </c>
    </row>
    <row r="48" spans="2:24" ht="20.100000000000001" customHeight="1" x14ac:dyDescent="0.35">
      <c r="B48" s="24" t="s">
        <v>40</v>
      </c>
      <c r="C48" s="28">
        <f>ABS(C38)</f>
        <v>0.36043999999999998</v>
      </c>
      <c r="D48" s="13" t="s">
        <v>41</v>
      </c>
    </row>
    <row r="49" spans="2:29" ht="20.100000000000001" customHeight="1" x14ac:dyDescent="0.35">
      <c r="B49" s="31" t="s">
        <v>42</v>
      </c>
      <c r="C49" s="76" t="str">
        <f>IF(C47&gt;C48,"OK","VERIFICAR")</f>
        <v>OK</v>
      </c>
      <c r="D49" s="32" t="s">
        <v>42</v>
      </c>
      <c r="F49" s="33">
        <f>C48/C47</f>
        <v>0.14308852719333071</v>
      </c>
    </row>
    <row r="50" spans="2:29" ht="20.100000000000001" customHeight="1" x14ac:dyDescent="0.25">
      <c r="B50" s="24"/>
      <c r="C50" s="19"/>
    </row>
    <row r="51" spans="2:29" s="10" customFormat="1" ht="20.100000000000001" customHeight="1" x14ac:dyDescent="0.25">
      <c r="B51" s="5" t="s">
        <v>43</v>
      </c>
      <c r="C51" s="6"/>
      <c r="D51" s="7"/>
      <c r="E51" s="8"/>
      <c r="F51" s="8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8"/>
      <c r="T51" s="8"/>
      <c r="U51" s="8"/>
      <c r="V51" s="8"/>
      <c r="W51" s="8"/>
      <c r="X51" s="8"/>
    </row>
    <row r="52" spans="2:29" ht="20.100000000000001" customHeight="1" thickBot="1" x14ac:dyDescent="0.3">
      <c r="B52" s="34" t="s">
        <v>44</v>
      </c>
      <c r="C52" s="35"/>
      <c r="D52" s="36"/>
      <c r="E52" s="37"/>
      <c r="F52" s="37"/>
      <c r="G52" s="38"/>
      <c r="H52" s="38"/>
      <c r="I52" s="38"/>
      <c r="J52" s="38"/>
      <c r="K52" s="38"/>
    </row>
    <row r="53" spans="2:29" ht="20.100000000000001" customHeight="1" thickBot="1" x14ac:dyDescent="0.3">
      <c r="B53" s="11" t="s">
        <v>45</v>
      </c>
      <c r="C53" s="74">
        <v>-1.4</v>
      </c>
    </row>
    <row r="54" spans="2:29" ht="20.100000000000001" customHeight="1" x14ac:dyDescent="0.25">
      <c r="B54" s="11" t="s">
        <v>32</v>
      </c>
      <c r="C54" s="28">
        <f>C35</f>
        <v>0.42599999999999999</v>
      </c>
      <c r="D54" s="13" t="s">
        <v>46</v>
      </c>
    </row>
    <row r="55" spans="2:29" s="9" customFormat="1" ht="20.100000000000001" customHeight="1" x14ac:dyDescent="0.25">
      <c r="B55" s="11" t="s">
        <v>24</v>
      </c>
      <c r="C55" s="28">
        <f>C28</f>
        <v>0.04</v>
      </c>
      <c r="D55" s="13" t="s">
        <v>25</v>
      </c>
      <c r="E55" s="3"/>
      <c r="F55" s="3"/>
      <c r="S55" s="3"/>
      <c r="T55" s="3"/>
      <c r="U55" s="3"/>
      <c r="V55" s="3"/>
      <c r="W55" s="3"/>
      <c r="X55" s="3"/>
      <c r="Y55" s="4"/>
      <c r="Z55" s="4"/>
      <c r="AA55" s="4"/>
      <c r="AB55" s="4"/>
      <c r="AC55" s="4"/>
    </row>
    <row r="56" spans="2:29" s="9" customFormat="1" ht="20.100000000000001" customHeight="1" x14ac:dyDescent="0.25">
      <c r="B56" s="11" t="s">
        <v>47</v>
      </c>
      <c r="C56" s="28">
        <f>C54*C53</f>
        <v>-0.59639999999999993</v>
      </c>
      <c r="D56" s="13"/>
      <c r="E56" s="3"/>
      <c r="F56" s="3"/>
      <c r="S56" s="3"/>
      <c r="T56" s="3"/>
      <c r="U56" s="3"/>
      <c r="V56" s="3"/>
      <c r="W56" s="3"/>
      <c r="X56" s="3"/>
      <c r="Y56" s="4"/>
      <c r="Z56" s="4"/>
      <c r="AA56" s="4"/>
      <c r="AB56" s="4"/>
      <c r="AC56" s="4"/>
    </row>
    <row r="57" spans="2:29" s="9" customFormat="1" ht="20.100000000000001" customHeight="1" x14ac:dyDescent="0.35">
      <c r="B57" s="24" t="s">
        <v>20</v>
      </c>
      <c r="C57" s="25">
        <f>C18</f>
        <v>2.5189999999999997</v>
      </c>
      <c r="D57" s="13" t="s">
        <v>39</v>
      </c>
      <c r="E57" s="3"/>
      <c r="F57" s="3"/>
      <c r="S57" s="3"/>
      <c r="T57" s="3"/>
      <c r="U57" s="3"/>
      <c r="V57" s="3"/>
      <c r="W57" s="3"/>
      <c r="X57" s="3"/>
      <c r="Y57" s="4"/>
      <c r="Z57" s="4"/>
      <c r="AA57" s="4"/>
      <c r="AB57" s="4"/>
      <c r="AC57" s="4"/>
    </row>
    <row r="58" spans="2:29" s="9" customFormat="1" ht="20.100000000000001" customHeight="1" x14ac:dyDescent="0.35">
      <c r="B58" s="24" t="s">
        <v>40</v>
      </c>
      <c r="C58" s="19">
        <f>ABS(C56+C55)</f>
        <v>0.55639999999999989</v>
      </c>
      <c r="D58" s="13" t="s">
        <v>48</v>
      </c>
      <c r="E58" s="3"/>
      <c r="F58" s="3"/>
      <c r="S58" s="3"/>
      <c r="T58" s="3"/>
      <c r="U58" s="3"/>
      <c r="V58" s="3"/>
      <c r="W58" s="3"/>
      <c r="X58" s="3"/>
      <c r="Y58" s="4"/>
      <c r="Z58" s="4"/>
      <c r="AA58" s="4"/>
      <c r="AB58" s="4"/>
      <c r="AC58" s="4"/>
    </row>
    <row r="59" spans="2:29" s="9" customFormat="1" ht="20.100000000000001" customHeight="1" x14ac:dyDescent="0.35">
      <c r="B59" s="31" t="s">
        <v>42</v>
      </c>
      <c r="C59" s="77" t="str">
        <f>IF(C57&gt;C58,"OK","VERIFICAR")</f>
        <v>OK</v>
      </c>
      <c r="D59" s="32" t="s">
        <v>42</v>
      </c>
      <c r="E59" s="3"/>
      <c r="F59" s="39">
        <f>C58/C57</f>
        <v>0.22088130210400952</v>
      </c>
      <c r="S59" s="3"/>
      <c r="T59" s="3"/>
      <c r="U59" s="3"/>
      <c r="V59" s="3"/>
      <c r="W59" s="3"/>
      <c r="X59" s="3"/>
      <c r="Y59" s="4"/>
      <c r="Z59" s="4"/>
      <c r="AA59" s="4"/>
      <c r="AB59" s="4"/>
      <c r="AC59" s="4"/>
    </row>
    <row r="60" spans="2:29" s="9" customFormat="1" ht="20.100000000000001" customHeight="1" x14ac:dyDescent="0.25">
      <c r="B60" s="31"/>
      <c r="C60" s="19">
        <f>I62</f>
        <v>3</v>
      </c>
      <c r="D60" s="32" t="s">
        <v>49</v>
      </c>
      <c r="E60" s="3"/>
      <c r="F60" s="39"/>
      <c r="S60" s="3"/>
      <c r="T60" s="3"/>
      <c r="U60" s="3"/>
      <c r="V60" s="3"/>
      <c r="W60" s="3"/>
      <c r="X60" s="3"/>
      <c r="Y60" s="4"/>
      <c r="Z60" s="4"/>
      <c r="AA60" s="4"/>
      <c r="AB60" s="4"/>
      <c r="AC60" s="4"/>
    </row>
    <row r="61" spans="2:29" s="9" customFormat="1" ht="20.100000000000001" customHeight="1" x14ac:dyDescent="0.25">
      <c r="B61" s="2"/>
      <c r="C61" s="19"/>
      <c r="D61" s="32"/>
      <c r="E61" s="3"/>
      <c r="F61" s="3"/>
      <c r="S61" s="3"/>
      <c r="T61" s="3"/>
      <c r="U61" s="3"/>
      <c r="V61" s="3"/>
      <c r="W61" s="3"/>
      <c r="X61" s="3"/>
      <c r="Y61" s="4"/>
      <c r="Z61" s="4"/>
      <c r="AA61" s="4"/>
      <c r="AB61" s="4"/>
      <c r="AC61" s="4"/>
    </row>
    <row r="62" spans="2:29" s="9" customFormat="1" ht="20.100000000000001" customHeight="1" x14ac:dyDescent="0.25">
      <c r="B62" s="11"/>
      <c r="C62" s="11"/>
      <c r="D62" s="13"/>
      <c r="E62" s="3"/>
      <c r="F62" s="3"/>
      <c r="I62" s="40">
        <f>G64</f>
        <v>3</v>
      </c>
      <c r="L62" s="40">
        <f>I62</f>
        <v>3</v>
      </c>
      <c r="S62" s="3"/>
      <c r="T62" s="3"/>
      <c r="U62" s="3"/>
      <c r="V62" s="3"/>
      <c r="W62" s="3"/>
      <c r="X62" s="3"/>
      <c r="Y62" s="4"/>
      <c r="Z62" s="4"/>
      <c r="AA62" s="4"/>
      <c r="AB62" s="4"/>
      <c r="AC62" s="4"/>
    </row>
    <row r="63" spans="2:29" s="9" customFormat="1" ht="20.100000000000001" customHeight="1" thickBot="1" x14ac:dyDescent="0.3">
      <c r="B63" s="24"/>
      <c r="C63" s="28"/>
      <c r="D63" s="13"/>
      <c r="E63" s="3"/>
      <c r="F63" s="3"/>
      <c r="I63" s="40"/>
      <c r="L63" s="40"/>
      <c r="S63" s="3"/>
      <c r="T63" s="3"/>
      <c r="U63" s="3"/>
      <c r="V63" s="3"/>
      <c r="W63" s="3"/>
      <c r="X63" s="3"/>
      <c r="Y63" s="4"/>
      <c r="Z63" s="4"/>
      <c r="AA63" s="4"/>
      <c r="AB63" s="4"/>
      <c r="AC63" s="4"/>
    </row>
    <row r="64" spans="2:29" s="9" customFormat="1" ht="20.100000000000001" customHeight="1" thickBot="1" x14ac:dyDescent="0.3">
      <c r="B64" s="11"/>
      <c r="C64" s="28"/>
      <c r="D64" s="13"/>
      <c r="E64" s="3"/>
      <c r="F64" s="3"/>
      <c r="G64" s="41">
        <f>C68</f>
        <v>3</v>
      </c>
      <c r="H64" s="42">
        <f>'[1]CE PAREDES'!AJ21</f>
        <v>6.25</v>
      </c>
      <c r="I64" s="43">
        <f>'[1]CE TELHADOS'!L24</f>
        <v>-1.4</v>
      </c>
      <c r="J64" s="44"/>
      <c r="K64" s="44"/>
      <c r="L64" s="45">
        <f>'[1]CE TELHADOS'!O24</f>
        <v>-1.0284237254999857</v>
      </c>
      <c r="M64" s="46" t="s">
        <v>50</v>
      </c>
      <c r="N64" s="47"/>
      <c r="S64" s="3"/>
      <c r="T64" s="3"/>
      <c r="U64" s="3"/>
      <c r="V64" s="3"/>
      <c r="W64" s="3"/>
      <c r="X64" s="3"/>
      <c r="Y64" s="4"/>
      <c r="Z64" s="4"/>
      <c r="AA64" s="4"/>
      <c r="AB64" s="4"/>
      <c r="AC64" s="4"/>
    </row>
    <row r="65" spans="2:29" s="9" customFormat="1" ht="20.100000000000001" customHeight="1" thickBot="1" x14ac:dyDescent="0.3">
      <c r="B65" s="11" t="s">
        <v>51</v>
      </c>
      <c r="C65" s="74">
        <f>'[1]DEFINIÇÃO DA GEOMETRIA'!H20</f>
        <v>6.75</v>
      </c>
      <c r="D65" s="13" t="s">
        <v>52</v>
      </c>
      <c r="E65" s="3"/>
      <c r="F65" s="3"/>
      <c r="G65" s="48"/>
      <c r="H65" s="42"/>
      <c r="I65" s="49">
        <f>'[1]CE TELHADOS'!M24</f>
        <v>-1.2284237254999857</v>
      </c>
      <c r="J65" s="50" t="s">
        <v>53</v>
      </c>
      <c r="K65" s="50"/>
      <c r="L65" s="51"/>
      <c r="M65" s="50"/>
      <c r="N65" s="52"/>
      <c r="S65" s="3"/>
      <c r="T65" s="3"/>
      <c r="U65" s="3"/>
      <c r="V65" s="3"/>
      <c r="W65" s="3"/>
      <c r="X65" s="3"/>
      <c r="Y65" s="4"/>
      <c r="Z65" s="4"/>
      <c r="AA65" s="4"/>
      <c r="AB65" s="4"/>
      <c r="AC65" s="4"/>
    </row>
    <row r="66" spans="2:29" s="9" customFormat="1" ht="20.100000000000001" customHeight="1" thickBot="1" x14ac:dyDescent="0.3">
      <c r="B66" s="11" t="s">
        <v>54</v>
      </c>
      <c r="C66" s="74">
        <f>'[1]DEFINIÇÃO DA GEOMETRIA'!B10</f>
        <v>20</v>
      </c>
      <c r="D66" s="13" t="s">
        <v>52</v>
      </c>
      <c r="E66" s="3"/>
      <c r="F66" s="3"/>
      <c r="G66" s="48"/>
      <c r="H66" s="42"/>
      <c r="I66" s="49"/>
      <c r="J66" s="50"/>
      <c r="K66" s="50"/>
      <c r="L66" s="51"/>
      <c r="M66" s="50"/>
      <c r="N66" s="52"/>
      <c r="S66" s="3"/>
      <c r="T66" s="3"/>
      <c r="U66" s="3"/>
      <c r="V66" s="3"/>
      <c r="W66" s="3"/>
      <c r="X66" s="3"/>
      <c r="Y66" s="4"/>
      <c r="Z66" s="4"/>
      <c r="AA66" s="4"/>
      <c r="AB66" s="4"/>
      <c r="AC66" s="4"/>
    </row>
    <row r="67" spans="2:29" s="9" customFormat="1" ht="20.100000000000001" customHeight="1" x14ac:dyDescent="0.25">
      <c r="B67" s="11" t="s">
        <v>55</v>
      </c>
      <c r="C67" s="19">
        <f>C66*0.15</f>
        <v>3</v>
      </c>
      <c r="D67" s="13" t="s">
        <v>52</v>
      </c>
      <c r="E67" s="3"/>
      <c r="F67" s="3"/>
      <c r="G67" s="48"/>
      <c r="H67" s="42"/>
      <c r="I67" s="49"/>
      <c r="J67" s="50"/>
      <c r="K67" s="50"/>
      <c r="L67" s="51"/>
      <c r="M67" s="50"/>
      <c r="N67" s="52"/>
      <c r="S67" s="3"/>
      <c r="T67" s="3"/>
      <c r="U67" s="3"/>
      <c r="V67" s="3"/>
      <c r="W67" s="3"/>
      <c r="X67" s="3"/>
      <c r="Y67" s="4"/>
      <c r="Z67" s="4"/>
      <c r="AA67" s="4"/>
      <c r="AB67" s="4"/>
      <c r="AC67" s="4"/>
    </row>
    <row r="68" spans="2:29" s="9" customFormat="1" ht="20.100000000000001" customHeight="1" x14ac:dyDescent="0.25">
      <c r="B68" s="11" t="s">
        <v>56</v>
      </c>
      <c r="C68" s="23">
        <f>MIN(C67,C65)</f>
        <v>3</v>
      </c>
      <c r="D68" s="13" t="s">
        <v>57</v>
      </c>
      <c r="E68" s="3"/>
      <c r="F68" s="3"/>
      <c r="G68" s="48"/>
      <c r="H68" s="42"/>
      <c r="I68" s="53">
        <f>'[1]CE TELHADOS'!N24</f>
        <v>-1.0294576470000856</v>
      </c>
      <c r="J68" s="50" t="s">
        <v>58</v>
      </c>
      <c r="K68" s="50"/>
      <c r="L68" s="51"/>
      <c r="M68" s="54" t="s">
        <v>59</v>
      </c>
      <c r="N68" s="55"/>
      <c r="S68" s="3"/>
      <c r="T68" s="3"/>
      <c r="U68" s="3"/>
      <c r="V68" s="3"/>
      <c r="W68" s="3"/>
      <c r="X68" s="3"/>
      <c r="Y68" s="4"/>
      <c r="Z68" s="4"/>
      <c r="AA68" s="4"/>
      <c r="AB68" s="4"/>
      <c r="AC68" s="4"/>
    </row>
    <row r="69" spans="2:29" s="9" customFormat="1" ht="20.100000000000001" customHeight="1" x14ac:dyDescent="0.25">
      <c r="B69" s="3"/>
      <c r="C69" s="11"/>
      <c r="D69" s="13"/>
      <c r="E69" s="3"/>
      <c r="F69" s="3"/>
      <c r="G69" s="56"/>
      <c r="H69" s="42"/>
      <c r="I69" s="53"/>
      <c r="J69" s="50"/>
      <c r="K69" s="50"/>
      <c r="L69" s="51"/>
      <c r="M69" s="57"/>
      <c r="N69" s="58"/>
      <c r="S69" s="3"/>
      <c r="T69" s="3"/>
      <c r="U69" s="3"/>
      <c r="V69" s="3"/>
      <c r="W69" s="3"/>
      <c r="X69" s="3"/>
      <c r="Y69" s="4"/>
      <c r="Z69" s="4"/>
      <c r="AA69" s="4"/>
      <c r="AB69" s="4"/>
      <c r="AC69" s="4"/>
    </row>
    <row r="70" spans="2:29" s="9" customFormat="1" ht="20.100000000000001" customHeight="1" x14ac:dyDescent="0.25">
      <c r="B70" s="3"/>
      <c r="C70" s="11"/>
      <c r="D70" s="13"/>
      <c r="E70" s="3"/>
      <c r="F70" s="3"/>
      <c r="G70" s="56"/>
      <c r="H70" s="42"/>
      <c r="I70" s="53"/>
      <c r="J70" s="50"/>
      <c r="K70" s="50"/>
      <c r="L70" s="51"/>
      <c r="M70" s="59"/>
      <c r="N70" s="60"/>
      <c r="S70" s="3"/>
      <c r="T70" s="3"/>
      <c r="U70" s="3"/>
      <c r="V70" s="3"/>
      <c r="W70" s="3"/>
      <c r="X70" s="3"/>
      <c r="Y70" s="4"/>
      <c r="Z70" s="4"/>
      <c r="AA70" s="4"/>
      <c r="AB70" s="4"/>
      <c r="AC70" s="4"/>
    </row>
    <row r="71" spans="2:29" s="9" customFormat="1" ht="20.100000000000001" customHeight="1" x14ac:dyDescent="0.25">
      <c r="B71" s="3"/>
      <c r="C71" s="11"/>
      <c r="D71" s="13"/>
      <c r="E71" s="3"/>
      <c r="F71" s="3"/>
      <c r="I71" s="61" t="s">
        <v>60</v>
      </c>
      <c r="J71" s="50"/>
      <c r="K71" s="62"/>
      <c r="L71" s="54" t="s">
        <v>61</v>
      </c>
      <c r="M71" s="63"/>
      <c r="N71" s="55"/>
      <c r="S71" s="3"/>
      <c r="T71" s="3"/>
      <c r="U71" s="3"/>
      <c r="V71" s="3"/>
      <c r="W71" s="3"/>
      <c r="X71" s="3"/>
      <c r="Y71" s="4"/>
      <c r="Z71" s="4"/>
      <c r="AA71" s="4"/>
      <c r="AB71" s="4"/>
      <c r="AC71" s="4"/>
    </row>
    <row r="72" spans="2:29" s="9" customFormat="1" ht="20.100000000000001" customHeight="1" x14ac:dyDescent="0.25">
      <c r="B72" s="3"/>
      <c r="C72" s="11"/>
      <c r="D72" s="13"/>
      <c r="E72" s="3"/>
      <c r="F72" s="3"/>
      <c r="I72" s="64"/>
      <c r="J72" s="62"/>
      <c r="K72" s="62"/>
      <c r="L72" s="57"/>
      <c r="M72" s="65"/>
      <c r="N72" s="58"/>
      <c r="S72" s="3"/>
      <c r="T72" s="3"/>
      <c r="U72" s="3"/>
      <c r="V72" s="3"/>
      <c r="W72" s="3"/>
      <c r="X72" s="3"/>
      <c r="Y72" s="4"/>
      <c r="Z72" s="4"/>
      <c r="AA72" s="4"/>
      <c r="AB72" s="4"/>
      <c r="AC72" s="4"/>
    </row>
    <row r="73" spans="2:29" s="9" customFormat="1" ht="20.100000000000001" customHeight="1" x14ac:dyDescent="0.25">
      <c r="B73" s="3"/>
      <c r="C73" s="11"/>
      <c r="D73" s="13"/>
      <c r="E73" s="3"/>
      <c r="F73" s="3"/>
      <c r="I73" s="64"/>
      <c r="J73" s="62"/>
      <c r="K73" s="62"/>
      <c r="L73" s="57"/>
      <c r="M73" s="65"/>
      <c r="N73" s="58"/>
      <c r="S73" s="3"/>
      <c r="T73" s="3"/>
      <c r="U73" s="3"/>
      <c r="V73" s="3"/>
      <c r="W73" s="3"/>
      <c r="X73" s="3"/>
      <c r="Y73" s="4"/>
      <c r="Z73" s="4"/>
      <c r="AA73" s="4"/>
      <c r="AB73" s="4"/>
      <c r="AC73" s="4"/>
    </row>
    <row r="74" spans="2:29" s="9" customFormat="1" ht="20.100000000000001" customHeight="1" thickBot="1" x14ac:dyDescent="0.3">
      <c r="B74" s="3"/>
      <c r="C74" s="11"/>
      <c r="D74" s="13"/>
      <c r="E74" s="3"/>
      <c r="F74" s="3"/>
      <c r="I74" s="66"/>
      <c r="J74" s="67"/>
      <c r="K74" s="67"/>
      <c r="L74" s="68"/>
      <c r="M74" s="69"/>
      <c r="N74" s="70"/>
      <c r="S74" s="3"/>
      <c r="T74" s="3"/>
      <c r="U74" s="3"/>
      <c r="V74" s="3"/>
      <c r="W74" s="3"/>
      <c r="X74" s="3"/>
      <c r="Y74" s="4"/>
      <c r="Z74" s="4"/>
      <c r="AA74" s="4"/>
      <c r="AB74" s="4"/>
      <c r="AC74" s="4"/>
    </row>
    <row r="75" spans="2:29" s="9" customFormat="1" ht="20.100000000000001" customHeight="1" x14ac:dyDescent="0.25">
      <c r="B75" s="3"/>
      <c r="C75" s="11"/>
      <c r="D75" s="13"/>
      <c r="E75" s="3"/>
      <c r="F75" s="3"/>
      <c r="S75" s="3"/>
      <c r="T75" s="3"/>
      <c r="U75" s="3"/>
      <c r="V75" s="3"/>
      <c r="W75" s="3"/>
      <c r="X75" s="3"/>
      <c r="Y75" s="4"/>
      <c r="Z75" s="4"/>
      <c r="AA75" s="4"/>
      <c r="AB75" s="4"/>
      <c r="AC75" s="4"/>
    </row>
    <row r="76" spans="2:29" s="9" customFormat="1" ht="20.100000000000001" customHeight="1" x14ac:dyDescent="0.25">
      <c r="B76" s="2" t="s">
        <v>62</v>
      </c>
      <c r="C76" s="11"/>
      <c r="D76" s="13"/>
      <c r="E76" s="3"/>
      <c r="F76" s="3"/>
      <c r="S76" s="3"/>
      <c r="T76" s="3"/>
      <c r="U76" s="3"/>
      <c r="V76" s="3"/>
      <c r="W76" s="3"/>
      <c r="X76" s="3"/>
      <c r="Y76" s="4"/>
      <c r="Z76" s="4"/>
      <c r="AA76" s="4"/>
      <c r="AB76" s="4"/>
      <c r="AC76" s="4"/>
    </row>
    <row r="77" spans="2:29" s="9" customFormat="1" ht="20.100000000000001" customHeight="1" x14ac:dyDescent="0.25">
      <c r="B77" s="3"/>
      <c r="C77" s="11"/>
      <c r="D77" s="13"/>
      <c r="E77" s="3"/>
      <c r="F77" s="3"/>
      <c r="S77" s="3"/>
      <c r="T77" s="3"/>
      <c r="U77" s="3"/>
      <c r="V77" s="3"/>
      <c r="W77" s="3"/>
      <c r="X77" s="3"/>
      <c r="Y77" s="4"/>
      <c r="Z77" s="4"/>
      <c r="AA77" s="4"/>
      <c r="AB77" s="4"/>
      <c r="AC77" s="4"/>
    </row>
    <row r="78" spans="2:29" s="9" customFormat="1" ht="20.100000000000001" customHeight="1" x14ac:dyDescent="0.25">
      <c r="B78" s="3"/>
      <c r="C78" s="11"/>
      <c r="D78" s="13"/>
      <c r="E78" s="3"/>
      <c r="F78" s="3"/>
      <c r="S78" s="3"/>
      <c r="T78" s="3"/>
      <c r="U78" s="3"/>
      <c r="V78" s="3"/>
      <c r="W78" s="3"/>
      <c r="X78" s="3"/>
      <c r="Y78" s="4"/>
      <c r="Z78" s="4"/>
      <c r="AA78" s="4"/>
      <c r="AB78" s="4"/>
      <c r="AC78" s="4"/>
    </row>
    <row r="79" spans="2:29" s="9" customFormat="1" ht="20.100000000000001" customHeight="1" x14ac:dyDescent="0.25">
      <c r="B79" s="3" t="s">
        <v>63</v>
      </c>
      <c r="C79" s="11"/>
      <c r="D79" s="13"/>
      <c r="E79" s="3"/>
      <c r="F79" s="3"/>
      <c r="S79" s="3"/>
      <c r="T79" s="3"/>
      <c r="U79" s="3"/>
      <c r="V79" s="3"/>
      <c r="W79" s="3"/>
      <c r="X79" s="3"/>
      <c r="Y79" s="4"/>
      <c r="Z79" s="4"/>
      <c r="AA79" s="4"/>
      <c r="AB79" s="4"/>
      <c r="AC79" s="4"/>
    </row>
    <row r="80" spans="2:29" s="9" customFormat="1" ht="20.100000000000001" customHeight="1" x14ac:dyDescent="0.25">
      <c r="B80" s="3"/>
      <c r="C80" s="11"/>
      <c r="D80" s="13"/>
      <c r="E80" s="3"/>
      <c r="F80" s="3"/>
      <c r="S80" s="3"/>
      <c r="T80" s="3"/>
      <c r="U80" s="3"/>
      <c r="V80" s="3"/>
      <c r="W80" s="3"/>
      <c r="X80" s="3"/>
      <c r="Y80" s="4"/>
      <c r="Z80" s="4"/>
      <c r="AA80" s="4"/>
      <c r="AB80" s="4"/>
      <c r="AC80" s="4"/>
    </row>
    <row r="81" spans="2:29" s="9" customFormat="1" ht="20.100000000000001" customHeight="1" x14ac:dyDescent="0.25">
      <c r="B81" s="2" t="s">
        <v>64</v>
      </c>
      <c r="C81" s="11"/>
      <c r="D81" s="13"/>
      <c r="E81" s="3"/>
      <c r="F81" s="3"/>
      <c r="S81" s="3"/>
      <c r="T81" s="3"/>
      <c r="U81" s="3"/>
      <c r="V81" s="3"/>
      <c r="W81" s="3"/>
      <c r="X81" s="3"/>
      <c r="Y81" s="4"/>
      <c r="Z81" s="4"/>
      <c r="AA81" s="4"/>
      <c r="AB81" s="4"/>
      <c r="AC81" s="4"/>
    </row>
    <row r="82" spans="2:29" s="9" customFormat="1" ht="20.100000000000001" customHeight="1" x14ac:dyDescent="0.25">
      <c r="B82" s="3"/>
      <c r="C82" s="11"/>
      <c r="D82" s="13"/>
      <c r="E82" s="3"/>
      <c r="F82" s="3"/>
      <c r="S82" s="3"/>
      <c r="T82" s="3"/>
      <c r="U82" s="3"/>
      <c r="V82" s="3"/>
      <c r="W82" s="3"/>
      <c r="X82" s="3"/>
      <c r="Y82" s="4"/>
      <c r="Z82" s="4"/>
      <c r="AA82" s="4"/>
      <c r="AB82" s="4"/>
      <c r="AC82" s="4"/>
    </row>
    <row r="83" spans="2:29" s="9" customFormat="1" ht="20.100000000000001" customHeight="1" x14ac:dyDescent="0.25">
      <c r="B83" s="71">
        <v>0.43</v>
      </c>
      <c r="C83" s="11">
        <v>3.94</v>
      </c>
      <c r="D83" s="3">
        <f>C83/101.97</f>
        <v>3.8638815337844461E-2</v>
      </c>
      <c r="E83" s="3"/>
      <c r="F83" s="3"/>
      <c r="S83" s="3"/>
      <c r="T83" s="3"/>
      <c r="U83" s="3"/>
      <c r="V83" s="3"/>
      <c r="W83" s="3"/>
      <c r="X83" s="3"/>
      <c r="Y83" s="4"/>
      <c r="Z83" s="4"/>
      <c r="AA83" s="4"/>
      <c r="AB83" s="4"/>
      <c r="AC83" s="4"/>
    </row>
    <row r="84" spans="2:29" s="9" customFormat="1" ht="20.100000000000001" customHeight="1" x14ac:dyDescent="0.25">
      <c r="B84" s="71">
        <v>0.5</v>
      </c>
      <c r="C84" s="11">
        <v>4.59</v>
      </c>
      <c r="D84" s="3">
        <f t="shared" ref="D84:D85" si="0">C84/101.97</f>
        <v>4.5013239187996469E-2</v>
      </c>
      <c r="E84" s="3"/>
      <c r="F84" s="3"/>
      <c r="S84" s="3"/>
      <c r="T84" s="3"/>
      <c r="U84" s="3"/>
      <c r="V84" s="3"/>
      <c r="W84" s="3"/>
      <c r="X84" s="3"/>
      <c r="Y84" s="4"/>
      <c r="Z84" s="4"/>
      <c r="AA84" s="4"/>
      <c r="AB84" s="4"/>
      <c r="AC84" s="4"/>
    </row>
    <row r="85" spans="2:29" s="9" customFormat="1" ht="20.100000000000001" customHeight="1" x14ac:dyDescent="0.25">
      <c r="B85" s="71">
        <v>0.6</v>
      </c>
      <c r="C85" s="11">
        <v>5.96</v>
      </c>
      <c r="D85" s="3">
        <f t="shared" si="0"/>
        <v>5.8448563302932237E-2</v>
      </c>
      <c r="E85" s="3"/>
      <c r="F85" s="3"/>
      <c r="S85" s="3"/>
      <c r="T85" s="3"/>
      <c r="U85" s="3"/>
      <c r="V85" s="3"/>
      <c r="W85" s="3"/>
      <c r="X85" s="3"/>
      <c r="Y85" s="4"/>
      <c r="Z85" s="4"/>
      <c r="AA85" s="4"/>
      <c r="AB85" s="4"/>
      <c r="AC85" s="4"/>
    </row>
  </sheetData>
  <mergeCells count="14">
    <mergeCell ref="J68:K70"/>
    <mergeCell ref="M68:N70"/>
    <mergeCell ref="I71:K74"/>
    <mergeCell ref="L71:N74"/>
    <mergeCell ref="B1:S1"/>
    <mergeCell ref="I62:I63"/>
    <mergeCell ref="L62:L63"/>
    <mergeCell ref="H64:H70"/>
    <mergeCell ref="I64:K64"/>
    <mergeCell ref="L64:L70"/>
    <mergeCell ref="M64:N67"/>
    <mergeCell ref="I65:I67"/>
    <mergeCell ref="J65:K67"/>
    <mergeCell ref="I68:I70"/>
  </mergeCell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DIMENSONAMENTO TELHAS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Leônidas Müller de Oliveira</dc:creator>
  <cp:lastModifiedBy>Leônidas Müller de Oliveira</cp:lastModifiedBy>
  <dcterms:created xsi:type="dcterms:W3CDTF">2024-12-18T21:45:53Z</dcterms:created>
  <dcterms:modified xsi:type="dcterms:W3CDTF">2024-12-18T22:20:55Z</dcterms:modified>
</cp:coreProperties>
</file>