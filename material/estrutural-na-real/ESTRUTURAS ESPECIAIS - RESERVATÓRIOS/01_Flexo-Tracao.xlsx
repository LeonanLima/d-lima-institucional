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22c8cd3f25119c/Waltner/Reservatórios Piscinas Muros/Planilhas/Bloqueadas/"/>
    </mc:Choice>
  </mc:AlternateContent>
  <xr:revisionPtr revIDLastSave="1" documentId="8_{C241E296-7490-4EE1-B59C-5CABE68FFB79}" xr6:coauthVersionLast="47" xr6:coauthVersionMax="47" xr10:uidLastSave="{09F8C4AC-524E-4FE7-82BB-0BF8EE9D1627}"/>
  <bookViews>
    <workbookView xWindow="-120" yWindow="-120" windowWidth="38640" windowHeight="15720" xr2:uid="{BD095C9E-7F6F-436A-9A47-E96EB1DF29B8}"/>
  </bookViews>
  <sheets>
    <sheet name="Lajes" sheetId="1" r:id="rId1"/>
  </sheets>
  <definedNames>
    <definedName name="Armação">Lajes!#REF!</definedName>
    <definedName name="Duas">Lajes!#REF!</definedName>
    <definedName name="Uma">Lajes!#REF!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J4" i="1"/>
  <c r="J5" i="1"/>
  <c r="P5" i="1" l="1"/>
  <c r="Q5" i="1"/>
  <c r="R5" i="1"/>
  <c r="S5" i="1"/>
  <c r="T5" i="1"/>
  <c r="U5" i="1"/>
  <c r="V5" i="1"/>
  <c r="W5" i="1"/>
  <c r="X5" i="1"/>
  <c r="Y5" i="1"/>
  <c r="Z5" i="1"/>
  <c r="U19" i="1"/>
  <c r="O19" i="1"/>
  <c r="Z17" i="1"/>
  <c r="Y17" i="1"/>
  <c r="X17" i="1"/>
  <c r="W17" i="1"/>
  <c r="V17" i="1"/>
  <c r="U17" i="1"/>
  <c r="T17" i="1"/>
  <c r="S17" i="1"/>
  <c r="R17" i="1"/>
  <c r="Q17" i="1"/>
  <c r="P17" i="1"/>
  <c r="Z16" i="1"/>
  <c r="Y16" i="1"/>
  <c r="X16" i="1"/>
  <c r="W16" i="1"/>
  <c r="V16" i="1"/>
  <c r="U16" i="1"/>
  <c r="T16" i="1"/>
  <c r="S16" i="1"/>
  <c r="R16" i="1"/>
  <c r="Q16" i="1"/>
  <c r="P16" i="1"/>
  <c r="Z15" i="1"/>
  <c r="Y15" i="1"/>
  <c r="X15" i="1"/>
  <c r="W15" i="1"/>
  <c r="V15" i="1"/>
  <c r="U15" i="1"/>
  <c r="T15" i="1"/>
  <c r="S15" i="1"/>
  <c r="R15" i="1"/>
  <c r="Q15" i="1"/>
  <c r="P15" i="1"/>
  <c r="Z14" i="1"/>
  <c r="Y14" i="1"/>
  <c r="X14" i="1"/>
  <c r="W14" i="1"/>
  <c r="V14" i="1"/>
  <c r="U14" i="1"/>
  <c r="T14" i="1"/>
  <c r="S14" i="1"/>
  <c r="R14" i="1"/>
  <c r="Q14" i="1"/>
  <c r="P14" i="1"/>
  <c r="Z13" i="1"/>
  <c r="Y13" i="1"/>
  <c r="X13" i="1"/>
  <c r="W13" i="1"/>
  <c r="V13" i="1"/>
  <c r="U13" i="1"/>
  <c r="T13" i="1"/>
  <c r="S13" i="1"/>
  <c r="R13" i="1"/>
  <c r="Q13" i="1"/>
  <c r="P13" i="1"/>
  <c r="Q6" i="1"/>
  <c r="R6" i="1"/>
  <c r="S6" i="1"/>
  <c r="T6" i="1"/>
  <c r="U6" i="1"/>
  <c r="V6" i="1"/>
  <c r="W6" i="1"/>
  <c r="X6" i="1"/>
  <c r="Y6" i="1"/>
  <c r="Z6" i="1"/>
  <c r="Q7" i="1"/>
  <c r="R7" i="1"/>
  <c r="S7" i="1"/>
  <c r="T7" i="1"/>
  <c r="U7" i="1"/>
  <c r="V7" i="1"/>
  <c r="W7" i="1"/>
  <c r="X7" i="1"/>
  <c r="Y7" i="1"/>
  <c r="Z7" i="1"/>
  <c r="Q8" i="1"/>
  <c r="R8" i="1"/>
  <c r="S8" i="1"/>
  <c r="T8" i="1"/>
  <c r="U8" i="1"/>
  <c r="V8" i="1"/>
  <c r="W8" i="1"/>
  <c r="X8" i="1"/>
  <c r="Y8" i="1"/>
  <c r="Z8" i="1"/>
  <c r="Q9" i="1"/>
  <c r="R9" i="1"/>
  <c r="S9" i="1"/>
  <c r="T9" i="1"/>
  <c r="U9" i="1"/>
  <c r="V9" i="1"/>
  <c r="W9" i="1"/>
  <c r="X9" i="1"/>
  <c r="Y9" i="1"/>
  <c r="Z9" i="1"/>
  <c r="P6" i="1"/>
  <c r="P7" i="1"/>
  <c r="P8" i="1"/>
  <c r="P9" i="1"/>
  <c r="M9" i="1" l="1"/>
  <c r="J18" i="1" s="1"/>
  <c r="J12" i="1" l="1"/>
  <c r="I20" i="1" s="1"/>
  <c r="J13" i="1" l="1"/>
  <c r="M10" i="1" s="1"/>
  <c r="J14" i="1"/>
  <c r="J17" i="1" l="1"/>
  <c r="J9" i="1" l="1"/>
  <c r="J8" i="1"/>
  <c r="J3" i="1"/>
  <c r="I21" i="1" l="1"/>
  <c r="M18" i="1" s="1"/>
  <c r="L11" i="1" l="1"/>
  <c r="M4" i="1" l="1"/>
  <c r="M6" i="1" s="1"/>
  <c r="M5" i="1" s="1"/>
  <c r="M14" i="1" s="1"/>
  <c r="M17" i="1" s="1"/>
</calcChain>
</file>

<file path=xl/sharedStrings.xml><?xml version="1.0" encoding="utf-8"?>
<sst xmlns="http://schemas.openxmlformats.org/spreadsheetml/2006/main" count="44" uniqueCount="42">
  <si>
    <t>Geometria</t>
  </si>
  <si>
    <t>b</t>
  </si>
  <si>
    <t>h</t>
  </si>
  <si>
    <t>d</t>
  </si>
  <si>
    <t>Md</t>
  </si>
  <si>
    <t>fck</t>
  </si>
  <si>
    <t>Parâmetros</t>
  </si>
  <si>
    <t>λ</t>
  </si>
  <si>
    <t>Materiais</t>
  </si>
  <si>
    <t>fyk</t>
  </si>
  <si>
    <t>Resist. de Projeto</t>
  </si>
  <si>
    <t>fcd</t>
  </si>
  <si>
    <t>fyd</t>
  </si>
  <si>
    <t>Linha Neutra</t>
  </si>
  <si>
    <t>x</t>
  </si>
  <si>
    <t>Dados</t>
  </si>
  <si>
    <t>Solicitação</t>
  </si>
  <si>
    <t>d'</t>
  </si>
  <si>
    <t>xduc</t>
  </si>
  <si>
    <t>Momentos Fletores</t>
  </si>
  <si>
    <t>Md,min</t>
  </si>
  <si>
    <t>Md,duc</t>
  </si>
  <si>
    <t>Armaduras</t>
  </si>
  <si>
    <t>As1</t>
  </si>
  <si>
    <t>As2</t>
  </si>
  <si>
    <t>Deformações</t>
  </si>
  <si>
    <t>ε1</t>
  </si>
  <si>
    <t>ε2</t>
  </si>
  <si>
    <t>εc</t>
  </si>
  <si>
    <t>Tensões</t>
  </si>
  <si>
    <t>σ2</t>
  </si>
  <si>
    <t>Nd</t>
  </si>
  <si>
    <t>Excentricidades</t>
  </si>
  <si>
    <t>e0</t>
  </si>
  <si>
    <t>e1</t>
  </si>
  <si>
    <t>e2</t>
  </si>
  <si>
    <t>s</t>
  </si>
  <si>
    <t>As1 (cm²/m)</t>
  </si>
  <si>
    <t>As2 (cm²/m)</t>
  </si>
  <si>
    <t>c/</t>
  </si>
  <si>
    <r>
      <rPr>
        <sz val="11"/>
        <color theme="1"/>
        <rFont val="Calibri"/>
        <family val="2"/>
        <scheme val="minor"/>
      </rPr>
      <t>αc</t>
    </r>
  </si>
  <si>
    <r>
      <rPr>
        <sz val="11"/>
        <color theme="1"/>
        <rFont val="Calibri"/>
        <family val="2"/>
      </rPr>
      <t>ƞ</t>
    </r>
    <r>
      <rPr>
        <sz val="11"/>
        <color theme="1"/>
        <rFont val="Calibri"/>
        <family val="2"/>
        <scheme val="minor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</si>
</sst>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R$&quot;\ * #,##0.00_-;\-&quot;R$&quot;\ * #,##0.00_-;_-&quot;R$&quot;\ * &quot;-&quot;??_-;_-@_-"/>
    <numFmt numFmtId="164" formatCode="0.0&quot; cm&quot;"/>
    <numFmt numFmtId="165" formatCode="0&quot; kNcm/m&quot;"/>
    <numFmt numFmtId="166" formatCode="0.0&quot; kN/cm²&quot;"/>
    <numFmt numFmtId="167" formatCode="0.00&quot; kN/cm²&quot;"/>
    <numFmt numFmtId="168" formatCode="0.00&quot; cm&quot;"/>
    <numFmt numFmtId="169" formatCode="0.00&quot; cm²/m&quot;"/>
    <numFmt numFmtId="170" formatCode="0.000%"/>
    <numFmt numFmtId="171" formatCode="0.0"/>
    <numFmt numFmtId="172" formatCode="\Ø0.0"/>
    <numFmt numFmtId="173" formatCode="0&quot; cm&quot;"/>
    <numFmt numFmtId="174" formatCode="0.0&quot; cm³&quot;"/>
    <numFmt numFmtId="175" formatCode="0&quot; kNcm&quot;"/>
    <numFmt numFmtId="176" formatCode="0.00&quot; ‰&quot;"/>
    <numFmt numFmtId="177" formatCode="&quot;+ &quot;0"/>
    <numFmt numFmtId="178" formatCode="0.0&quot; kN/m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4" borderId="0" applyNumberFormat="0" applyBorder="0" applyAlignment="0" applyProtection="0"/>
  </cellStyleXfs>
  <cellXfs count="93">
    <xf numFmtId="0" fontId="0" fillId="0" borderId="0" xfId="0"/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4" fillId="3" borderId="8" xfId="0" applyFont="1" applyFill="1" applyBorder="1" applyAlignment="1" applyProtection="1">
      <alignment horizontal="center" vertical="center"/>
      <protection locked="0"/>
    </xf>
    <xf numFmtId="0" fontId="4" fillId="3" borderId="9" xfId="0" applyFont="1" applyFill="1" applyBorder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164" fontId="4" fillId="2" borderId="15" xfId="0" applyNumberFormat="1" applyFont="1" applyFill="1" applyBorder="1" applyAlignment="1" applyProtection="1">
      <alignment horizontal="right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164" fontId="4" fillId="2" borderId="14" xfId="0" applyNumberFormat="1" applyFont="1" applyFill="1" applyBorder="1" applyAlignment="1" applyProtection="1">
      <alignment horizontal="right" vertical="center"/>
      <protection locked="0"/>
    </xf>
    <xf numFmtId="166" fontId="4" fillId="2" borderId="15" xfId="0" applyNumberFormat="1" applyFont="1" applyFill="1" applyBorder="1" applyAlignment="1" applyProtection="1">
      <alignment horizontal="right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4" fillId="3" borderId="7" xfId="0" applyFont="1" applyFill="1" applyBorder="1" applyAlignment="1" applyProtection="1">
      <alignment horizontal="center" vertical="center"/>
      <protection locked="0"/>
    </xf>
    <xf numFmtId="169" fontId="1" fillId="2" borderId="1" xfId="0" applyNumberFormat="1" applyFont="1" applyFill="1" applyBorder="1" applyAlignment="1" applyProtection="1">
      <alignment vertical="center"/>
      <protection locked="0"/>
    </xf>
    <xf numFmtId="172" fontId="1" fillId="2" borderId="18" xfId="0" applyNumberFormat="1" applyFont="1" applyFill="1" applyBorder="1" applyAlignment="1" applyProtection="1">
      <alignment horizontal="right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173" fontId="1" fillId="2" borderId="18" xfId="0" applyNumberFormat="1" applyFont="1" applyFill="1" applyBorder="1" applyAlignment="1" applyProtection="1">
      <alignment horizontal="left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178" fontId="4" fillId="2" borderId="15" xfId="0" applyNumberFormat="1" applyFont="1" applyFill="1" applyBorder="1" applyAlignment="1" applyProtection="1">
      <alignment horizontal="right" vertical="center"/>
      <protection locked="0"/>
    </xf>
    <xf numFmtId="165" fontId="4" fillId="2" borderId="15" xfId="0" applyNumberFormat="1" applyFont="1" applyFill="1" applyBorder="1" applyAlignment="1" applyProtection="1">
      <alignment horizontal="right" vertical="center"/>
      <protection locked="0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2" fontId="4" fillId="2" borderId="1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76" fontId="0" fillId="2" borderId="15" xfId="0" applyNumberFormat="1" applyFill="1" applyBorder="1" applyAlignment="1">
      <alignment horizontal="right" vertical="center"/>
    </xf>
    <xf numFmtId="173" fontId="6" fillId="2" borderId="0" xfId="0" applyNumberFormat="1" applyFont="1" applyFill="1" applyAlignment="1">
      <alignment horizontal="center" vertical="center"/>
    </xf>
    <xf numFmtId="173" fontId="2" fillId="2" borderId="0" xfId="0" applyNumberFormat="1" applyFont="1" applyFill="1" applyAlignment="1">
      <alignment horizontal="center" vertical="center"/>
    </xf>
    <xf numFmtId="173" fontId="6" fillId="2" borderId="0" xfId="0" applyNumberFormat="1" applyFont="1" applyFill="1" applyAlignment="1">
      <alignment vertical="center"/>
    </xf>
    <xf numFmtId="173" fontId="6" fillId="2" borderId="0" xfId="0" applyNumberFormat="1" applyFont="1" applyFill="1" applyAlignment="1">
      <alignment vertical="center" wrapText="1"/>
    </xf>
    <xf numFmtId="2" fontId="4" fillId="2" borderId="15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176" fontId="0" fillId="2" borderId="16" xfId="0" applyNumberFormat="1" applyFill="1" applyBorder="1" applyAlignment="1">
      <alignment horizontal="right" vertical="center"/>
    </xf>
    <xf numFmtId="2" fontId="4" fillId="2" borderId="0" xfId="0" applyNumberFormat="1" applyFont="1" applyFill="1" applyAlignment="1">
      <alignment horizontal="center" vertical="center"/>
    </xf>
    <xf numFmtId="172" fontId="2" fillId="2" borderId="10" xfId="0" applyNumberFormat="1" applyFont="1" applyFill="1" applyBorder="1" applyAlignment="1">
      <alignment horizontal="center" vertical="center"/>
    </xf>
    <xf numFmtId="2" fontId="1" fillId="2" borderId="10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72" fontId="2" fillId="2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7" fontId="4" fillId="2" borderId="15" xfId="0" applyNumberFormat="1" applyFont="1" applyFill="1" applyBorder="1" applyAlignment="1">
      <alignment horizontal="right" vertical="center"/>
    </xf>
    <xf numFmtId="168" fontId="4" fillId="2" borderId="15" xfId="0" applyNumberFormat="1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center" vertical="center"/>
    </xf>
    <xf numFmtId="168" fontId="4" fillId="2" borderId="12" xfId="0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164" fontId="4" fillId="2" borderId="15" xfId="0" applyNumberFormat="1" applyFont="1" applyFill="1" applyBorder="1" applyAlignment="1">
      <alignment horizontal="center" vertical="center"/>
    </xf>
    <xf numFmtId="167" fontId="4" fillId="2" borderId="0" xfId="0" applyNumberFormat="1" applyFont="1" applyFill="1" applyAlignment="1">
      <alignment vertical="center"/>
    </xf>
    <xf numFmtId="165" fontId="4" fillId="2" borderId="15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174" fontId="4" fillId="2" borderId="0" xfId="0" applyNumberFormat="1" applyFont="1" applyFill="1" applyAlignment="1">
      <alignment vertical="center"/>
    </xf>
    <xf numFmtId="165" fontId="4" fillId="2" borderId="0" xfId="0" applyNumberFormat="1" applyFont="1" applyFill="1" applyAlignment="1">
      <alignment vertical="center"/>
    </xf>
    <xf numFmtId="168" fontId="4" fillId="2" borderId="0" xfId="0" applyNumberFormat="1" applyFont="1" applyFill="1" applyAlignment="1">
      <alignment vertical="center"/>
    </xf>
    <xf numFmtId="1" fontId="0" fillId="2" borderId="0" xfId="0" applyNumberFormat="1" applyFill="1" applyAlignment="1">
      <alignment horizontal="right" vertical="center"/>
    </xf>
    <xf numFmtId="172" fontId="0" fillId="2" borderId="0" xfId="0" applyNumberForma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172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9" fontId="4" fillId="2" borderId="15" xfId="0" applyNumberFormat="1" applyFont="1" applyFill="1" applyBorder="1" applyAlignment="1">
      <alignment horizontal="right" vertical="center"/>
    </xf>
    <xf numFmtId="169" fontId="4" fillId="2" borderId="0" xfId="0" applyNumberFormat="1" applyFont="1" applyFill="1" applyAlignment="1">
      <alignment vertical="center"/>
    </xf>
    <xf numFmtId="171" fontId="4" fillId="2" borderId="0" xfId="0" applyNumberFormat="1" applyFont="1" applyFill="1" applyAlignment="1">
      <alignment horizontal="center" vertical="center"/>
    </xf>
    <xf numFmtId="170" fontId="4" fillId="2" borderId="0" xfId="1" applyNumberFormat="1" applyFont="1" applyFill="1" applyBorder="1" applyAlignment="1" applyProtection="1">
      <alignment horizontal="center" vertical="center"/>
    </xf>
    <xf numFmtId="0" fontId="4" fillId="2" borderId="0" xfId="0" applyFont="1" applyFill="1"/>
    <xf numFmtId="172" fontId="0" fillId="2" borderId="1" xfId="0" applyNumberFormat="1" applyFill="1" applyBorder="1" applyAlignment="1">
      <alignment horizontal="center" vertical="center"/>
    </xf>
    <xf numFmtId="0" fontId="2" fillId="2" borderId="17" xfId="0" applyFont="1" applyFill="1" applyBorder="1" applyAlignment="1">
      <alignment vertical="center"/>
    </xf>
    <xf numFmtId="0" fontId="8" fillId="2" borderId="0" xfId="3" applyFill="1" applyAlignment="1" applyProtection="1">
      <alignment vertical="center"/>
    </xf>
    <xf numFmtId="175" fontId="4" fillId="2" borderId="0" xfId="0" applyNumberFormat="1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73" fontId="2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2" fontId="1" fillId="2" borderId="1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4" fontId="2" fillId="2" borderId="11" xfId="2" applyFont="1" applyFill="1" applyBorder="1" applyAlignment="1" applyProtection="1">
      <alignment horizontal="center" vertical="center"/>
    </xf>
    <xf numFmtId="44" fontId="2" fillId="2" borderId="12" xfId="2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center" vertical="center"/>
      <protection locked="0"/>
    </xf>
  </cellXfs>
  <cellStyles count="4">
    <cellStyle name="Moeda" xfId="2" builtinId="4"/>
    <cellStyle name="Normal" xfId="0" builtinId="0"/>
    <cellStyle name="Porcentagem" xfId="1" builtinId="5"/>
    <cellStyle name="Ruim" xfId="3" builtinId="27"/>
  </cellStyles>
  <dxfs count="10">
    <dxf>
      <font>
        <color rgb="FF9C0006"/>
      </font>
      <fill>
        <patternFill>
          <fgColor rgb="FFFFC7CE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  <border>
        <vertical/>
        <horizontal/>
      </border>
    </dxf>
    <dxf>
      <font>
        <color rgb="FF9C0006"/>
      </font>
      <fill>
        <patternFill>
          <fgColor rgb="FFFFC7CE"/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7CE"/>
      <color rgb="FF9C0006"/>
      <color rgb="FFC6EFCE"/>
      <color rgb="FF006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https://www.instagram.com/professordeestruturas/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professordeestruturas.com.br/" TargetMode="External"/><Relationship Id="rId5" Type="http://schemas.openxmlformats.org/officeDocument/2006/relationships/image" Target="../media/image3.png"/><Relationship Id="rId4" Type="http://schemas.openxmlformats.org/officeDocument/2006/relationships/hyperlink" Target="mailto:matheuscarini@gmail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259773</xdr:colOff>
      <xdr:row>21</xdr:row>
      <xdr:rowOff>173183</xdr:rowOff>
    </xdr:from>
    <xdr:to>
      <xdr:col>22</xdr:col>
      <xdr:colOff>224604</xdr:colOff>
      <xdr:row>23</xdr:row>
      <xdr:rowOff>119329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4C0C561A-0BAB-4E9F-94D3-992F73F51333}"/>
            </a:ext>
          </a:extLst>
        </xdr:cNvPr>
        <xdr:cNvGrpSpPr/>
      </xdr:nvGrpSpPr>
      <xdr:grpSpPr>
        <a:xfrm>
          <a:off x="259773" y="4208319"/>
          <a:ext cx="10286467" cy="327146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3707DA72-B2F8-B8F2-50C6-26B2E4B1DF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183F2119-E0BE-3C6A-AEE2-AA2685CF60A1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11" name="Imagem 10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DDA44B41-6DD3-1CD0-657C-4F9D87725E9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3" name="Imagem 12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E0F725A3-914C-B3E3-C238-1A04137C83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4" name="Imagem 13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72388B3D-E8D1-AC04-EAA9-6EDA9F5F98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0C684981-CE66-7398-DC1D-F40D24F60D51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20231012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966F-8D75-4532-8108-4BDF306B0105}">
  <dimension ref="B1:AO24"/>
  <sheetViews>
    <sheetView tabSelected="1" zoomScale="110" zoomScaleNormal="110" workbookViewId="0">
      <selection activeCell="R20" sqref="R20"/>
    </sheetView>
  </sheetViews>
  <sheetFormatPr defaultColWidth="9.140625" defaultRowHeight="15" x14ac:dyDescent="0.25"/>
  <cols>
    <col min="1" max="2" width="4.5703125" style="24" customWidth="1"/>
    <col min="3" max="3" width="9.140625" style="24"/>
    <col min="4" max="4" width="4.5703125" style="24" customWidth="1"/>
    <col min="5" max="5" width="13.7109375" style="24" customWidth="1"/>
    <col min="6" max="6" width="9.140625" style="24"/>
    <col min="7" max="8" width="4.5703125" style="24" customWidth="1"/>
    <col min="9" max="9" width="7.140625" style="61" bestFit="1" customWidth="1"/>
    <col min="10" max="10" width="13.5703125" style="24" customWidth="1"/>
    <col min="11" max="11" width="5.7109375" style="24" customWidth="1"/>
    <col min="12" max="12" width="6.28515625" style="24" customWidth="1"/>
    <col min="13" max="13" width="12.42578125" style="24" customWidth="1"/>
    <col min="14" max="14" width="5.7109375" style="24" customWidth="1"/>
    <col min="15" max="15" width="7.28515625" style="24" customWidth="1"/>
    <col min="16" max="20" width="6" style="24" bestFit="1" customWidth="1"/>
    <col min="21" max="21" width="6.140625" style="24" bestFit="1" customWidth="1"/>
    <col min="22" max="28" width="6" style="24" bestFit="1" customWidth="1"/>
    <col min="29" max="32" width="9.140625" style="24"/>
    <col min="33" max="34" width="18" style="24" bestFit="1" customWidth="1"/>
    <col min="35" max="16384" width="9.140625" style="24"/>
  </cols>
  <sheetData>
    <row r="1" spans="2:41" ht="15.75" thickBot="1" x14ac:dyDescent="0.3"/>
    <row r="2" spans="2:41" ht="15.75" thickBot="1" x14ac:dyDescent="0.3">
      <c r="B2" s="1"/>
      <c r="C2" s="2"/>
      <c r="D2" s="2"/>
      <c r="E2" s="2"/>
      <c r="F2" s="2"/>
      <c r="G2" s="3"/>
      <c r="I2" s="80" t="s">
        <v>6</v>
      </c>
      <c r="J2" s="81"/>
      <c r="AG2" s="25"/>
      <c r="AH2" s="25"/>
    </row>
    <row r="3" spans="2:41" x14ac:dyDescent="0.25">
      <c r="B3" s="4"/>
      <c r="C3" s="83" t="s">
        <v>15</v>
      </c>
      <c r="D3" s="84"/>
      <c r="E3" s="84"/>
      <c r="F3" s="85"/>
      <c r="G3" s="5"/>
      <c r="I3" s="73" t="s">
        <v>7</v>
      </c>
      <c r="J3" s="28">
        <f>IF(E17&lt;=5,0.8,0.8-(E17*10-50)/400)</f>
        <v>0.8</v>
      </c>
      <c r="L3" s="78" t="s">
        <v>25</v>
      </c>
      <c r="M3" s="79"/>
      <c r="N3" s="26"/>
      <c r="O3" s="75" t="s">
        <v>37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76"/>
      <c r="AA3" s="27"/>
      <c r="AB3" s="27"/>
      <c r="AC3" s="27"/>
      <c r="AD3" s="27"/>
      <c r="AE3" s="27"/>
      <c r="AF3" s="26"/>
      <c r="AG3" s="26"/>
      <c r="AH3" s="26"/>
      <c r="AI3" s="26"/>
      <c r="AJ3" s="27"/>
      <c r="AK3" s="26"/>
      <c r="AL3" s="26"/>
      <c r="AM3" s="26"/>
      <c r="AN3" s="26"/>
      <c r="AO3" s="26"/>
    </row>
    <row r="4" spans="2:41" ht="15.75" thickBot="1" x14ac:dyDescent="0.3">
      <c r="B4" s="4"/>
      <c r="C4" s="86"/>
      <c r="D4" s="87"/>
      <c r="E4" s="87"/>
      <c r="F4" s="88"/>
      <c r="G4" s="5"/>
      <c r="I4" s="49" t="s">
        <v>40</v>
      </c>
      <c r="J4" s="35">
        <f>IF(E17&lt;=5,0.85,0.85*(1-(E17*10-50)/200))</f>
        <v>0.85</v>
      </c>
      <c r="L4" s="29" t="s">
        <v>26</v>
      </c>
      <c r="M4" s="30">
        <f>IF(L11="Domínio 2",1/100*1000,M6/M10*(E9-M10))</f>
        <v>10</v>
      </c>
      <c r="N4" s="31"/>
      <c r="O4" s="71" t="s">
        <v>36</v>
      </c>
      <c r="P4" s="72">
        <v>5</v>
      </c>
      <c r="Q4" s="72">
        <v>6</v>
      </c>
      <c r="R4" s="72">
        <v>7</v>
      </c>
      <c r="S4" s="72">
        <v>8</v>
      </c>
      <c r="T4" s="72">
        <v>9</v>
      </c>
      <c r="U4" s="72">
        <v>10</v>
      </c>
      <c r="V4" s="72">
        <v>11</v>
      </c>
      <c r="W4" s="72">
        <v>12</v>
      </c>
      <c r="X4" s="72">
        <v>13</v>
      </c>
      <c r="Y4" s="72">
        <v>14</v>
      </c>
      <c r="Z4" s="72">
        <v>15</v>
      </c>
      <c r="AA4" s="32"/>
      <c r="AB4" s="32"/>
      <c r="AC4" s="32"/>
      <c r="AD4" s="32"/>
      <c r="AE4" s="32"/>
      <c r="AF4" s="33"/>
      <c r="AG4" s="33"/>
      <c r="AH4" s="33"/>
      <c r="AI4" s="31"/>
      <c r="AJ4" s="34"/>
      <c r="AK4" s="33"/>
      <c r="AL4" s="33"/>
      <c r="AM4" s="33"/>
      <c r="AN4" s="33"/>
      <c r="AO4" s="33"/>
    </row>
    <row r="5" spans="2:41" x14ac:dyDescent="0.25">
      <c r="B5" s="4"/>
      <c r="C5" s="6"/>
      <c r="D5" s="6"/>
      <c r="E5" s="6"/>
      <c r="F5" s="6"/>
      <c r="G5" s="5"/>
      <c r="I5" s="49" t="s">
        <v>41</v>
      </c>
      <c r="J5" s="74">
        <f>IF(E17&lt;=4,1,(4/E17)^(1/3))</f>
        <v>1</v>
      </c>
      <c r="L5" s="36" t="s">
        <v>27</v>
      </c>
      <c r="M5" s="37">
        <f>IF(I21="Armadura Dupla",M6/M10*(M10-E10),0)</f>
        <v>0</v>
      </c>
      <c r="N5" s="38"/>
      <c r="O5" s="39">
        <v>4.2</v>
      </c>
      <c r="P5" s="40">
        <f>100/P$4*PI()*($O5/20)^2</f>
        <v>2.7708847204661979</v>
      </c>
      <c r="Q5" s="40">
        <f t="shared" ref="Q5:Z5" si="0">100/Q$4*PI()*($O5/20)^2</f>
        <v>2.3090706003884987</v>
      </c>
      <c r="R5" s="40">
        <f t="shared" si="0"/>
        <v>1.97920337176157</v>
      </c>
      <c r="S5" s="40">
        <f t="shared" si="0"/>
        <v>1.7318029502913739</v>
      </c>
      <c r="T5" s="40">
        <f t="shared" si="0"/>
        <v>1.5393804002589988</v>
      </c>
      <c r="U5" s="40">
        <f t="shared" si="0"/>
        <v>1.385442360233099</v>
      </c>
      <c r="V5" s="40">
        <f t="shared" si="0"/>
        <v>1.2594930547573628</v>
      </c>
      <c r="W5" s="40">
        <f t="shared" si="0"/>
        <v>1.1545353001942493</v>
      </c>
      <c r="X5" s="40">
        <f t="shared" si="0"/>
        <v>1.0657248924869993</v>
      </c>
      <c r="Y5" s="40">
        <f t="shared" si="0"/>
        <v>0.98960168588078501</v>
      </c>
      <c r="Z5" s="40">
        <f t="shared" si="0"/>
        <v>0.92362824015539935</v>
      </c>
      <c r="AA5" s="41"/>
      <c r="AB5" s="41"/>
      <c r="AC5" s="41"/>
      <c r="AD5" s="41"/>
      <c r="AE5" s="41"/>
      <c r="AF5" s="42"/>
      <c r="AG5" s="42"/>
      <c r="AH5" s="42"/>
      <c r="AI5" s="38"/>
      <c r="AJ5" s="34"/>
      <c r="AK5" s="42"/>
      <c r="AL5" s="42"/>
      <c r="AM5" s="42"/>
      <c r="AN5" s="42"/>
      <c r="AO5" s="42"/>
    </row>
    <row r="6" spans="2:41" x14ac:dyDescent="0.25">
      <c r="B6" s="4"/>
      <c r="C6" s="6"/>
      <c r="D6" s="89" t="s">
        <v>0</v>
      </c>
      <c r="E6" s="90"/>
      <c r="F6" s="6"/>
      <c r="G6" s="5"/>
      <c r="L6" s="29" t="s">
        <v>28</v>
      </c>
      <c r="M6" s="30">
        <f>IF(L11="Domínio 3",3.5,M4/(E9-M10)*M10)</f>
        <v>0.48674587662297086</v>
      </c>
      <c r="N6" s="38"/>
      <c r="O6" s="39">
        <v>5</v>
      </c>
      <c r="P6" s="40">
        <f>100/P$4*PI()*($O6/20)^2</f>
        <v>3.9269908169872414</v>
      </c>
      <c r="Q6" s="40">
        <f t="shared" ref="Q6:Z9" si="1">100/Q$4*PI()*($O6/20)^2</f>
        <v>3.2724923474893681</v>
      </c>
      <c r="R6" s="40">
        <f t="shared" si="1"/>
        <v>2.8049934407051724</v>
      </c>
      <c r="S6" s="40">
        <f t="shared" si="1"/>
        <v>2.454369260617026</v>
      </c>
      <c r="T6" s="40">
        <f t="shared" si="1"/>
        <v>2.1816615649929116</v>
      </c>
      <c r="U6" s="40">
        <f t="shared" si="1"/>
        <v>1.9634954084936207</v>
      </c>
      <c r="V6" s="40">
        <f t="shared" si="1"/>
        <v>1.7849958259032916</v>
      </c>
      <c r="W6" s="40">
        <f t="shared" si="1"/>
        <v>1.6362461737446841</v>
      </c>
      <c r="X6" s="40">
        <f t="shared" si="1"/>
        <v>1.5103810834566314</v>
      </c>
      <c r="Y6" s="40">
        <f t="shared" si="1"/>
        <v>1.4024967203525862</v>
      </c>
      <c r="Z6" s="40">
        <f t="shared" si="1"/>
        <v>1.3089969389957472</v>
      </c>
      <c r="AA6" s="41"/>
      <c r="AB6" s="41"/>
      <c r="AC6" s="41"/>
      <c r="AD6" s="41"/>
      <c r="AE6" s="41"/>
      <c r="AF6" s="38"/>
      <c r="AG6" s="38"/>
      <c r="AH6" s="38"/>
      <c r="AI6" s="38"/>
      <c r="AJ6" s="43"/>
      <c r="AK6" s="38"/>
      <c r="AL6" s="38"/>
      <c r="AM6" s="38"/>
      <c r="AN6" s="38"/>
      <c r="AO6" s="38"/>
    </row>
    <row r="7" spans="2:41" x14ac:dyDescent="0.25">
      <c r="B7" s="4"/>
      <c r="C7" s="6"/>
      <c r="D7" s="7" t="s">
        <v>1</v>
      </c>
      <c r="E7" s="8">
        <v>100</v>
      </c>
      <c r="F7" s="6"/>
      <c r="G7" s="5"/>
      <c r="I7" s="80" t="s">
        <v>10</v>
      </c>
      <c r="J7" s="81"/>
      <c r="N7" s="38"/>
      <c r="O7" s="39">
        <v>6.3</v>
      </c>
      <c r="P7" s="40">
        <f>100/P$4*PI()*($O7/20)^2</f>
        <v>6.2344906210489448</v>
      </c>
      <c r="Q7" s="40">
        <f t="shared" si="1"/>
        <v>5.195408850874121</v>
      </c>
      <c r="R7" s="40">
        <f t="shared" si="1"/>
        <v>4.4532075864635319</v>
      </c>
      <c r="S7" s="40">
        <f t="shared" si="1"/>
        <v>3.8965566381555909</v>
      </c>
      <c r="T7" s="40">
        <f t="shared" si="1"/>
        <v>3.4636059005827469</v>
      </c>
      <c r="U7" s="40">
        <f t="shared" si="1"/>
        <v>3.1172453105244724</v>
      </c>
      <c r="V7" s="40">
        <f t="shared" si="1"/>
        <v>2.8338593732040662</v>
      </c>
      <c r="W7" s="40">
        <f t="shared" si="1"/>
        <v>2.5977044254370605</v>
      </c>
      <c r="X7" s="40">
        <f t="shared" si="1"/>
        <v>2.397881008095748</v>
      </c>
      <c r="Y7" s="40">
        <f t="shared" si="1"/>
        <v>2.2266037932317659</v>
      </c>
      <c r="Z7" s="40">
        <f t="shared" si="1"/>
        <v>2.0781635403496486</v>
      </c>
      <c r="AA7" s="41"/>
      <c r="AB7" s="41"/>
      <c r="AC7" s="41"/>
      <c r="AD7" s="41"/>
      <c r="AE7" s="41"/>
      <c r="AF7" s="38"/>
      <c r="AG7" s="38"/>
      <c r="AH7" s="38"/>
      <c r="AI7" s="38"/>
      <c r="AJ7" s="43"/>
      <c r="AK7" s="38"/>
      <c r="AL7" s="38"/>
      <c r="AM7" s="38"/>
      <c r="AN7" s="38"/>
      <c r="AO7" s="38"/>
    </row>
    <row r="8" spans="2:41" x14ac:dyDescent="0.25">
      <c r="B8" s="4"/>
      <c r="C8" s="6"/>
      <c r="D8" s="7" t="s">
        <v>2</v>
      </c>
      <c r="E8" s="8">
        <v>15</v>
      </c>
      <c r="F8" s="6"/>
      <c r="G8" s="5"/>
      <c r="I8" s="49" t="s">
        <v>11</v>
      </c>
      <c r="J8" s="45">
        <f>E17/1.4</f>
        <v>1.7857142857142858</v>
      </c>
      <c r="L8" s="80" t="s">
        <v>13</v>
      </c>
      <c r="M8" s="81"/>
      <c r="N8" s="38"/>
      <c r="O8" s="39">
        <v>8</v>
      </c>
      <c r="P8" s="40">
        <f>100/P$4*PI()*($O8/20)^2</f>
        <v>10.05309649148734</v>
      </c>
      <c r="Q8" s="40">
        <f t="shared" si="1"/>
        <v>8.3775804095727846</v>
      </c>
      <c r="R8" s="40">
        <f t="shared" si="1"/>
        <v>7.1807832082052432</v>
      </c>
      <c r="S8" s="40">
        <f t="shared" si="1"/>
        <v>6.283185307179588</v>
      </c>
      <c r="T8" s="40">
        <f t="shared" si="1"/>
        <v>5.5850536063818552</v>
      </c>
      <c r="U8" s="40">
        <f t="shared" si="1"/>
        <v>5.0265482457436699</v>
      </c>
      <c r="V8" s="40">
        <f t="shared" si="1"/>
        <v>4.5695893143124273</v>
      </c>
      <c r="W8" s="40">
        <f t="shared" si="1"/>
        <v>4.1887902047863923</v>
      </c>
      <c r="X8" s="40">
        <f t="shared" si="1"/>
        <v>3.8665755736489769</v>
      </c>
      <c r="Y8" s="40">
        <f t="shared" si="1"/>
        <v>3.5903916041026216</v>
      </c>
      <c r="Z8" s="40">
        <f t="shared" si="1"/>
        <v>3.3510321638291134</v>
      </c>
      <c r="AA8" s="41"/>
      <c r="AB8" s="41"/>
      <c r="AC8" s="41"/>
      <c r="AD8" s="41"/>
      <c r="AE8" s="41"/>
      <c r="AF8" s="38"/>
      <c r="AG8" s="38"/>
      <c r="AH8" s="38"/>
      <c r="AI8" s="38"/>
      <c r="AJ8" s="43"/>
      <c r="AK8" s="38"/>
      <c r="AL8" s="38"/>
      <c r="AM8" s="38"/>
      <c r="AN8" s="38"/>
      <c r="AO8" s="38"/>
    </row>
    <row r="9" spans="2:41" x14ac:dyDescent="0.25">
      <c r="B9" s="4"/>
      <c r="C9" s="6"/>
      <c r="D9" s="9" t="s">
        <v>3</v>
      </c>
      <c r="E9" s="10">
        <v>12</v>
      </c>
      <c r="F9" s="6"/>
      <c r="G9" s="5"/>
      <c r="I9" s="49" t="s">
        <v>12</v>
      </c>
      <c r="J9" s="45">
        <f>E18/1.15</f>
        <v>43.478260869565219</v>
      </c>
      <c r="L9" s="44" t="s">
        <v>18</v>
      </c>
      <c r="M9" s="46">
        <f>IF(E17&lt;=5,0.45*E9,0.35*E9)</f>
        <v>5.4</v>
      </c>
      <c r="N9" s="38"/>
      <c r="O9" s="39">
        <v>10</v>
      </c>
      <c r="P9" s="40">
        <f>100/P$4*PI()*($O9/20)^2</f>
        <v>15.707963267948966</v>
      </c>
      <c r="Q9" s="40">
        <f t="shared" si="1"/>
        <v>13.089969389957473</v>
      </c>
      <c r="R9" s="40">
        <f t="shared" si="1"/>
        <v>11.21997376282069</v>
      </c>
      <c r="S9" s="40">
        <f t="shared" si="1"/>
        <v>9.8174770424681039</v>
      </c>
      <c r="T9" s="40">
        <f t="shared" si="1"/>
        <v>8.7266462599716466</v>
      </c>
      <c r="U9" s="40">
        <f t="shared" si="1"/>
        <v>7.8539816339744828</v>
      </c>
      <c r="V9" s="40">
        <f t="shared" si="1"/>
        <v>7.1399833036131666</v>
      </c>
      <c r="W9" s="40">
        <f t="shared" si="1"/>
        <v>6.5449846949787363</v>
      </c>
      <c r="X9" s="40">
        <f t="shared" si="1"/>
        <v>6.0415243338265254</v>
      </c>
      <c r="Y9" s="40">
        <f t="shared" si="1"/>
        <v>5.6099868814103448</v>
      </c>
      <c r="Z9" s="40">
        <f t="shared" si="1"/>
        <v>5.2359877559829888</v>
      </c>
      <c r="AA9" s="41"/>
      <c r="AB9" s="41"/>
      <c r="AC9" s="41"/>
      <c r="AD9" s="41"/>
      <c r="AE9" s="41"/>
      <c r="AF9" s="38"/>
      <c r="AG9" s="38"/>
      <c r="AH9" s="38"/>
      <c r="AI9" s="38"/>
      <c r="AJ9" s="43"/>
      <c r="AK9" s="38"/>
      <c r="AL9" s="38"/>
      <c r="AM9" s="38"/>
      <c r="AN9" s="38"/>
      <c r="AO9" s="38"/>
    </row>
    <row r="10" spans="2:41" x14ac:dyDescent="0.25">
      <c r="B10" s="4"/>
      <c r="C10" s="6"/>
      <c r="D10" s="7" t="s">
        <v>17</v>
      </c>
      <c r="E10" s="8">
        <v>3</v>
      </c>
      <c r="F10" s="6"/>
      <c r="G10" s="5"/>
      <c r="L10" s="47" t="s">
        <v>14</v>
      </c>
      <c r="M10" s="48">
        <f>IF(E13*J13&lt;=J18,E9/J3*(1-(1-2*E13*J13/(J4*J5*J8*E7*E9^2))^0.5),M9)</f>
        <v>0.55698408144859157</v>
      </c>
      <c r="N10" s="38"/>
      <c r="AB10" s="38"/>
      <c r="AC10" s="43"/>
      <c r="AD10" s="38"/>
      <c r="AE10" s="38"/>
      <c r="AF10" s="38"/>
      <c r="AG10" s="38"/>
      <c r="AH10" s="38"/>
      <c r="AI10" s="38"/>
      <c r="AJ10" s="43"/>
      <c r="AK10" s="38"/>
      <c r="AL10" s="38"/>
      <c r="AM10" s="38"/>
      <c r="AN10" s="38"/>
      <c r="AO10" s="38"/>
    </row>
    <row r="11" spans="2:41" x14ac:dyDescent="0.25">
      <c r="B11" s="4"/>
      <c r="C11" s="6"/>
      <c r="D11" s="6"/>
      <c r="E11" s="6"/>
      <c r="F11" s="6"/>
      <c r="G11" s="5"/>
      <c r="I11" s="75" t="s">
        <v>32</v>
      </c>
      <c r="J11" s="76"/>
      <c r="L11" s="75" t="str">
        <f>IF(M10&lt;0,"Domínio 1",IF(M10&lt;0.259*E9,"Domínio 2",IF(M10&lt;0.629*E9,"Domínio 3",IF(M10&lt;E9,"Domínio 4","Domínio 5"))))</f>
        <v>Domínio 2</v>
      </c>
      <c r="M11" s="76"/>
      <c r="O11" s="75" t="s">
        <v>38</v>
      </c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76"/>
      <c r="AC11" s="43"/>
      <c r="AD11" s="38"/>
      <c r="AE11" s="38"/>
      <c r="AF11" s="38"/>
      <c r="AG11" s="38"/>
      <c r="AH11" s="38"/>
      <c r="AJ11" s="43"/>
      <c r="AK11" s="38"/>
      <c r="AL11" s="38"/>
      <c r="AM11" s="38"/>
      <c r="AN11" s="38"/>
      <c r="AO11" s="38"/>
    </row>
    <row r="12" spans="2:41" x14ac:dyDescent="0.25">
      <c r="B12" s="4"/>
      <c r="C12" s="6"/>
      <c r="D12" s="91" t="s">
        <v>16</v>
      </c>
      <c r="E12" s="92"/>
      <c r="F12" s="6"/>
      <c r="G12" s="5"/>
      <c r="I12" s="49" t="s">
        <v>33</v>
      </c>
      <c r="J12" s="50">
        <f>E14/E13</f>
        <v>56900.000000000007</v>
      </c>
      <c r="N12" s="26"/>
      <c r="O12" s="71" t="s">
        <v>36</v>
      </c>
      <c r="P12" s="72">
        <v>5</v>
      </c>
      <c r="Q12" s="72">
        <v>6</v>
      </c>
      <c r="R12" s="72">
        <v>7</v>
      </c>
      <c r="S12" s="72">
        <v>8</v>
      </c>
      <c r="T12" s="72">
        <v>9</v>
      </c>
      <c r="U12" s="72">
        <v>10</v>
      </c>
      <c r="V12" s="72">
        <v>11</v>
      </c>
      <c r="W12" s="72">
        <v>12</v>
      </c>
      <c r="X12" s="72">
        <v>13</v>
      </c>
      <c r="Y12" s="72">
        <v>14</v>
      </c>
      <c r="Z12" s="72">
        <v>15</v>
      </c>
      <c r="AC12" s="43"/>
      <c r="AD12" s="38"/>
      <c r="AE12" s="38"/>
      <c r="AF12" s="38"/>
      <c r="AG12" s="38"/>
      <c r="AH12" s="38"/>
      <c r="AJ12" s="43"/>
      <c r="AK12" s="38"/>
      <c r="AL12" s="38"/>
      <c r="AM12" s="38"/>
      <c r="AN12" s="38"/>
      <c r="AO12" s="38"/>
    </row>
    <row r="13" spans="2:41" x14ac:dyDescent="0.25">
      <c r="B13" s="4"/>
      <c r="C13" s="6">
        <v>0.01</v>
      </c>
      <c r="D13" s="21" t="s">
        <v>31</v>
      </c>
      <c r="E13" s="22">
        <f>1.4*C13</f>
        <v>1.3999999999999999E-2</v>
      </c>
      <c r="F13" s="6"/>
      <c r="G13" s="5"/>
      <c r="I13" s="49" t="s">
        <v>34</v>
      </c>
      <c r="J13" s="50">
        <f>ABS(J12-(E9-E10)/2)</f>
        <v>56895.500000000007</v>
      </c>
      <c r="L13" s="75" t="s">
        <v>29</v>
      </c>
      <c r="M13" s="76"/>
      <c r="N13" s="51"/>
      <c r="O13" s="39">
        <v>4.2</v>
      </c>
      <c r="P13" s="40">
        <f>100/P$4*PI()*($O13/20)^2</f>
        <v>2.7708847204661979</v>
      </c>
      <c r="Q13" s="40">
        <f t="shared" ref="Q13:Z13" si="2">100/Q$4*PI()*($O13/20)^2</f>
        <v>2.3090706003884987</v>
      </c>
      <c r="R13" s="40">
        <f t="shared" si="2"/>
        <v>1.97920337176157</v>
      </c>
      <c r="S13" s="40">
        <f t="shared" si="2"/>
        <v>1.7318029502913739</v>
      </c>
      <c r="T13" s="40">
        <f t="shared" si="2"/>
        <v>1.5393804002589988</v>
      </c>
      <c r="U13" s="40">
        <f t="shared" si="2"/>
        <v>1.385442360233099</v>
      </c>
      <c r="V13" s="40">
        <f t="shared" si="2"/>
        <v>1.2594930547573628</v>
      </c>
      <c r="W13" s="40">
        <f t="shared" si="2"/>
        <v>1.1545353001942493</v>
      </c>
      <c r="X13" s="40">
        <f t="shared" si="2"/>
        <v>1.0657248924869993</v>
      </c>
      <c r="Y13" s="40">
        <f t="shared" si="2"/>
        <v>0.98960168588078501</v>
      </c>
      <c r="Z13" s="40">
        <f t="shared" si="2"/>
        <v>0.92362824015539935</v>
      </c>
      <c r="AC13" s="43"/>
      <c r="AD13" s="38"/>
      <c r="AE13" s="38"/>
      <c r="AF13" s="38"/>
      <c r="AG13" s="38"/>
      <c r="AH13" s="38"/>
      <c r="AJ13" s="43"/>
      <c r="AK13" s="38"/>
      <c r="AL13" s="38"/>
      <c r="AM13" s="38"/>
      <c r="AN13" s="38"/>
      <c r="AO13" s="38"/>
    </row>
    <row r="14" spans="2:41" x14ac:dyDescent="0.25">
      <c r="B14" s="4"/>
      <c r="C14" s="6">
        <v>5.69</v>
      </c>
      <c r="D14" s="7" t="s">
        <v>4</v>
      </c>
      <c r="E14" s="23">
        <f>1.4*C14*100</f>
        <v>796.6</v>
      </c>
      <c r="F14" s="6"/>
      <c r="G14" s="5"/>
      <c r="I14" s="49" t="s">
        <v>35</v>
      </c>
      <c r="J14" s="50">
        <f>J12+(E9-E10)/2</f>
        <v>56904.500000000007</v>
      </c>
      <c r="L14" s="53" t="s">
        <v>30</v>
      </c>
      <c r="M14" s="45">
        <f>IF(I21="Armadura Simples",0,MIN(21*M5,J9))</f>
        <v>0</v>
      </c>
      <c r="N14" s="54"/>
      <c r="O14" s="39">
        <v>5</v>
      </c>
      <c r="P14" s="40">
        <f t="shared" ref="P14:Z17" si="3">100/P$4*PI()*($O14/20)^2</f>
        <v>3.9269908169872414</v>
      </c>
      <c r="Q14" s="40">
        <f t="shared" si="3"/>
        <v>3.2724923474893681</v>
      </c>
      <c r="R14" s="40">
        <f t="shared" si="3"/>
        <v>2.8049934407051724</v>
      </c>
      <c r="S14" s="40">
        <f t="shared" si="3"/>
        <v>2.454369260617026</v>
      </c>
      <c r="T14" s="40">
        <f t="shared" si="3"/>
        <v>2.1816615649929116</v>
      </c>
      <c r="U14" s="40">
        <f t="shared" si="3"/>
        <v>1.9634954084936207</v>
      </c>
      <c r="V14" s="40">
        <f t="shared" si="3"/>
        <v>1.7849958259032916</v>
      </c>
      <c r="W14" s="40">
        <f t="shared" si="3"/>
        <v>1.6362461737446841</v>
      </c>
      <c r="X14" s="40">
        <f t="shared" si="3"/>
        <v>1.5103810834566314</v>
      </c>
      <c r="Y14" s="40">
        <f t="shared" si="3"/>
        <v>1.4024967203525862</v>
      </c>
      <c r="Z14" s="40">
        <f t="shared" si="3"/>
        <v>1.3089969389957472</v>
      </c>
    </row>
    <row r="15" spans="2:41" x14ac:dyDescent="0.25">
      <c r="B15" s="4"/>
      <c r="C15" s="6"/>
      <c r="D15" s="6"/>
      <c r="E15" s="6"/>
      <c r="F15" s="6"/>
      <c r="G15" s="5"/>
      <c r="M15" s="54"/>
      <c r="N15" s="55"/>
      <c r="O15" s="39">
        <v>6.3</v>
      </c>
      <c r="P15" s="40">
        <f t="shared" si="3"/>
        <v>6.2344906210489448</v>
      </c>
      <c r="Q15" s="40">
        <f t="shared" si="3"/>
        <v>5.195408850874121</v>
      </c>
      <c r="R15" s="40">
        <f t="shared" si="3"/>
        <v>4.4532075864635319</v>
      </c>
      <c r="S15" s="40">
        <f t="shared" si="3"/>
        <v>3.8965566381555909</v>
      </c>
      <c r="T15" s="40">
        <f t="shared" si="3"/>
        <v>3.4636059005827469</v>
      </c>
      <c r="U15" s="40">
        <f t="shared" si="3"/>
        <v>3.1172453105244724</v>
      </c>
      <c r="V15" s="40">
        <f t="shared" si="3"/>
        <v>2.8338593732040662</v>
      </c>
      <c r="W15" s="40">
        <f t="shared" si="3"/>
        <v>2.5977044254370605</v>
      </c>
      <c r="X15" s="40">
        <f t="shared" si="3"/>
        <v>2.397881008095748</v>
      </c>
      <c r="Y15" s="40">
        <f t="shared" si="3"/>
        <v>2.2266037932317659</v>
      </c>
      <c r="Z15" s="40">
        <f t="shared" si="3"/>
        <v>2.0781635403496486</v>
      </c>
      <c r="AC15" s="27"/>
      <c r="AD15" s="27"/>
      <c r="AE15" s="27"/>
      <c r="AF15" s="27"/>
      <c r="AG15" s="27"/>
      <c r="AH15" s="27"/>
      <c r="AJ15" s="27"/>
      <c r="AK15" s="27"/>
      <c r="AL15" s="27"/>
      <c r="AM15" s="27"/>
      <c r="AN15" s="27"/>
      <c r="AO15" s="27"/>
    </row>
    <row r="16" spans="2:41" x14ac:dyDescent="0.25">
      <c r="B16" s="4"/>
      <c r="C16" s="6"/>
      <c r="D16" s="91" t="s">
        <v>8</v>
      </c>
      <c r="E16" s="92"/>
      <c r="F16" s="6"/>
      <c r="G16" s="5"/>
      <c r="I16" s="75" t="s">
        <v>19</v>
      </c>
      <c r="J16" s="76"/>
      <c r="L16" s="80" t="s">
        <v>22</v>
      </c>
      <c r="M16" s="81"/>
      <c r="N16" s="56"/>
      <c r="O16" s="39">
        <v>8</v>
      </c>
      <c r="P16" s="40">
        <f t="shared" si="3"/>
        <v>10.05309649148734</v>
      </c>
      <c r="Q16" s="40">
        <f t="shared" si="3"/>
        <v>8.3775804095727846</v>
      </c>
      <c r="R16" s="40">
        <f t="shared" si="3"/>
        <v>7.1807832082052432</v>
      </c>
      <c r="S16" s="40">
        <f t="shared" si="3"/>
        <v>6.283185307179588</v>
      </c>
      <c r="T16" s="40">
        <f t="shared" si="3"/>
        <v>5.5850536063818552</v>
      </c>
      <c r="U16" s="40">
        <f t="shared" si="3"/>
        <v>5.0265482457436699</v>
      </c>
      <c r="V16" s="40">
        <f t="shared" si="3"/>
        <v>4.5695893143124273</v>
      </c>
      <c r="W16" s="40">
        <f t="shared" si="3"/>
        <v>4.1887902047863923</v>
      </c>
      <c r="X16" s="40">
        <f t="shared" si="3"/>
        <v>3.8665755736489769</v>
      </c>
      <c r="Y16" s="40">
        <f t="shared" si="3"/>
        <v>3.5903916041026216</v>
      </c>
      <c r="Z16" s="40">
        <f t="shared" si="3"/>
        <v>3.3510321638291134</v>
      </c>
      <c r="AD16" s="57"/>
      <c r="AE16" s="58"/>
      <c r="AF16" s="59"/>
      <c r="AG16" s="60"/>
      <c r="AH16" s="61"/>
      <c r="AK16" s="57"/>
      <c r="AL16" s="58"/>
      <c r="AM16" s="59"/>
      <c r="AN16" s="60"/>
      <c r="AO16" s="61"/>
    </row>
    <row r="17" spans="2:32" x14ac:dyDescent="0.25">
      <c r="B17" s="4"/>
      <c r="C17" s="6"/>
      <c r="D17" s="7" t="s">
        <v>5</v>
      </c>
      <c r="E17" s="11">
        <v>2.5</v>
      </c>
      <c r="F17" s="6"/>
      <c r="G17" s="5"/>
      <c r="I17" s="49" t="s">
        <v>20</v>
      </c>
      <c r="J17" s="52">
        <f>2*E7*E8^2*0.39*(E17*10)^(2/3)/10/15</f>
        <v>1000.3359288058673</v>
      </c>
      <c r="L17" s="44" t="s">
        <v>23</v>
      </c>
      <c r="M17" s="62">
        <f>IF(I20="F. T. P. E.",E13*J14/(J9*(E9-E10)),MAX((J4*J5*J8*E7*J3*M10+M18*M14+E13)/J9,0.15/100*E7*E8))</f>
        <v>2.25</v>
      </c>
      <c r="N17" s="63"/>
      <c r="O17" s="39">
        <v>10</v>
      </c>
      <c r="P17" s="40">
        <f t="shared" si="3"/>
        <v>15.707963267948966</v>
      </c>
      <c r="Q17" s="40">
        <f t="shared" si="3"/>
        <v>13.089969389957473</v>
      </c>
      <c r="R17" s="40">
        <f t="shared" si="3"/>
        <v>11.21997376282069</v>
      </c>
      <c r="S17" s="40">
        <f t="shared" si="3"/>
        <v>9.8174770424681039</v>
      </c>
      <c r="T17" s="40">
        <f t="shared" si="3"/>
        <v>8.7266462599716466</v>
      </c>
      <c r="U17" s="40">
        <f t="shared" si="3"/>
        <v>7.8539816339744828</v>
      </c>
      <c r="V17" s="40">
        <f t="shared" si="3"/>
        <v>7.1399833036131666</v>
      </c>
      <c r="W17" s="40">
        <f t="shared" si="3"/>
        <v>6.5449846949787363</v>
      </c>
      <c r="X17" s="40">
        <f t="shared" si="3"/>
        <v>6.0415243338265254</v>
      </c>
      <c r="Y17" s="40">
        <f t="shared" si="3"/>
        <v>5.6099868814103448</v>
      </c>
      <c r="Z17" s="40">
        <f t="shared" si="3"/>
        <v>5.2359877559829888</v>
      </c>
      <c r="AD17" s="64"/>
      <c r="AE17" s="65"/>
    </row>
    <row r="18" spans="2:32" x14ac:dyDescent="0.25">
      <c r="B18" s="4"/>
      <c r="C18" s="6"/>
      <c r="D18" s="12" t="s">
        <v>9</v>
      </c>
      <c r="E18" s="11">
        <v>50</v>
      </c>
      <c r="F18" s="6"/>
      <c r="G18" s="5"/>
      <c r="I18" s="49" t="s">
        <v>21</v>
      </c>
      <c r="J18" s="52">
        <f>J4*J5*J8*E7*J3*M9*(E9-J3*M9/2)</f>
        <v>6452.2285714285717</v>
      </c>
      <c r="K18" s="66"/>
      <c r="L18" s="67" t="s">
        <v>24</v>
      </c>
      <c r="M18" s="62">
        <f>IF(I20="F. T. P. E.",E13*J13/(J9*(E9-E10)),IF(I21="Armadura Dupla",(E13*J13-J18)/(M14*(E9-E10)),0))</f>
        <v>0</v>
      </c>
      <c r="Q18" s="66"/>
      <c r="R18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</row>
    <row r="19" spans="2:32" ht="15.75" thickBot="1" x14ac:dyDescent="0.3">
      <c r="B19" s="13"/>
      <c r="C19" s="14"/>
      <c r="D19" s="14"/>
      <c r="E19" s="14"/>
      <c r="F19" s="14"/>
      <c r="G19" s="15"/>
      <c r="K19" s="66"/>
      <c r="N19" s="66"/>
      <c r="O19" s="75" t="str">
        <f>"As1 Adotada (As1 = "&amp;TEXT(PI()*(P20/20)^2/R20*100,"0,00")&amp;" cm²/m)"</f>
        <v>As1 Adotada (As1 = 1,39 cm²/m)</v>
      </c>
      <c r="P19" s="82"/>
      <c r="Q19" s="82"/>
      <c r="R19" s="82"/>
      <c r="S19" s="82"/>
      <c r="T19" s="68"/>
      <c r="U19" s="75" t="str">
        <f>"As2 Adotada (As2 = "&amp;TEXT(PI()*(V20/20)^2/X20*100,"0,00")&amp;" cm²/m)"</f>
        <v>As2 Adotada (As2 = 1,39 cm²/m)</v>
      </c>
      <c r="V19" s="82"/>
      <c r="W19" s="82"/>
      <c r="X19" s="82"/>
      <c r="Y19" s="76"/>
      <c r="Z19" s="66"/>
      <c r="AA19" s="66"/>
      <c r="AB19" s="66"/>
      <c r="AC19" s="66"/>
      <c r="AD19" s="66"/>
      <c r="AE19" s="66"/>
      <c r="AF19" s="66"/>
    </row>
    <row r="20" spans="2:32" x14ac:dyDescent="0.25">
      <c r="D20" s="25"/>
      <c r="E20" s="25"/>
      <c r="I20" s="75" t="str">
        <f>IF(J12&gt;(E9-E10)/2,"F. T. G. E.","F. T. P. E.")</f>
        <v>F. T. G. E.</v>
      </c>
      <c r="J20" s="76"/>
      <c r="K20" s="66"/>
      <c r="N20" s="66"/>
      <c r="O20" s="16"/>
      <c r="P20" s="17">
        <v>4.2</v>
      </c>
      <c r="Q20" s="18" t="s">
        <v>39</v>
      </c>
      <c r="R20" s="19">
        <v>10</v>
      </c>
      <c r="S20" s="20"/>
      <c r="U20" s="16"/>
      <c r="V20" s="17">
        <v>4.2</v>
      </c>
      <c r="W20" s="18" t="s">
        <v>39</v>
      </c>
      <c r="X20" s="19">
        <v>10</v>
      </c>
      <c r="Y20" s="20"/>
      <c r="Z20" s="66"/>
      <c r="AA20" s="66"/>
      <c r="AB20" s="66"/>
      <c r="AC20" s="66"/>
      <c r="AD20" s="66"/>
      <c r="AE20" s="66"/>
      <c r="AF20" s="66"/>
    </row>
    <row r="21" spans="2:32" x14ac:dyDescent="0.25">
      <c r="B21" s="69"/>
      <c r="C21" s="69"/>
      <c r="D21" s="69"/>
      <c r="E21" s="69"/>
      <c r="F21" s="69"/>
      <c r="G21" s="69"/>
      <c r="I21" s="75" t="str">
        <f>IF(I20="F. T. P. E.","Armadura Dupla",IF(E13*J13&lt;=J18,"Armadura Simples","Armadura Dupla"))</f>
        <v>Armadura Simples</v>
      </c>
      <c r="J21" s="76"/>
    </row>
    <row r="23" spans="2:32" x14ac:dyDescent="0.25">
      <c r="I23" s="77"/>
      <c r="J23" s="77"/>
    </row>
    <row r="24" spans="2:32" x14ac:dyDescent="0.25">
      <c r="J24" s="70"/>
    </row>
  </sheetData>
  <sheetProtection algorithmName="SHA-512" hashValue="0W2MivZ5oNXax8KVeamgoVTJhxpUA4rB6p7uaKlS4TjNEirrYxtkkXNuIjxn0SR9oumRv/w7dYrJfMQgrSee3A==" saltValue="LpoBIm3MHU4ZGzp/DthcPA==" spinCount="100000" sheet="1" objects="1" scenarios="1" selectLockedCells="1"/>
  <mergeCells count="20">
    <mergeCell ref="O19:S19"/>
    <mergeCell ref="U19:Y19"/>
    <mergeCell ref="O3:Z3"/>
    <mergeCell ref="O11:Z11"/>
    <mergeCell ref="C3:F4"/>
    <mergeCell ref="D6:E6"/>
    <mergeCell ref="D12:E12"/>
    <mergeCell ref="D16:E16"/>
    <mergeCell ref="I2:J2"/>
    <mergeCell ref="I7:J7"/>
    <mergeCell ref="I16:J16"/>
    <mergeCell ref="I11:J11"/>
    <mergeCell ref="I20:J20"/>
    <mergeCell ref="I21:J21"/>
    <mergeCell ref="I23:J23"/>
    <mergeCell ref="L11:M11"/>
    <mergeCell ref="L3:M3"/>
    <mergeCell ref="L13:M13"/>
    <mergeCell ref="L16:M16"/>
    <mergeCell ref="L8:M8"/>
  </mergeCells>
  <conditionalFormatting sqref="O20:S20">
    <cfRule type="expression" dxfId="9" priority="3">
      <formula>PI()*($P$20/20)^2/$R$20*100&gt;=$M$17</formula>
    </cfRule>
    <cfRule type="expression" dxfId="8" priority="4">
      <formula>PI()*($P$20/20)^2/$R$20*100&lt;$M$17</formula>
    </cfRule>
  </conditionalFormatting>
  <conditionalFormatting sqref="P5:Z9">
    <cfRule type="expression" dxfId="7" priority="8">
      <formula>P$4&gt;2*$E$8</formula>
    </cfRule>
    <cfRule type="cellIs" dxfId="6" priority="9" operator="lessThan">
      <formula>$M$17</formula>
    </cfRule>
    <cfRule type="cellIs" dxfId="5" priority="10" operator="greaterThan">
      <formula>$M$17</formula>
    </cfRule>
  </conditionalFormatting>
  <conditionalFormatting sqref="P13:Z17">
    <cfRule type="expression" dxfId="4" priority="5">
      <formula>P$4&gt;2*$E$8</formula>
    </cfRule>
    <cfRule type="cellIs" dxfId="3" priority="6" operator="lessThan">
      <formula>$M$18</formula>
    </cfRule>
    <cfRule type="cellIs" dxfId="2" priority="7" operator="greaterThan">
      <formula>$M$18</formula>
    </cfRule>
  </conditionalFormatting>
  <conditionalFormatting sqref="U20:Y20">
    <cfRule type="expression" dxfId="1" priority="1">
      <formula>PI()*($V$20/20)^2/$X$20*100&gt;=$M$18</formula>
    </cfRule>
    <cfRule type="expression" dxfId="0" priority="2">
      <formula>PI()*($V$20/20)^2/$X$20*100&lt;$M$18</formula>
    </cfRule>
  </conditionalFormatting>
  <dataValidations disablePrompts="1" count="1">
    <dataValidation type="list" allowBlank="1" showInputMessage="1" showErrorMessage="1" sqref="E20" xr:uid="{918795BE-03A5-4593-BBA6-2F4CCFC6395F}">
      <formula1>Armação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Carini</dc:creator>
  <cp:lastModifiedBy>Matheus Carini</cp:lastModifiedBy>
  <dcterms:created xsi:type="dcterms:W3CDTF">2017-09-15T19:56:45Z</dcterms:created>
  <dcterms:modified xsi:type="dcterms:W3CDTF">2025-01-02T21:27:52Z</dcterms:modified>
</cp:coreProperties>
</file>