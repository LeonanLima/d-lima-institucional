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22c8cd3f25119c/Waltner/Reservatórios Piscinas Muros/Planilhas/"/>
    </mc:Choice>
  </mc:AlternateContent>
  <xr:revisionPtr revIDLastSave="5" documentId="8_{2D76C380-6FFD-489C-A829-211208E1323D}" xr6:coauthVersionLast="47" xr6:coauthVersionMax="47" xr10:uidLastSave="{8111E6BF-F8B3-41C3-A1FF-25C79B0AD898}"/>
  <bookViews>
    <workbookView xWindow="7640" yWindow="670" windowWidth="27360" windowHeight="18290" xr2:uid="{576E101A-952A-4870-8189-844F3EA4A51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" i="1" l="1"/>
  <c r="AF6" i="1"/>
  <c r="AF7" i="1"/>
  <c r="AF8" i="1"/>
  <c r="AF9" i="1"/>
  <c r="AF10" i="1"/>
  <c r="AF11" i="1"/>
  <c r="AF12" i="1"/>
  <c r="AF14" i="1"/>
  <c r="AF4" i="1"/>
  <c r="AD5" i="1"/>
  <c r="AD6" i="1"/>
  <c r="AD7" i="1"/>
  <c r="AD8" i="1"/>
  <c r="AD9" i="1"/>
  <c r="AD10" i="1"/>
  <c r="AD11" i="1"/>
  <c r="AD12" i="1"/>
  <c r="AD14" i="1"/>
  <c r="AD4" i="1"/>
  <c r="W14" i="1"/>
  <c r="S14" i="1"/>
  <c r="W13" i="1"/>
  <c r="S13" i="1"/>
  <c r="G13" i="1"/>
  <c r="W12" i="1"/>
  <c r="S12" i="1"/>
  <c r="P12" i="1"/>
  <c r="P13" i="1" s="1"/>
  <c r="P14" i="1" s="1"/>
  <c r="G12" i="1"/>
  <c r="W11" i="1"/>
  <c r="S11" i="1"/>
  <c r="W10" i="1"/>
  <c r="S10" i="1"/>
  <c r="G10" i="1"/>
  <c r="W9" i="1"/>
  <c r="S9" i="1"/>
  <c r="G9" i="1"/>
  <c r="H9" i="1" s="1"/>
  <c r="W8" i="1"/>
  <c r="S8" i="1"/>
  <c r="O8" i="1"/>
  <c r="V8" i="1" s="1"/>
  <c r="M8" i="1"/>
  <c r="M9" i="1" s="1"/>
  <c r="E8" i="1"/>
  <c r="E9" i="1" s="1"/>
  <c r="U8" i="1"/>
  <c r="W7" i="1"/>
  <c r="O7" i="1"/>
  <c r="V7" i="1" s="1"/>
  <c r="G7" i="1"/>
  <c r="H7" i="1" s="1"/>
  <c r="F7" i="1"/>
  <c r="F8" i="1" s="1"/>
  <c r="E7" i="1"/>
  <c r="U7" i="1"/>
  <c r="W6" i="1"/>
  <c r="R6" i="1"/>
  <c r="R7" i="1" s="1"/>
  <c r="O6" i="1"/>
  <c r="V6" i="1" s="1"/>
  <c r="K6" i="1"/>
  <c r="G6" i="1"/>
  <c r="H6" i="1" s="1"/>
  <c r="I6" i="1" s="1"/>
  <c r="J6" i="1" s="1"/>
  <c r="L6" i="1" s="1"/>
  <c r="U6" i="1"/>
  <c r="W5" i="1"/>
  <c r="V5" i="1"/>
  <c r="X5" i="1" s="1"/>
  <c r="S5" i="1"/>
  <c r="O5" i="1"/>
  <c r="K5" i="1"/>
  <c r="G5" i="1"/>
  <c r="H5" i="1" s="1"/>
  <c r="W4" i="1"/>
  <c r="S4" i="1"/>
  <c r="Q4" i="1"/>
  <c r="Q5" i="1" s="1"/>
  <c r="O4" i="1"/>
  <c r="K4" i="1"/>
  <c r="G4" i="1"/>
  <c r="H4" i="1" s="1"/>
  <c r="U4" i="1"/>
  <c r="AD2" i="1"/>
  <c r="Z7" i="1" l="1"/>
  <c r="U9" i="1"/>
  <c r="E10" i="1"/>
  <c r="I9" i="1"/>
  <c r="J9" i="1" s="1"/>
  <c r="L9" i="1" s="1"/>
  <c r="H10" i="1"/>
  <c r="T7" i="1"/>
  <c r="R8" i="1"/>
  <c r="I5" i="1"/>
  <c r="J5" i="1" s="1"/>
  <c r="L5" i="1" s="1"/>
  <c r="T5" i="1"/>
  <c r="Q6" i="1"/>
  <c r="Q7" i="1" s="1"/>
  <c r="Q8" i="1" s="1"/>
  <c r="Q9" i="1" s="1"/>
  <c r="Q10" i="1" s="1"/>
  <c r="Q11" i="1" s="1"/>
  <c r="Q12" i="1" s="1"/>
  <c r="Q13" i="1" s="1"/>
  <c r="Q14" i="1" s="1"/>
  <c r="AC5" i="1"/>
  <c r="I7" i="1"/>
  <c r="J7" i="1" s="1"/>
  <c r="L7" i="1" s="1"/>
  <c r="M10" i="1"/>
  <c r="O9" i="1"/>
  <c r="AA5" i="1"/>
  <c r="AB5" i="1" s="1"/>
  <c r="Y5" i="1"/>
  <c r="F9" i="1"/>
  <c r="K8" i="1"/>
  <c r="V4" i="1"/>
  <c r="X4" i="1" s="1"/>
  <c r="X7" i="1"/>
  <c r="Y7" i="1" s="1"/>
  <c r="U5" i="1"/>
  <c r="G11" i="1"/>
  <c r="I4" i="1"/>
  <c r="J4" i="1" s="1"/>
  <c r="L4" i="1" s="1"/>
  <c r="K7" i="1"/>
  <c r="AA7" i="1"/>
  <c r="AB7" i="1" s="1"/>
  <c r="G8" i="1"/>
  <c r="H8" i="1" s="1"/>
  <c r="I8" i="1" s="1"/>
  <c r="J8" i="1" s="1"/>
  <c r="L8" i="1" s="1"/>
  <c r="AC7" i="1"/>
  <c r="X6" i="1"/>
  <c r="X8" i="1"/>
  <c r="Y8" i="1" s="1"/>
  <c r="T4" i="1"/>
  <c r="G14" i="1"/>
  <c r="Z5" i="1" l="1"/>
  <c r="AA4" i="1"/>
  <c r="AB4" i="1" s="1"/>
  <c r="AC4" i="1" s="1"/>
  <c r="Y4" i="1"/>
  <c r="Z4" i="1" s="1"/>
  <c r="AG5" i="1"/>
  <c r="AH5" i="1" s="1"/>
  <c r="AI5" i="1" s="1"/>
  <c r="AE5" i="1"/>
  <c r="R9" i="1"/>
  <c r="T8" i="1"/>
  <c r="AE7" i="1"/>
  <c r="M11" i="1"/>
  <c r="O10" i="1"/>
  <c r="AA8" i="1"/>
  <c r="AB8" i="1" s="1"/>
  <c r="AC8" i="1" s="1"/>
  <c r="F10" i="1"/>
  <c r="K9" i="1"/>
  <c r="V9" i="1"/>
  <c r="X9" i="1" s="1"/>
  <c r="Z8" i="1"/>
  <c r="AA6" i="1"/>
  <c r="AB6" i="1" s="1"/>
  <c r="AC6" i="1" s="1"/>
  <c r="Y6" i="1"/>
  <c r="Z6" i="1" s="1"/>
  <c r="E11" i="1"/>
  <c r="H11" i="1" s="1"/>
  <c r="U10" i="1"/>
  <c r="I10" i="1"/>
  <c r="J10" i="1" s="1"/>
  <c r="L10" i="1" s="1"/>
  <c r="T6" i="1"/>
  <c r="AG7" i="1" l="1"/>
  <c r="AH7" i="1" s="1"/>
  <c r="AI7" i="1" s="1"/>
  <c r="AE4" i="1"/>
  <c r="AE8" i="1"/>
  <c r="T9" i="1"/>
  <c r="R10" i="1"/>
  <c r="O11" i="1"/>
  <c r="M12" i="1"/>
  <c r="Y9" i="1"/>
  <c r="Z9" i="1" s="1"/>
  <c r="AE6" i="1"/>
  <c r="AG6" i="1" s="1"/>
  <c r="AH6" i="1" s="1"/>
  <c r="AI6" i="1" s="1"/>
  <c r="AA9" i="1"/>
  <c r="AB9" i="1" s="1"/>
  <c r="AC9" i="1" s="1"/>
  <c r="E12" i="1"/>
  <c r="I11" i="1"/>
  <c r="J11" i="1" s="1"/>
  <c r="L11" i="1" s="1"/>
  <c r="U11" i="1"/>
  <c r="F11" i="1"/>
  <c r="AA10" i="1"/>
  <c r="AB10" i="1" s="1"/>
  <c r="AC10" i="1" s="1"/>
  <c r="K10" i="1"/>
  <c r="V10" i="1"/>
  <c r="X10" i="1" s="1"/>
  <c r="AG8" i="1" l="1"/>
  <c r="AH8" i="1" s="1"/>
  <c r="AI8" i="1" s="1"/>
  <c r="AG4" i="1"/>
  <c r="AH4" i="1" s="1"/>
  <c r="AI4" i="1" s="1"/>
  <c r="AE9" i="1"/>
  <c r="AG9" i="1" s="1"/>
  <c r="AH9" i="1" s="1"/>
  <c r="AI9" i="1" s="1"/>
  <c r="M13" i="1"/>
  <c r="O12" i="1"/>
  <c r="R11" i="1"/>
  <c r="T10" i="1"/>
  <c r="Z10" i="1" s="1"/>
  <c r="V11" i="1"/>
  <c r="X11" i="1" s="1"/>
  <c r="AA11" i="1" s="1"/>
  <c r="AB11" i="1" s="1"/>
  <c r="AC11" i="1" s="1"/>
  <c r="F12" i="1"/>
  <c r="K11" i="1"/>
  <c r="Y10" i="1"/>
  <c r="E13" i="1"/>
  <c r="U12" i="1"/>
  <c r="H12" i="1"/>
  <c r="I12" i="1" s="1"/>
  <c r="J12" i="1" s="1"/>
  <c r="L12" i="1" s="1"/>
  <c r="AE10" i="1" l="1"/>
  <c r="AG10" i="1" s="1"/>
  <c r="AH10" i="1" s="1"/>
  <c r="AI10" i="1" s="1"/>
  <c r="K12" i="1"/>
  <c r="F13" i="1"/>
  <c r="R12" i="1"/>
  <c r="T11" i="1"/>
  <c r="Y11" i="1"/>
  <c r="Z11" i="1" s="1"/>
  <c r="V12" i="1"/>
  <c r="X12" i="1" s="1"/>
  <c r="O13" i="1"/>
  <c r="M14" i="1"/>
  <c r="O14" i="1" s="1"/>
  <c r="E14" i="1"/>
  <c r="H13" i="1"/>
  <c r="I13" i="1" s="1"/>
  <c r="J13" i="1" s="1"/>
  <c r="L13" i="1" s="1"/>
  <c r="U13" i="1"/>
  <c r="AE11" i="1" l="1"/>
  <c r="Y12" i="1"/>
  <c r="AA12" i="1"/>
  <c r="AB12" i="1" s="1"/>
  <c r="AC12" i="1" s="1"/>
  <c r="V14" i="1"/>
  <c r="X14" i="1" s="1"/>
  <c r="R13" i="1"/>
  <c r="T12" i="1"/>
  <c r="Z12" i="1" s="1"/>
  <c r="F14" i="1"/>
  <c r="K13" i="1"/>
  <c r="U14" i="1"/>
  <c r="H14" i="1"/>
  <c r="I14" i="1" s="1"/>
  <c r="J14" i="1" s="1"/>
  <c r="L14" i="1" s="1"/>
  <c r="V13" i="1"/>
  <c r="X13" i="1" s="1"/>
  <c r="AA13" i="1" s="1"/>
  <c r="AB13" i="1" s="1"/>
  <c r="AC13" i="1" s="1"/>
  <c r="AD13" i="1" s="1"/>
  <c r="AG11" i="1" l="1"/>
  <c r="AH11" i="1" s="1"/>
  <c r="AI11" i="1" s="1"/>
  <c r="AE12" i="1"/>
  <c r="AG12" i="1" s="1"/>
  <c r="AH12" i="1" s="1"/>
  <c r="AI12" i="1" s="1"/>
  <c r="AA14" i="1"/>
  <c r="AB14" i="1" s="1"/>
  <c r="AC14" i="1" s="1"/>
  <c r="K14" i="1"/>
  <c r="Y14" i="1"/>
  <c r="R14" i="1"/>
  <c r="T14" i="1" s="1"/>
  <c r="Z14" i="1" s="1"/>
  <c r="T13" i="1"/>
  <c r="Y13" i="1"/>
  <c r="Z13" i="1" s="1"/>
  <c r="AF13" i="1" s="1"/>
  <c r="AE14" i="1" l="1"/>
  <c r="AG14" i="1" s="1"/>
  <c r="AH14" i="1" s="1"/>
  <c r="AI14" i="1" s="1"/>
  <c r="AE13" i="1"/>
  <c r="AG13" i="1" s="1"/>
  <c r="AH13" i="1" s="1"/>
  <c r="AI13" i="1" s="1"/>
</calcChain>
</file>

<file path=xl/sharedStrings.xml><?xml version="1.0" encoding="utf-8"?>
<sst xmlns="http://schemas.openxmlformats.org/spreadsheetml/2006/main" count="46" uniqueCount="45">
  <si>
    <t>fct,m</t>
  </si>
  <si>
    <t>Local</t>
  </si>
  <si>
    <t>Mk</t>
  </si>
  <si>
    <t>Nk</t>
  </si>
  <si>
    <t>d</t>
  </si>
  <si>
    <t>h</t>
  </si>
  <si>
    <t>e0</t>
  </si>
  <si>
    <t>e1</t>
  </si>
  <si>
    <t>x</t>
  </si>
  <si>
    <t>As1</t>
  </si>
  <si>
    <t>As1,min</t>
  </si>
  <si>
    <t>ϕ</t>
  </si>
  <si>
    <t>c/</t>
  </si>
  <si>
    <t>As</t>
  </si>
  <si>
    <t>wk,lim</t>
  </si>
  <si>
    <t>εcs</t>
  </si>
  <si>
    <t>Bs</t>
  </si>
  <si>
    <t>εcT</t>
  </si>
  <si>
    <t>εcn</t>
  </si>
  <si>
    <t>Ms</t>
  </si>
  <si>
    <t>ρ</t>
  </si>
  <si>
    <t>n</t>
  </si>
  <si>
    <t>ξ</t>
  </si>
  <si>
    <t>k2</t>
  </si>
  <si>
    <t>σs</t>
  </si>
  <si>
    <t>ho</t>
  </si>
  <si>
    <t>Ace</t>
  </si>
  <si>
    <t>ρse</t>
  </si>
  <si>
    <t>σsr</t>
  </si>
  <si>
    <t>β</t>
  </si>
  <si>
    <t>τbm</t>
  </si>
  <si>
    <t>εsm-εcm</t>
  </si>
  <si>
    <t>wk</t>
  </si>
  <si>
    <t>Verif.</t>
  </si>
  <si>
    <t>Tampa x</t>
  </si>
  <si>
    <t>Tampa y</t>
  </si>
  <si>
    <t>Fundo x</t>
  </si>
  <si>
    <t>Fundo y</t>
  </si>
  <si>
    <t>Parede maior x</t>
  </si>
  <si>
    <t>Parede maior y</t>
  </si>
  <si>
    <t>Parede menor x</t>
  </si>
  <si>
    <t>Parede menor y</t>
  </si>
  <si>
    <t>Parede-parede</t>
  </si>
  <si>
    <t>Fundo-parede maior</t>
  </si>
  <si>
    <t>Fundo-parede 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</si>
</sst>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F8BEF-5451-4FB2-8777-4AD3998AF56D}">
  <dimension ref="B2:AI14"/>
  <sheetViews>
    <sheetView tabSelected="1" zoomScale="120" zoomScaleNormal="120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AH4" sqref="AH4"/>
    </sheetView>
  </sheetViews>
  <sheetFormatPr defaultRowHeight="14.5" x14ac:dyDescent="0.35"/>
  <cols>
    <col min="2" max="2" width="17.81640625" bestFit="1" customWidth="1"/>
  </cols>
  <sheetData>
    <row r="2" spans="2:35" x14ac:dyDescent="0.35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 t="s">
        <v>0</v>
      </c>
      <c r="AD2" s="1">
        <f>0.3*25^(2/3)/10</f>
        <v>0.25649639200150443</v>
      </c>
      <c r="AE2" s="1"/>
      <c r="AF2" s="1"/>
      <c r="AG2" s="1"/>
      <c r="AH2" s="1"/>
      <c r="AI2" s="1"/>
    </row>
    <row r="3" spans="2:35" x14ac:dyDescent="0.35">
      <c r="B3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9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</row>
    <row r="4" spans="2:35" x14ac:dyDescent="0.35">
      <c r="B4" t="s">
        <v>34</v>
      </c>
      <c r="C4" s="2">
        <v>3.8210906250000001</v>
      </c>
      <c r="D4" s="2">
        <v>9.770999999999999</v>
      </c>
      <c r="E4" s="1">
        <v>7</v>
      </c>
      <c r="F4" s="1">
        <v>10</v>
      </c>
      <c r="G4" s="5">
        <f>C4*100/D4</f>
        <v>39.10644381332515</v>
      </c>
      <c r="H4" s="5">
        <f>G4-(E4-3)/2</f>
        <v>37.10644381332515</v>
      </c>
      <c r="I4" s="3">
        <f>E4/0.8*(1-(1-2*D4*1.4*H4/(0.85*2.5/1.4*100*E4^2))^0.5)</f>
        <v>0.61906908095425273</v>
      </c>
      <c r="J4" s="2">
        <f>(D4*1.4+0.85*0.8*2.5/1.4*100*I4)/43.48</f>
        <v>2.0435159640265312</v>
      </c>
      <c r="K4" s="1">
        <f>0.15*F4</f>
        <v>1.5</v>
      </c>
      <c r="L4" s="2">
        <f>MAX(J4:K4)</f>
        <v>2.0435159640265312</v>
      </c>
      <c r="M4" s="1">
        <v>5</v>
      </c>
      <c r="N4" s="1">
        <v>9</v>
      </c>
      <c r="O4" s="2">
        <f>PI()*(M4/20)^2/(N4/100)</f>
        <v>2.1816615649929121</v>
      </c>
      <c r="P4" s="1">
        <v>0.2</v>
      </c>
      <c r="Q4" s="1">
        <f>0.0005</f>
        <v>5.0000000000000001E-4</v>
      </c>
      <c r="R4" s="3">
        <v>1</v>
      </c>
      <c r="S4" s="1">
        <f>0.0002</f>
        <v>2.0000000000000001E-4</v>
      </c>
      <c r="T4" s="1">
        <f>R4*Q4+S4</f>
        <v>6.9999999999999999E-4</v>
      </c>
      <c r="U4" s="4">
        <f>C4*100-D4*(E4-3)/2</f>
        <v>362.56706250000002</v>
      </c>
      <c r="V4" s="1">
        <f>O4/(100*E4)</f>
        <v>3.1166593785613029E-3</v>
      </c>
      <c r="W4" s="3">
        <f>210000/28980</f>
        <v>7.2463768115942031</v>
      </c>
      <c r="X4" s="3">
        <f>-W4*V4+((W4*V4)^2+2*W4*V4)^0.5</f>
        <v>0.19114205575011481</v>
      </c>
      <c r="Y4" s="1">
        <f>X4^2/6*(3-X4)</f>
        <v>1.7103737809294566E-2</v>
      </c>
      <c r="Z4" s="2">
        <f>W4*(1-X4)/Y4*U4/(100*E4^2)+D4/O4+21000*0.5*T4</f>
        <v>37.185494228492139</v>
      </c>
      <c r="AA4" s="3">
        <f>MIN(2.5*(F4-E4),(F4-X4*E4)/3)</f>
        <v>2.8873352032497319</v>
      </c>
      <c r="AB4" s="4">
        <f>100*AA4</f>
        <v>288.7335203249732</v>
      </c>
      <c r="AC4" s="1">
        <f>O4/AB4</f>
        <v>7.5559691252246172E-3</v>
      </c>
      <c r="AD4" s="2">
        <f>(1+W4*AC4)/AC4*AD$2</f>
        <v>35.804863271499208</v>
      </c>
      <c r="AE4" s="1">
        <f>IF(Z4&lt;AD4,0.6,0.38)</f>
        <v>0.38</v>
      </c>
      <c r="AF4" s="3">
        <f>IF(Z4&lt;AD4,1.35*AD$2,1.8*AD$2)</f>
        <v>0.461693505602708</v>
      </c>
      <c r="AG4" s="1">
        <f>MAX(Z4/21000-AE4*AF4/(AC4*21000)*(1+W4*AC4),0)</f>
        <v>6.0452227384698472E-4</v>
      </c>
      <c r="AH4" s="3">
        <f>IF(Z4&lt;AD4,Z4/(2*AF4)*M4/(1+W4*AC4)*(AG4+0.5*T4),M4/(3.6*AC4)*(AG4+0.5*T4))</f>
        <v>0.17545404942395454</v>
      </c>
      <c r="AI4" s="1" t="str">
        <f>IF(AH4&lt;=P4,"Ok!","Ruim!")</f>
        <v>Ok!</v>
      </c>
    </row>
    <row r="5" spans="2:35" x14ac:dyDescent="0.35">
      <c r="B5" t="s">
        <v>35</v>
      </c>
      <c r="C5" s="2">
        <v>1.2820499999999999</v>
      </c>
      <c r="D5" s="2">
        <v>4.6979999999999995</v>
      </c>
      <c r="E5" s="1">
        <v>7</v>
      </c>
      <c r="F5" s="1">
        <v>10</v>
      </c>
      <c r="G5" s="5">
        <f t="shared" ref="G5:G14" si="0">C5*100/D5</f>
        <v>27.28927203065134</v>
      </c>
      <c r="H5" s="5">
        <f t="shared" ref="H5:H14" si="1">G5-(E5-3)/2</f>
        <v>25.28927203065134</v>
      </c>
      <c r="I5" s="3">
        <f t="shared" ref="I5:I14" si="2">E5/0.8*(1-(1-2*D5*1.4*H5/(0.85*2.5/1.4*100*E5^2))^0.5)</f>
        <v>0.19792391906400031</v>
      </c>
      <c r="J5" s="2">
        <f t="shared" ref="J5:J14" si="3">(D5*1.4+0.85*0.8*2.5/1.4*100*I5)/43.48</f>
        <v>0.70402067027336135</v>
      </c>
      <c r="K5" s="1">
        <f t="shared" ref="K5:K14" si="4">0.15*F5</f>
        <v>1.5</v>
      </c>
      <c r="L5" s="2">
        <f t="shared" ref="L5:L14" si="5">MAX(J5:K5)</f>
        <v>1.5</v>
      </c>
      <c r="M5" s="1">
        <v>5</v>
      </c>
      <c r="N5" s="1">
        <v>13</v>
      </c>
      <c r="O5" s="2">
        <f t="shared" ref="O5:O14" si="6">PI()*(M5/20)^2/(N5/100)</f>
        <v>1.5103810834566314</v>
      </c>
      <c r="P5" s="1">
        <v>0.2</v>
      </c>
      <c r="Q5" s="1">
        <f>Q4</f>
        <v>5.0000000000000001E-4</v>
      </c>
      <c r="R5" s="3">
        <v>1</v>
      </c>
      <c r="S5" s="1">
        <f t="shared" ref="S5:S14" si="7">0.0002</f>
        <v>2.0000000000000001E-4</v>
      </c>
      <c r="T5" s="1">
        <f t="shared" ref="T5:T14" si="8">R5*Q5+S5</f>
        <v>6.9999999999999999E-4</v>
      </c>
      <c r="U5" s="4">
        <f t="shared" ref="U5:U14" si="9">C5*100-D5*(E5-3)/2</f>
        <v>118.80899999999998</v>
      </c>
      <c r="V5" s="1">
        <f t="shared" ref="V5:V14" si="10">O5/(100*E5)</f>
        <v>2.1576872620809018E-3</v>
      </c>
      <c r="W5" s="3">
        <f t="shared" ref="W5:W14" si="11">210000/28980</f>
        <v>7.2463768115942031</v>
      </c>
      <c r="X5" s="3">
        <f t="shared" ref="X5:X14" si="12">-W5*V5+((W5*V5)^2+2*W5*V5)^0.5</f>
        <v>0.16189006515998364</v>
      </c>
      <c r="Y5" s="1">
        <f t="shared" ref="Y5:Y14" si="13">X5^2/6*(3-X5)</f>
        <v>1.2397050185004817E-2</v>
      </c>
      <c r="Z5" s="2">
        <f t="shared" ref="Z5:Z14" si="14">W5*(1-X5)/Y5*U5/(100*E5^2)+D5/O5+21000*0.5*T5</f>
        <v>22.338842034065689</v>
      </c>
      <c r="AA5" s="3">
        <f t="shared" ref="AA5:AA14" si="15">MIN(2.5*(F5-E5),(F5-X5*E5)/3)</f>
        <v>2.955589847960038</v>
      </c>
      <c r="AB5" s="4">
        <f t="shared" ref="AB5:AB14" si="16">100*AA5</f>
        <v>295.55898479600381</v>
      </c>
      <c r="AC5" s="1">
        <f t="shared" ref="AC5:AC14" si="17">O5/AB5</f>
        <v>5.1102526438135641E-3</v>
      </c>
      <c r="AD5" s="2">
        <f t="shared" ref="AD5:AD14" si="18">(1+W5*AC5)/AC5*AD$2</f>
        <v>52.051176586533899</v>
      </c>
      <c r="AE5" s="1">
        <f t="shared" ref="AE5:AE14" si="19">IF(Z5&lt;AD5,0.6,0.38)</f>
        <v>0.6</v>
      </c>
      <c r="AF5" s="3">
        <f t="shared" ref="AF5:AF14" si="20">IF(Z5&lt;AD5,1.35*AD$2,1.8*AD$2)</f>
        <v>0.34627012920203099</v>
      </c>
      <c r="AG5" s="1">
        <f t="shared" ref="AG5:AG14" si="21">MAX(Z5/21000-AE5*AF5/(AC5*21000)*(1+W5*AC5),0)</f>
        <v>0</v>
      </c>
      <c r="AH5" s="3">
        <f t="shared" ref="AH5:AH14" si="22">IF(Z5&lt;AD5,Z5/(2*AF5)*M5/(1+W5*AC5)*(AG5+0.5*T5),M5/(3.6*AC5)*(AG5+0.5*T5))</f>
        <v>5.4432968487599369E-2</v>
      </c>
      <c r="AI5" s="1" t="str">
        <f t="shared" ref="AI5:AI14" si="23">IF(AH5&lt;=P5,"Ok!","Ruim!")</f>
        <v>Ok!</v>
      </c>
    </row>
    <row r="6" spans="2:35" x14ac:dyDescent="0.35">
      <c r="B6" t="s">
        <v>36</v>
      </c>
      <c r="C6" s="2">
        <v>9.7645097138127994</v>
      </c>
      <c r="D6" s="2">
        <v>16.314</v>
      </c>
      <c r="E6" s="1">
        <v>12</v>
      </c>
      <c r="F6" s="1">
        <v>15</v>
      </c>
      <c r="G6" s="5">
        <f t="shared" si="0"/>
        <v>59.853559604099544</v>
      </c>
      <c r="H6" s="5">
        <f t="shared" si="1"/>
        <v>55.353559604099544</v>
      </c>
      <c r="I6" s="3">
        <f t="shared" si="2"/>
        <v>0.89428277357186781</v>
      </c>
      <c r="J6" s="2">
        <f t="shared" si="3"/>
        <v>3.0227939201474827</v>
      </c>
      <c r="K6" s="1">
        <f t="shared" si="4"/>
        <v>2.25</v>
      </c>
      <c r="L6" s="2">
        <f t="shared" si="5"/>
        <v>3.0227939201474827</v>
      </c>
      <c r="M6" s="1">
        <v>6.3</v>
      </c>
      <c r="N6" s="1">
        <v>10</v>
      </c>
      <c r="O6" s="2">
        <f t="shared" si="6"/>
        <v>3.1172453105244724</v>
      </c>
      <c r="P6" s="1">
        <v>0.2</v>
      </c>
      <c r="Q6" s="1">
        <f t="shared" ref="Q6:R14" si="24">Q5</f>
        <v>5.0000000000000001E-4</v>
      </c>
      <c r="R6" s="3">
        <f>((90-7)/(350*(150/100)^2+90-7))^0.5</f>
        <v>0.30878390734615097</v>
      </c>
      <c r="S6" s="1">
        <v>0</v>
      </c>
      <c r="T6" s="1">
        <f t="shared" si="8"/>
        <v>1.5439195367307549E-4</v>
      </c>
      <c r="U6" s="4">
        <f t="shared" si="9"/>
        <v>903.03797138127993</v>
      </c>
      <c r="V6" s="1">
        <f t="shared" si="10"/>
        <v>2.5977044254370603E-3</v>
      </c>
      <c r="W6" s="3">
        <f t="shared" si="11"/>
        <v>7.2463768115942031</v>
      </c>
      <c r="X6" s="3">
        <f t="shared" si="12"/>
        <v>0.17611766443648363</v>
      </c>
      <c r="Y6" s="1">
        <f t="shared" si="13"/>
        <v>1.4598262924530899E-2</v>
      </c>
      <c r="Z6" s="2">
        <f t="shared" si="14"/>
        <v>32.501102373968557</v>
      </c>
      <c r="AA6" s="3">
        <f t="shared" si="15"/>
        <v>4.2955293422540661</v>
      </c>
      <c r="AB6" s="4">
        <f t="shared" si="16"/>
        <v>429.5529342254066</v>
      </c>
      <c r="AC6" s="1">
        <f t="shared" si="17"/>
        <v>7.256952664392015E-3</v>
      </c>
      <c r="AD6" s="2">
        <f t="shared" si="18"/>
        <v>37.203586838751768</v>
      </c>
      <c r="AE6" s="1">
        <f t="shared" si="19"/>
        <v>0.6</v>
      </c>
      <c r="AF6" s="3">
        <f t="shared" si="20"/>
        <v>0.34627012920203099</v>
      </c>
      <c r="AG6" s="1">
        <f t="shared" si="21"/>
        <v>1.1267604926569648E-4</v>
      </c>
      <c r="AH6" s="3">
        <f t="shared" si="22"/>
        <v>5.3333091500593635E-2</v>
      </c>
      <c r="AI6" s="1" t="str">
        <f t="shared" si="23"/>
        <v>Ok!</v>
      </c>
    </row>
    <row r="7" spans="2:35" x14ac:dyDescent="0.35">
      <c r="B7" t="s">
        <v>37</v>
      </c>
      <c r="C7" s="2">
        <v>3.7780218313232652</v>
      </c>
      <c r="D7" s="2">
        <v>7.8150000000000004</v>
      </c>
      <c r="E7" s="1">
        <f>E6</f>
        <v>12</v>
      </c>
      <c r="F7" s="1">
        <f>F6</f>
        <v>15</v>
      </c>
      <c r="G7" s="5">
        <f t="shared" si="0"/>
        <v>48.343209613861355</v>
      </c>
      <c r="H7" s="5">
        <f t="shared" si="1"/>
        <v>43.843209613861355</v>
      </c>
      <c r="I7" s="3">
        <f t="shared" si="2"/>
        <v>0.33289193013003371</v>
      </c>
      <c r="J7" s="2">
        <f t="shared" si="3"/>
        <v>1.1813153522490758</v>
      </c>
      <c r="K7" s="1">
        <f t="shared" si="4"/>
        <v>2.25</v>
      </c>
      <c r="L7" s="2">
        <f t="shared" si="5"/>
        <v>2.25</v>
      </c>
      <c r="M7" s="1">
        <v>6.3</v>
      </c>
      <c r="N7" s="1">
        <v>13</v>
      </c>
      <c r="O7" s="2">
        <f t="shared" si="6"/>
        <v>2.397881008095748</v>
      </c>
      <c r="P7" s="1">
        <v>0.2</v>
      </c>
      <c r="Q7" s="1">
        <f t="shared" si="24"/>
        <v>5.0000000000000001E-4</v>
      </c>
      <c r="R7" s="3">
        <f t="shared" si="24"/>
        <v>0.30878390734615097</v>
      </c>
      <c r="S7" s="1">
        <v>0</v>
      </c>
      <c r="T7" s="1">
        <f t="shared" si="8"/>
        <v>1.5439195367307549E-4</v>
      </c>
      <c r="U7" s="4">
        <f t="shared" si="9"/>
        <v>342.63468313232647</v>
      </c>
      <c r="V7" s="1">
        <f t="shared" si="10"/>
        <v>1.9982341734131235E-3</v>
      </c>
      <c r="W7" s="3">
        <f t="shared" si="11"/>
        <v>7.2463768115942031</v>
      </c>
      <c r="X7" s="3">
        <f t="shared" si="12"/>
        <v>0.15631109800026174</v>
      </c>
      <c r="Y7" s="1">
        <f t="shared" si="13"/>
        <v>1.1580050684545087E-2</v>
      </c>
      <c r="Z7" s="2">
        <f t="shared" si="14"/>
        <v>17.44232492170336</v>
      </c>
      <c r="AA7" s="3">
        <f t="shared" si="15"/>
        <v>4.3747556079989529</v>
      </c>
      <c r="AB7" s="4">
        <f t="shared" si="16"/>
        <v>437.47556079989528</v>
      </c>
      <c r="AC7" s="1">
        <f t="shared" si="17"/>
        <v>5.4811770598370809E-3</v>
      </c>
      <c r="AD7" s="2">
        <f t="shared" si="18"/>
        <v>48.654529082924476</v>
      </c>
      <c r="AE7" s="1">
        <f t="shared" si="19"/>
        <v>0.6</v>
      </c>
      <c r="AF7" s="3">
        <f t="shared" si="20"/>
        <v>0.34627012920203099</v>
      </c>
      <c r="AG7" s="1">
        <f t="shared" si="21"/>
        <v>0</v>
      </c>
      <c r="AH7" s="3">
        <f t="shared" si="22"/>
        <v>1.1780906791937105E-2</v>
      </c>
      <c r="AI7" s="1" t="str">
        <f t="shared" si="23"/>
        <v>Ok!</v>
      </c>
    </row>
    <row r="8" spans="2:35" x14ac:dyDescent="0.35">
      <c r="B8" t="s">
        <v>38</v>
      </c>
      <c r="C8" s="2">
        <v>1.5253179473684209</v>
      </c>
      <c r="D8" s="2">
        <v>9.6840000000000011</v>
      </c>
      <c r="E8" s="1">
        <f t="shared" ref="E8:F14" si="25">E7</f>
        <v>12</v>
      </c>
      <c r="F8" s="1">
        <f t="shared" si="25"/>
        <v>15</v>
      </c>
      <c r="G8" s="5">
        <f t="shared" si="0"/>
        <v>15.750908171916775</v>
      </c>
      <c r="H8" s="5">
        <f t="shared" si="1"/>
        <v>11.250908171916775</v>
      </c>
      <c r="I8" s="3">
        <f t="shared" si="2"/>
        <v>0.10504893956078565</v>
      </c>
      <c r="J8" s="2">
        <f t="shared" si="3"/>
        <v>0.60518727371096015</v>
      </c>
      <c r="K8" s="1">
        <f t="shared" si="4"/>
        <v>2.25</v>
      </c>
      <c r="L8" s="2">
        <f t="shared" si="5"/>
        <v>2.25</v>
      </c>
      <c r="M8" s="1">
        <f>M7</f>
        <v>6.3</v>
      </c>
      <c r="N8" s="1">
        <v>13</v>
      </c>
      <c r="O8" s="2">
        <f t="shared" si="6"/>
        <v>2.397881008095748</v>
      </c>
      <c r="P8" s="1">
        <v>0.2</v>
      </c>
      <c r="Q8" s="1">
        <f t="shared" si="24"/>
        <v>5.0000000000000001E-4</v>
      </c>
      <c r="R8" s="3">
        <f t="shared" si="24"/>
        <v>0.30878390734615097</v>
      </c>
      <c r="S8" s="1">
        <f t="shared" si="7"/>
        <v>2.0000000000000001E-4</v>
      </c>
      <c r="T8" s="1">
        <f t="shared" si="8"/>
        <v>3.5439195367307553E-4</v>
      </c>
      <c r="U8" s="4">
        <f t="shared" si="9"/>
        <v>108.95379473684207</v>
      </c>
      <c r="V8" s="1">
        <f t="shared" si="10"/>
        <v>1.9982341734131235E-3</v>
      </c>
      <c r="W8" s="3">
        <f t="shared" si="11"/>
        <v>7.2463768115942031</v>
      </c>
      <c r="X8" s="3">
        <f t="shared" si="12"/>
        <v>0.15631109800026174</v>
      </c>
      <c r="Y8" s="1">
        <f t="shared" si="13"/>
        <v>1.1580050684545087E-2</v>
      </c>
      <c r="Z8" s="2">
        <f t="shared" si="14"/>
        <v>11.754275337480042</v>
      </c>
      <c r="AA8" s="3">
        <f t="shared" si="15"/>
        <v>4.3747556079989529</v>
      </c>
      <c r="AB8" s="4">
        <f t="shared" si="16"/>
        <v>437.47556079989528</v>
      </c>
      <c r="AC8" s="1">
        <f t="shared" si="17"/>
        <v>5.4811770598370809E-3</v>
      </c>
      <c r="AD8" s="2">
        <f t="shared" si="18"/>
        <v>48.654529082924476</v>
      </c>
      <c r="AE8" s="1">
        <f t="shared" si="19"/>
        <v>0.6</v>
      </c>
      <c r="AF8" s="3">
        <f t="shared" si="20"/>
        <v>0.34627012920203099</v>
      </c>
      <c r="AG8" s="1">
        <f t="shared" si="21"/>
        <v>0</v>
      </c>
      <c r="AH8" s="3">
        <f t="shared" si="22"/>
        <v>1.8223399548526271E-2</v>
      </c>
      <c r="AI8" s="1" t="str">
        <f t="shared" si="23"/>
        <v>Ok!</v>
      </c>
    </row>
    <row r="9" spans="2:35" x14ac:dyDescent="0.35">
      <c r="B9" t="s">
        <v>39</v>
      </c>
      <c r="C9" s="2">
        <v>3.8430925263157896</v>
      </c>
      <c r="D9" s="2">
        <v>35.556562499999998</v>
      </c>
      <c r="E9" s="1">
        <f t="shared" si="25"/>
        <v>12</v>
      </c>
      <c r="F9" s="1">
        <f t="shared" si="25"/>
        <v>15</v>
      </c>
      <c r="G9" s="5">
        <f t="shared" si="0"/>
        <v>10.808391633234482</v>
      </c>
      <c r="H9" s="5">
        <f t="shared" si="1"/>
        <v>6.308391633234482</v>
      </c>
      <c r="I9" s="3">
        <f t="shared" si="2"/>
        <v>0.21707923764520798</v>
      </c>
      <c r="J9" s="2">
        <f t="shared" si="3"/>
        <v>1.7511225670207213</v>
      </c>
      <c r="K9" s="1">
        <f t="shared" si="4"/>
        <v>2.25</v>
      </c>
      <c r="L9" s="2">
        <f t="shared" si="5"/>
        <v>2.25</v>
      </c>
      <c r="M9" s="1">
        <f t="shared" ref="M9:M14" si="26">M8</f>
        <v>6.3</v>
      </c>
      <c r="N9" s="1">
        <v>13</v>
      </c>
      <c r="O9" s="2">
        <f t="shared" si="6"/>
        <v>2.397881008095748</v>
      </c>
      <c r="P9" s="1">
        <v>0.2</v>
      </c>
      <c r="Q9" s="1">
        <f t="shared" si="24"/>
        <v>5.0000000000000001E-4</v>
      </c>
      <c r="R9" s="3">
        <f t="shared" si="24"/>
        <v>0.30878390734615097</v>
      </c>
      <c r="S9" s="1">
        <f t="shared" si="7"/>
        <v>2.0000000000000001E-4</v>
      </c>
      <c r="T9" s="1">
        <f t="shared" si="8"/>
        <v>3.5439195367307553E-4</v>
      </c>
      <c r="U9" s="4">
        <f t="shared" si="9"/>
        <v>224.30472138157896</v>
      </c>
      <c r="V9" s="1">
        <f t="shared" si="10"/>
        <v>1.9982341734131235E-3</v>
      </c>
      <c r="W9" s="3">
        <f t="shared" si="11"/>
        <v>7.2463768115942031</v>
      </c>
      <c r="X9" s="3">
        <f t="shared" si="12"/>
        <v>0.15631109800026174</v>
      </c>
      <c r="Y9" s="1">
        <f t="shared" si="13"/>
        <v>1.1580050684545087E-2</v>
      </c>
      <c r="Z9" s="2">
        <f t="shared" si="14"/>
        <v>26.773169544887914</v>
      </c>
      <c r="AA9" s="3">
        <f t="shared" si="15"/>
        <v>4.3747556079989529</v>
      </c>
      <c r="AB9" s="4">
        <f t="shared" si="16"/>
        <v>437.47556079989528</v>
      </c>
      <c r="AC9" s="1">
        <f t="shared" si="17"/>
        <v>5.4811770598370809E-3</v>
      </c>
      <c r="AD9" s="2">
        <f t="shared" si="18"/>
        <v>48.654529082924476</v>
      </c>
      <c r="AE9" s="1">
        <f t="shared" si="19"/>
        <v>0.6</v>
      </c>
      <c r="AF9" s="3">
        <f t="shared" si="20"/>
        <v>0.34627012920203099</v>
      </c>
      <c r="AG9" s="1">
        <f t="shared" si="21"/>
        <v>0</v>
      </c>
      <c r="AH9" s="3">
        <f t="shared" si="22"/>
        <v>4.1508145061159213E-2</v>
      </c>
      <c r="AI9" s="1" t="str">
        <f t="shared" si="23"/>
        <v>Ok!</v>
      </c>
    </row>
    <row r="10" spans="2:35" x14ac:dyDescent="0.35">
      <c r="B10" t="s">
        <v>40</v>
      </c>
      <c r="C10" s="2">
        <v>1.9572009545454543</v>
      </c>
      <c r="D10" s="2">
        <v>3.9479999999999991</v>
      </c>
      <c r="E10" s="1">
        <f t="shared" si="25"/>
        <v>12</v>
      </c>
      <c r="F10" s="1">
        <f t="shared" si="25"/>
        <v>15</v>
      </c>
      <c r="G10" s="5">
        <f t="shared" si="0"/>
        <v>49.574492263056101</v>
      </c>
      <c r="H10" s="5">
        <f t="shared" si="1"/>
        <v>45.074492263056101</v>
      </c>
      <c r="I10" s="3">
        <f t="shared" si="2"/>
        <v>0.17196119185945991</v>
      </c>
      <c r="J10" s="2">
        <f t="shared" si="3"/>
        <v>0.60736434840498399</v>
      </c>
      <c r="K10" s="1">
        <f t="shared" si="4"/>
        <v>2.25</v>
      </c>
      <c r="L10" s="2">
        <f t="shared" si="5"/>
        <v>2.25</v>
      </c>
      <c r="M10" s="1">
        <f t="shared" si="26"/>
        <v>6.3</v>
      </c>
      <c r="N10" s="1">
        <v>13</v>
      </c>
      <c r="O10" s="2">
        <f t="shared" si="6"/>
        <v>2.397881008095748</v>
      </c>
      <c r="P10" s="1">
        <v>0.2</v>
      </c>
      <c r="Q10" s="1">
        <f t="shared" si="24"/>
        <v>5.0000000000000001E-4</v>
      </c>
      <c r="R10" s="3">
        <f t="shared" si="24"/>
        <v>0.30878390734615097</v>
      </c>
      <c r="S10" s="1">
        <f t="shared" si="7"/>
        <v>2.0000000000000001E-4</v>
      </c>
      <c r="T10" s="1">
        <f t="shared" si="8"/>
        <v>3.5439195367307553E-4</v>
      </c>
      <c r="U10" s="4">
        <f t="shared" si="9"/>
        <v>177.95409545454544</v>
      </c>
      <c r="V10" s="1">
        <f t="shared" si="10"/>
        <v>1.9982341734131235E-3</v>
      </c>
      <c r="W10" s="3">
        <f t="shared" si="11"/>
        <v>7.2463768115942031</v>
      </c>
      <c r="X10" s="3">
        <f t="shared" si="12"/>
        <v>0.15631109800026174</v>
      </c>
      <c r="Y10" s="1">
        <f t="shared" si="13"/>
        <v>1.1580050684545087E-2</v>
      </c>
      <c r="Z10" s="2">
        <f t="shared" si="14"/>
        <v>11.891934725735565</v>
      </c>
      <c r="AA10" s="3">
        <f t="shared" si="15"/>
        <v>4.3747556079989529</v>
      </c>
      <c r="AB10" s="4">
        <f t="shared" si="16"/>
        <v>437.47556079989528</v>
      </c>
      <c r="AC10" s="1">
        <f t="shared" si="17"/>
        <v>5.4811770598370809E-3</v>
      </c>
      <c r="AD10" s="2">
        <f t="shared" si="18"/>
        <v>48.654529082924476</v>
      </c>
      <c r="AE10" s="1">
        <f t="shared" si="19"/>
        <v>0.6</v>
      </c>
      <c r="AF10" s="3">
        <f t="shared" si="20"/>
        <v>0.34627012920203099</v>
      </c>
      <c r="AG10" s="1">
        <f t="shared" si="21"/>
        <v>0</v>
      </c>
      <c r="AH10" s="3">
        <f t="shared" si="22"/>
        <v>1.8436821640638326E-2</v>
      </c>
      <c r="AI10" s="1" t="str">
        <f t="shared" si="23"/>
        <v>Ok!</v>
      </c>
    </row>
    <row r="11" spans="2:35" x14ac:dyDescent="0.35">
      <c r="B11" t="s">
        <v>41</v>
      </c>
      <c r="C11" s="2">
        <v>1.9572009545454543</v>
      </c>
      <c r="D11" s="2">
        <v>6.9143749999999997</v>
      </c>
      <c r="E11" s="1">
        <f t="shared" si="25"/>
        <v>12</v>
      </c>
      <c r="F11" s="1">
        <f t="shared" si="25"/>
        <v>15</v>
      </c>
      <c r="G11" s="5">
        <f t="shared" si="0"/>
        <v>28.306259850607674</v>
      </c>
      <c r="H11" s="5">
        <f t="shared" si="1"/>
        <v>23.806259850607674</v>
      </c>
      <c r="I11" s="3">
        <f t="shared" si="2"/>
        <v>0.15899291885868583</v>
      </c>
      <c r="J11" s="2">
        <f t="shared" si="3"/>
        <v>0.6666607176694801</v>
      </c>
      <c r="K11" s="1">
        <f t="shared" si="4"/>
        <v>2.25</v>
      </c>
      <c r="L11" s="2">
        <f t="shared" si="5"/>
        <v>2.25</v>
      </c>
      <c r="M11" s="1">
        <f t="shared" si="26"/>
        <v>6.3</v>
      </c>
      <c r="N11" s="1">
        <v>13</v>
      </c>
      <c r="O11" s="2">
        <f t="shared" si="6"/>
        <v>2.397881008095748</v>
      </c>
      <c r="P11" s="1">
        <v>0.2</v>
      </c>
      <c r="Q11" s="1">
        <f t="shared" si="24"/>
        <v>5.0000000000000001E-4</v>
      </c>
      <c r="R11" s="3">
        <f t="shared" si="24"/>
        <v>0.30878390734615097</v>
      </c>
      <c r="S11" s="1">
        <f t="shared" si="7"/>
        <v>2.0000000000000001E-4</v>
      </c>
      <c r="T11" s="1">
        <f t="shared" si="8"/>
        <v>3.5439195367307553E-4</v>
      </c>
      <c r="U11" s="4">
        <f t="shared" si="9"/>
        <v>164.60540795454543</v>
      </c>
      <c r="V11" s="1">
        <f t="shared" si="10"/>
        <v>1.9982341734131235E-3</v>
      </c>
      <c r="W11" s="3">
        <f t="shared" si="11"/>
        <v>7.2463768115942031</v>
      </c>
      <c r="X11" s="3">
        <f t="shared" si="12"/>
        <v>0.15631109800026174</v>
      </c>
      <c r="Y11" s="1">
        <f t="shared" si="13"/>
        <v>1.1580050684545087E-2</v>
      </c>
      <c r="Z11" s="2">
        <f t="shared" si="14"/>
        <v>12.639611024725255</v>
      </c>
      <c r="AA11" s="3">
        <f t="shared" si="15"/>
        <v>4.3747556079989529</v>
      </c>
      <c r="AB11" s="4">
        <f t="shared" si="16"/>
        <v>437.47556079989528</v>
      </c>
      <c r="AC11" s="1">
        <f t="shared" si="17"/>
        <v>5.4811770598370809E-3</v>
      </c>
      <c r="AD11" s="2">
        <f t="shared" si="18"/>
        <v>48.654529082924476</v>
      </c>
      <c r="AE11" s="1">
        <f t="shared" si="19"/>
        <v>0.6</v>
      </c>
      <c r="AF11" s="3">
        <f t="shared" si="20"/>
        <v>0.34627012920203099</v>
      </c>
      <c r="AG11" s="1">
        <f t="shared" si="21"/>
        <v>0</v>
      </c>
      <c r="AH11" s="3">
        <f t="shared" si="22"/>
        <v>1.9595991690535556E-2</v>
      </c>
      <c r="AI11" s="1" t="str">
        <f t="shared" si="23"/>
        <v>Ok!</v>
      </c>
    </row>
    <row r="12" spans="2:35" x14ac:dyDescent="0.35">
      <c r="B12" t="s">
        <v>42</v>
      </c>
      <c r="C12" s="2">
        <v>5.0753025538277505</v>
      </c>
      <c r="D12" s="1">
        <v>0.01</v>
      </c>
      <c r="E12" s="1">
        <f t="shared" si="25"/>
        <v>12</v>
      </c>
      <c r="F12" s="1">
        <f t="shared" si="25"/>
        <v>15</v>
      </c>
      <c r="G12" s="5">
        <f t="shared" si="0"/>
        <v>50753.025538277507</v>
      </c>
      <c r="H12" s="5">
        <f t="shared" si="1"/>
        <v>50748.525538277507</v>
      </c>
      <c r="I12" s="3">
        <f t="shared" si="2"/>
        <v>0.49577703510327142</v>
      </c>
      <c r="J12" s="2">
        <f t="shared" si="3"/>
        <v>1.3849010377112001</v>
      </c>
      <c r="K12" s="1">
        <f t="shared" si="4"/>
        <v>2.25</v>
      </c>
      <c r="L12" s="2">
        <f t="shared" si="5"/>
        <v>2.25</v>
      </c>
      <c r="M12" s="1">
        <f t="shared" si="26"/>
        <v>6.3</v>
      </c>
      <c r="N12" s="1">
        <v>13</v>
      </c>
      <c r="O12" s="2">
        <f t="shared" si="6"/>
        <v>2.397881008095748</v>
      </c>
      <c r="P12" s="1">
        <f>(225-5*240/15)/1000</f>
        <v>0.14499999999999999</v>
      </c>
      <c r="Q12" s="1">
        <f t="shared" si="24"/>
        <v>5.0000000000000001E-4</v>
      </c>
      <c r="R12" s="3">
        <f t="shared" si="24"/>
        <v>0.30878390734615097</v>
      </c>
      <c r="S12" s="1">
        <f t="shared" si="7"/>
        <v>2.0000000000000001E-4</v>
      </c>
      <c r="T12" s="1">
        <f t="shared" si="8"/>
        <v>3.5439195367307553E-4</v>
      </c>
      <c r="U12" s="4">
        <f t="shared" si="9"/>
        <v>507.48525538277505</v>
      </c>
      <c r="V12" s="1">
        <f t="shared" si="10"/>
        <v>1.9982341734131235E-3</v>
      </c>
      <c r="W12" s="3">
        <f t="shared" si="11"/>
        <v>7.2463768115942031</v>
      </c>
      <c r="X12" s="3">
        <f t="shared" si="12"/>
        <v>0.15631109800026174</v>
      </c>
      <c r="Y12" s="1">
        <f t="shared" si="13"/>
        <v>1.1580050684545087E-2</v>
      </c>
      <c r="Z12" s="2">
        <f t="shared" si="14"/>
        <v>22.33131626557013</v>
      </c>
      <c r="AA12" s="3">
        <f t="shared" si="15"/>
        <v>4.3747556079989529</v>
      </c>
      <c r="AB12" s="4">
        <f t="shared" si="16"/>
        <v>437.47556079989528</v>
      </c>
      <c r="AC12" s="1">
        <f t="shared" si="17"/>
        <v>5.4811770598370809E-3</v>
      </c>
      <c r="AD12" s="2">
        <f t="shared" si="18"/>
        <v>48.654529082924476</v>
      </c>
      <c r="AE12" s="1">
        <f t="shared" si="19"/>
        <v>0.6</v>
      </c>
      <c r="AF12" s="3">
        <f t="shared" si="20"/>
        <v>0.34627012920203099</v>
      </c>
      <c r="AG12" s="1">
        <f t="shared" si="21"/>
        <v>0</v>
      </c>
      <c r="AH12" s="3">
        <f t="shared" si="22"/>
        <v>3.4621657828140792E-2</v>
      </c>
      <c r="AI12" s="1" t="str">
        <f t="shared" si="23"/>
        <v>Ok!</v>
      </c>
    </row>
    <row r="13" spans="2:35" x14ac:dyDescent="0.35">
      <c r="B13" t="s">
        <v>43</v>
      </c>
      <c r="C13" s="2">
        <v>13.021593750000003</v>
      </c>
      <c r="D13" s="1">
        <v>0.01</v>
      </c>
      <c r="E13" s="1">
        <f t="shared" si="25"/>
        <v>12</v>
      </c>
      <c r="F13" s="1">
        <f t="shared" si="25"/>
        <v>15</v>
      </c>
      <c r="G13" s="5">
        <f t="shared" si="0"/>
        <v>130215.93750000001</v>
      </c>
      <c r="H13" s="5">
        <f t="shared" si="1"/>
        <v>130211.43750000001</v>
      </c>
      <c r="I13" s="3">
        <f t="shared" si="2"/>
        <v>1.3080874960907718</v>
      </c>
      <c r="J13" s="2">
        <f t="shared" si="3"/>
        <v>3.653477367844514</v>
      </c>
      <c r="K13" s="1">
        <f t="shared" si="4"/>
        <v>2.25</v>
      </c>
      <c r="L13" s="2">
        <f t="shared" si="5"/>
        <v>3.653477367844514</v>
      </c>
      <c r="M13" s="1">
        <f t="shared" si="26"/>
        <v>6.3</v>
      </c>
      <c r="N13" s="1">
        <v>7.5</v>
      </c>
      <c r="O13" s="2">
        <f t="shared" si="6"/>
        <v>4.1563270806992971</v>
      </c>
      <c r="P13" s="1">
        <f>P12</f>
        <v>0.14499999999999999</v>
      </c>
      <c r="Q13" s="1">
        <f t="shared" si="24"/>
        <v>5.0000000000000001E-4</v>
      </c>
      <c r="R13" s="3">
        <f t="shared" si="24"/>
        <v>0.30878390734615097</v>
      </c>
      <c r="S13" s="1">
        <f t="shared" si="7"/>
        <v>2.0000000000000001E-4</v>
      </c>
      <c r="T13" s="1">
        <f t="shared" si="8"/>
        <v>3.5439195367307553E-4</v>
      </c>
      <c r="U13" s="4">
        <f t="shared" si="9"/>
        <v>1302.1143750000001</v>
      </c>
      <c r="V13" s="1">
        <f t="shared" si="10"/>
        <v>3.4636059005827475E-3</v>
      </c>
      <c r="W13" s="3">
        <f t="shared" si="11"/>
        <v>7.2463768115942031</v>
      </c>
      <c r="X13" s="3">
        <f t="shared" si="12"/>
        <v>0.20035012875777727</v>
      </c>
      <c r="Y13" s="1">
        <f t="shared" si="13"/>
        <v>1.8729738871971661E-2</v>
      </c>
      <c r="Z13" s="2">
        <f t="shared" si="14"/>
        <v>31.698882779386025</v>
      </c>
      <c r="AA13" s="3">
        <f t="shared" si="15"/>
        <v>4.1985994849688906</v>
      </c>
      <c r="AB13" s="4">
        <f t="shared" si="16"/>
        <v>419.85994849688905</v>
      </c>
      <c r="AC13" s="1">
        <f t="shared" si="17"/>
        <v>9.8993178453412149E-3</v>
      </c>
      <c r="AD13" s="2">
        <f t="shared" si="18"/>
        <v>27.769181323201838</v>
      </c>
      <c r="AE13" s="1">
        <f t="shared" si="19"/>
        <v>0.38</v>
      </c>
      <c r="AF13" s="3">
        <f t="shared" si="20"/>
        <v>0.461693505602708</v>
      </c>
      <c r="AG13" s="1">
        <f t="shared" si="21"/>
        <v>6.0498870258647445E-4</v>
      </c>
      <c r="AH13" s="3">
        <f t="shared" si="22"/>
        <v>0.13827449632142708</v>
      </c>
      <c r="AI13" s="1" t="str">
        <f t="shared" si="23"/>
        <v>Ok!</v>
      </c>
    </row>
    <row r="14" spans="2:35" x14ac:dyDescent="0.35">
      <c r="B14" t="s">
        <v>44</v>
      </c>
      <c r="C14" s="2">
        <v>5.6890447585227264</v>
      </c>
      <c r="D14" s="1">
        <v>0.01</v>
      </c>
      <c r="E14" s="1">
        <f t="shared" si="25"/>
        <v>12</v>
      </c>
      <c r="F14" s="1">
        <f t="shared" si="25"/>
        <v>15</v>
      </c>
      <c r="G14" s="5">
        <f t="shared" si="0"/>
        <v>56890.447585227266</v>
      </c>
      <c r="H14" s="5">
        <f t="shared" si="1"/>
        <v>56885.947585227266</v>
      </c>
      <c r="I14" s="3">
        <f t="shared" si="2"/>
        <v>0.55688876430666723</v>
      </c>
      <c r="J14" s="2">
        <f t="shared" si="3"/>
        <v>1.5555705403491495</v>
      </c>
      <c r="K14" s="1">
        <f t="shared" si="4"/>
        <v>2.25</v>
      </c>
      <c r="L14" s="2">
        <f t="shared" si="5"/>
        <v>2.25</v>
      </c>
      <c r="M14" s="1">
        <f t="shared" si="26"/>
        <v>6.3</v>
      </c>
      <c r="N14" s="1">
        <v>13</v>
      </c>
      <c r="O14" s="2">
        <f t="shared" si="6"/>
        <v>2.397881008095748</v>
      </c>
      <c r="P14" s="1">
        <f>P13</f>
        <v>0.14499999999999999</v>
      </c>
      <c r="Q14" s="1">
        <f t="shared" si="24"/>
        <v>5.0000000000000001E-4</v>
      </c>
      <c r="R14" s="3">
        <f t="shared" si="24"/>
        <v>0.30878390734615097</v>
      </c>
      <c r="S14" s="1">
        <f t="shared" si="7"/>
        <v>2.0000000000000001E-4</v>
      </c>
      <c r="T14" s="1">
        <f t="shared" si="8"/>
        <v>3.5439195367307553E-4</v>
      </c>
      <c r="U14" s="4">
        <f t="shared" si="9"/>
        <v>568.85947585227268</v>
      </c>
      <c r="V14" s="1">
        <f t="shared" si="10"/>
        <v>1.9982341734131235E-3</v>
      </c>
      <c r="W14" s="3">
        <f t="shared" si="11"/>
        <v>7.2463768115942031</v>
      </c>
      <c r="X14" s="3">
        <f t="shared" si="12"/>
        <v>0.15631109800026174</v>
      </c>
      <c r="Y14" s="1">
        <f t="shared" si="13"/>
        <v>1.1580050684545087E-2</v>
      </c>
      <c r="Z14" s="2">
        <f t="shared" si="14"/>
        <v>24.581491221238075</v>
      </c>
      <c r="AA14" s="3">
        <f t="shared" si="15"/>
        <v>4.3747556079989529</v>
      </c>
      <c r="AB14" s="4">
        <f t="shared" si="16"/>
        <v>437.47556079989528</v>
      </c>
      <c r="AC14" s="1">
        <f t="shared" si="17"/>
        <v>5.4811770598370809E-3</v>
      </c>
      <c r="AD14" s="2">
        <f t="shared" si="18"/>
        <v>48.654529082924476</v>
      </c>
      <c r="AE14" s="1">
        <f t="shared" si="19"/>
        <v>0.6</v>
      </c>
      <c r="AF14" s="3">
        <f t="shared" si="20"/>
        <v>0.34627012920203099</v>
      </c>
      <c r="AG14" s="1">
        <f t="shared" si="21"/>
        <v>0</v>
      </c>
      <c r="AH14" s="3">
        <f t="shared" si="22"/>
        <v>3.8110246966466643E-2</v>
      </c>
      <c r="AI14" s="1" t="str">
        <f t="shared" si="23"/>
        <v>Ok!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Carini</dc:creator>
  <cp:lastModifiedBy>Matheus Carini</cp:lastModifiedBy>
  <dcterms:created xsi:type="dcterms:W3CDTF">2024-11-28T11:33:00Z</dcterms:created>
  <dcterms:modified xsi:type="dcterms:W3CDTF">2024-11-28T11:58:14Z</dcterms:modified>
</cp:coreProperties>
</file>