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\Desktop\Curso Escada\MÓDULO ESCADA RETA BIAPOIADA E AUTOPORTANTE\"/>
    </mc:Choice>
  </mc:AlternateContent>
  <xr:revisionPtr revIDLastSave="0" documentId="13_ncr:1_{406A9DA8-4EFB-43F6-8655-27CBFC65ED8C}" xr6:coauthVersionLast="47" xr6:coauthVersionMax="47" xr10:uidLastSave="{00000000-0000-0000-0000-000000000000}"/>
  <workbookProtection workbookAlgorithmName="SHA-512" workbookHashValue="st1c5wG/UxryoSqezX5leJHzU8TllLUl3odY8mEpmDO7J5kbPUkpAxYqPyzCmEYePBajNCHb+lzCz0UR6ZCgcg==" workbookSaltValue="epKwid4prgMdvKFvgwea+g==" workbookSpinCount="100000" lockStructure="1"/>
  <bookViews>
    <workbookView xWindow="-120" yWindow="-120" windowWidth="20730" windowHeight="11160" xr2:uid="{00000000-000D-0000-FFFF-FFFF00000000}"/>
  </bookViews>
  <sheets>
    <sheet name="Dimensionamento Armadura " sheetId="5" r:id="rId1"/>
    <sheet name="Verificação Cisalhamento " sheetId="4" r:id="rId2"/>
  </sheets>
  <calcPr calcId="191029"/>
</workbook>
</file>

<file path=xl/calcChain.xml><?xml version="1.0" encoding="utf-8"?>
<calcChain xmlns="http://schemas.openxmlformats.org/spreadsheetml/2006/main">
  <c r="N14" i="5" l="1"/>
  <c r="J11" i="4"/>
  <c r="J10" i="4"/>
  <c r="E13" i="5"/>
  <c r="E11" i="5" l="1"/>
  <c r="B12" i="5" l="1"/>
  <c r="C27" i="5"/>
  <c r="L27" i="5" s="1"/>
  <c r="L12" i="5" l="1"/>
  <c r="O13" i="4" l="1"/>
  <c r="L13" i="4"/>
  <c r="M13" i="4" s="1"/>
  <c r="N13" i="4" s="1"/>
  <c r="P13" i="4" l="1"/>
  <c r="G12" i="4" s="1"/>
  <c r="G13" i="4" s="1"/>
  <c r="J12" i="4" l="1"/>
  <c r="I13" i="5" l="1"/>
  <c r="E15" i="5"/>
  <c r="I15" i="5" s="1"/>
  <c r="I10" i="5"/>
  <c r="E10" i="5"/>
  <c r="I11" i="5" l="1"/>
  <c r="I16" i="5" s="1"/>
  <c r="I19" i="5" l="1"/>
  <c r="I12" i="5"/>
  <c r="I17" i="5"/>
  <c r="I18" i="5" s="1"/>
  <c r="K12" i="5" s="1"/>
  <c r="I20" i="5"/>
  <c r="M12" i="5" l="1"/>
  <c r="N12" i="5"/>
  <c r="K18" i="5"/>
  <c r="C35" i="5"/>
  <c r="D35" i="5" s="1"/>
  <c r="C34" i="5"/>
  <c r="D34" i="5" s="1"/>
  <c r="C33" i="5"/>
  <c r="D33" i="5" s="1"/>
  <c r="C32" i="5"/>
  <c r="D32" i="5" s="1"/>
  <c r="C31" i="5"/>
  <c r="D31" i="5" s="1"/>
  <c r="G10" i="4" l="1"/>
  <c r="J13" i="4" s="1"/>
  <c r="G14" i="4" l="1"/>
  <c r="J16" i="4" s="1"/>
  <c r="L25" i="5" l="1"/>
  <c r="L18" i="5" s="1"/>
  <c r="M18" i="5" s="1"/>
  <c r="N20" i="5" s="1"/>
  <c r="N18" i="5" s="1"/>
</calcChain>
</file>

<file path=xl/sharedStrings.xml><?xml version="1.0" encoding="utf-8"?>
<sst xmlns="http://schemas.openxmlformats.org/spreadsheetml/2006/main" count="99" uniqueCount="75">
  <si>
    <t>ᴓ (mm)</t>
  </si>
  <si>
    <t>ᴓ (cm)</t>
  </si>
  <si>
    <t>Área cm²</t>
  </si>
  <si>
    <t>encontrado</t>
  </si>
  <si>
    <t>c/</t>
  </si>
  <si>
    <t>(cm²/m)</t>
  </si>
  <si>
    <t>Armadura Principal</t>
  </si>
  <si>
    <t>Armadura Secundária</t>
  </si>
  <si>
    <t>Domínio</t>
  </si>
  <si>
    <t>Ø</t>
  </si>
  <si>
    <t>k</t>
  </si>
  <si>
    <t>Armadura tracionada no apoio</t>
  </si>
  <si>
    <t>Armadura mínima principal</t>
  </si>
  <si>
    <t>Armadura mínima secundária</t>
  </si>
  <si>
    <t>0,2.As</t>
  </si>
  <si>
    <t>cm²/m</t>
  </si>
  <si>
    <t>Engenheiro Waltner Wagner</t>
  </si>
  <si>
    <t xml:space="preserve">(@eng.waltnerwagner) </t>
  </si>
  <si>
    <t>Preencha apenas as células com essa cor de fundo!</t>
  </si>
  <si>
    <t>(EngenheiroWaltnerWagner)</t>
  </si>
  <si>
    <t>DIMENSIONAMENTO LAJE FLEXÃO SIMPLES</t>
  </si>
  <si>
    <t>DADOS INICIAIS</t>
  </si>
  <si>
    <t>d' (m)</t>
  </si>
  <si>
    <t>Base (m)</t>
  </si>
  <si>
    <t>Altura (m)</t>
  </si>
  <si>
    <t>Altura Útil (m)</t>
  </si>
  <si>
    <t xml:space="preserve">DIMENSIONAMENTO </t>
  </si>
  <si>
    <t>X (m)</t>
  </si>
  <si>
    <t>Z (m)</t>
  </si>
  <si>
    <t>TABELAS AUXILIARES</t>
  </si>
  <si>
    <t xml:space="preserve">VERIFICAÇÃO CISALHAMENTO </t>
  </si>
  <si>
    <t>Ø (mm)</t>
  </si>
  <si>
    <t>S (cm)</t>
  </si>
  <si>
    <t>Altura útil (m)</t>
  </si>
  <si>
    <t>Espaçamento (cm)</t>
  </si>
  <si>
    <t>VERIFICAÇÃO</t>
  </si>
  <si>
    <t>As adotado</t>
  </si>
  <si>
    <t>Armadura Principal e secundária</t>
  </si>
  <si>
    <r>
      <t>K</t>
    </r>
    <r>
      <rPr>
        <b/>
        <vertAlign val="subscript"/>
        <sz val="12"/>
        <color theme="1"/>
        <rFont val="Arial"/>
        <family val="2"/>
      </rPr>
      <t>MD</t>
    </r>
  </si>
  <si>
    <r>
      <t>A</t>
    </r>
    <r>
      <rPr>
        <b/>
        <vertAlign val="subscript"/>
        <sz val="12"/>
        <color theme="1"/>
        <rFont val="Arial"/>
        <family val="2"/>
      </rPr>
      <t>s,calc.</t>
    </r>
  </si>
  <si>
    <r>
      <t>A</t>
    </r>
    <r>
      <rPr>
        <b/>
        <vertAlign val="subscript"/>
        <sz val="12"/>
        <color theme="1"/>
        <rFont val="Arial"/>
        <family val="2"/>
      </rPr>
      <t>s,mín.</t>
    </r>
  </si>
  <si>
    <r>
      <t>A</t>
    </r>
    <r>
      <rPr>
        <b/>
        <vertAlign val="subscript"/>
        <sz val="12"/>
        <color theme="1"/>
        <rFont val="Arial"/>
        <family val="2"/>
      </rPr>
      <t>s,calc.</t>
    </r>
    <r>
      <rPr>
        <b/>
        <sz val="12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Adot</t>
    </r>
  </si>
  <si>
    <r>
      <t>A</t>
    </r>
    <r>
      <rPr>
        <b/>
        <vertAlign val="subscript"/>
        <sz val="12"/>
        <color theme="1"/>
        <rFont val="Arial"/>
        <family val="2"/>
      </rPr>
      <t>s,adot.</t>
    </r>
  </si>
  <si>
    <r>
      <t>K</t>
    </r>
    <r>
      <rPr>
        <b/>
        <vertAlign val="subscript"/>
        <sz val="12"/>
        <color theme="1"/>
        <rFont val="Arial"/>
        <family val="2"/>
      </rPr>
      <t>X</t>
    </r>
  </si>
  <si>
    <r>
      <t>K</t>
    </r>
    <r>
      <rPr>
        <b/>
        <vertAlign val="subscript"/>
        <sz val="12"/>
        <color theme="1"/>
        <rFont val="Arial"/>
        <family val="2"/>
      </rPr>
      <t>X 2-3</t>
    </r>
  </si>
  <si>
    <r>
      <t>K</t>
    </r>
    <r>
      <rPr>
        <b/>
        <vertAlign val="subscript"/>
        <sz val="12"/>
        <color theme="1"/>
        <rFont val="Arial"/>
        <family val="2"/>
      </rPr>
      <t>X, lim.</t>
    </r>
  </si>
  <si>
    <r>
      <t>K</t>
    </r>
    <r>
      <rPr>
        <b/>
        <vertAlign val="subscript"/>
        <sz val="12"/>
        <color theme="1"/>
        <rFont val="Arial"/>
        <family val="2"/>
      </rPr>
      <t>X 3-4</t>
    </r>
  </si>
  <si>
    <r>
      <t>A</t>
    </r>
    <r>
      <rPr>
        <b/>
        <vertAlign val="subscript"/>
        <sz val="12"/>
        <color theme="1"/>
        <rFont val="Arial"/>
        <family val="2"/>
      </rPr>
      <t>s2</t>
    </r>
  </si>
  <si>
    <r>
      <t>A</t>
    </r>
    <r>
      <rPr>
        <b/>
        <vertAlign val="subscript"/>
        <sz val="12"/>
        <color theme="1"/>
        <rFont val="Arial"/>
        <family val="2"/>
      </rPr>
      <t>s2,mín</t>
    </r>
  </si>
  <si>
    <r>
      <t>A</t>
    </r>
    <r>
      <rPr>
        <b/>
        <vertAlign val="subscript"/>
        <sz val="12"/>
        <color theme="1"/>
        <rFont val="Arial"/>
        <family val="2"/>
      </rPr>
      <t>s2,adot.</t>
    </r>
  </si>
  <si>
    <r>
      <t>K</t>
    </r>
    <r>
      <rPr>
        <b/>
        <vertAlign val="subscript"/>
        <sz val="12"/>
        <color theme="1"/>
        <rFont val="Arial"/>
        <family val="2"/>
      </rPr>
      <t>Z</t>
    </r>
  </si>
  <si>
    <t>rmín</t>
  </si>
  <si>
    <t>0,5.rmín</t>
  </si>
  <si>
    <r>
      <t>A</t>
    </r>
    <r>
      <rPr>
        <b/>
        <vertAlign val="subscript"/>
        <sz val="12"/>
        <color theme="1"/>
        <rFont val="Arial"/>
        <family val="2"/>
      </rPr>
      <t>s máx</t>
    </r>
  </si>
  <si>
    <r>
      <t>ε</t>
    </r>
    <r>
      <rPr>
        <b/>
        <vertAlign val="subscript"/>
        <sz val="14"/>
        <color theme="1"/>
        <rFont val="Arial"/>
        <family val="2"/>
      </rPr>
      <t>cu</t>
    </r>
  </si>
  <si>
    <r>
      <t>ε</t>
    </r>
    <r>
      <rPr>
        <b/>
        <vertAlign val="subscript"/>
        <sz val="14"/>
        <color theme="1"/>
        <rFont val="Arial"/>
        <family val="2"/>
      </rPr>
      <t>yd</t>
    </r>
  </si>
  <si>
    <r>
      <t>ε</t>
    </r>
    <r>
      <rPr>
        <b/>
        <vertAlign val="subscript"/>
        <sz val="14"/>
        <color theme="1"/>
        <rFont val="Arial"/>
        <family val="2"/>
      </rPr>
      <t>su</t>
    </r>
  </si>
  <si>
    <r>
      <t>ε</t>
    </r>
    <r>
      <rPr>
        <b/>
        <vertAlign val="subscript"/>
        <sz val="14"/>
        <color theme="1"/>
        <rFont val="Arial"/>
        <family val="2"/>
      </rPr>
      <t>cd</t>
    </r>
  </si>
  <si>
    <r>
      <t>ε</t>
    </r>
    <r>
      <rPr>
        <b/>
        <vertAlign val="subscript"/>
        <sz val="14"/>
        <color theme="1"/>
        <rFont val="Arial"/>
        <family val="2"/>
      </rPr>
      <t>sd</t>
    </r>
  </si>
  <si>
    <r>
      <t>γ</t>
    </r>
    <r>
      <rPr>
        <b/>
        <vertAlign val="subscript"/>
        <sz val="14"/>
        <color theme="1"/>
        <rFont val="Arial"/>
        <family val="2"/>
      </rPr>
      <t>c</t>
    </r>
  </si>
  <si>
    <r>
      <t>γ</t>
    </r>
    <r>
      <rPr>
        <b/>
        <vertAlign val="subscript"/>
        <sz val="14"/>
        <color theme="1"/>
        <rFont val="Arial"/>
        <family val="2"/>
      </rPr>
      <t>s</t>
    </r>
  </si>
  <si>
    <r>
      <t>f</t>
    </r>
    <r>
      <rPr>
        <b/>
        <vertAlign val="subscript"/>
        <sz val="12"/>
        <color theme="1"/>
        <rFont val="Arial"/>
        <family val="2"/>
      </rPr>
      <t>ck</t>
    </r>
    <r>
      <rPr>
        <b/>
        <sz val="12"/>
        <color theme="1"/>
        <rFont val="Arial"/>
        <family val="2"/>
      </rPr>
      <t xml:space="preserve"> (MPa)</t>
    </r>
  </si>
  <si>
    <r>
      <t>f</t>
    </r>
    <r>
      <rPr>
        <b/>
        <vertAlign val="subscript"/>
        <sz val="12"/>
        <color theme="1"/>
        <rFont val="Arial"/>
        <family val="2"/>
      </rPr>
      <t>yk</t>
    </r>
    <r>
      <rPr>
        <b/>
        <sz val="12"/>
        <color theme="1"/>
        <rFont val="Arial"/>
        <family val="2"/>
      </rPr>
      <t xml:space="preserve"> (MPa)</t>
    </r>
  </si>
  <si>
    <r>
      <t>M</t>
    </r>
    <r>
      <rPr>
        <b/>
        <vertAlign val="subscript"/>
        <sz val="12"/>
        <color theme="1"/>
        <rFont val="Arial"/>
        <family val="2"/>
      </rPr>
      <t>d</t>
    </r>
    <r>
      <rPr>
        <b/>
        <sz val="12"/>
        <color theme="1"/>
        <rFont val="Arial"/>
        <family val="2"/>
      </rPr>
      <t xml:space="preserve"> (Tf.m/m)</t>
    </r>
  </si>
  <si>
    <r>
      <t>f</t>
    </r>
    <r>
      <rPr>
        <b/>
        <vertAlign val="subscript"/>
        <sz val="12"/>
        <color theme="1"/>
        <rFont val="Arial"/>
        <family val="2"/>
      </rPr>
      <t>cd</t>
    </r>
    <r>
      <rPr>
        <b/>
        <sz val="12"/>
        <color theme="1"/>
        <rFont val="Arial"/>
        <family val="2"/>
      </rPr>
      <t xml:space="preserve"> (tf/m²)</t>
    </r>
  </si>
  <si>
    <r>
      <t>f</t>
    </r>
    <r>
      <rPr>
        <b/>
        <vertAlign val="subscript"/>
        <sz val="12"/>
        <color theme="1"/>
        <rFont val="Arial"/>
        <family val="2"/>
      </rPr>
      <t>yd</t>
    </r>
    <r>
      <rPr>
        <b/>
        <sz val="12"/>
        <color theme="1"/>
        <rFont val="Arial"/>
        <family val="2"/>
      </rPr>
      <t xml:space="preserve"> (tf/cm²)</t>
    </r>
  </si>
  <si>
    <t>fck (MPa)</t>
  </si>
  <si>
    <r>
      <t>E</t>
    </r>
    <r>
      <rPr>
        <b/>
        <vertAlign val="subscript"/>
        <sz val="12"/>
        <color theme="1"/>
        <rFont val="Arial"/>
        <family val="2"/>
      </rPr>
      <t>s</t>
    </r>
    <r>
      <rPr>
        <b/>
        <sz val="12"/>
        <color theme="1"/>
        <rFont val="Arial"/>
        <family val="2"/>
      </rPr>
      <t xml:space="preserve"> (tf/cm²)</t>
    </r>
  </si>
  <si>
    <r>
      <t>f</t>
    </r>
    <r>
      <rPr>
        <b/>
        <vertAlign val="subscript"/>
        <sz val="12"/>
        <color theme="1"/>
        <rFont val="Arial"/>
        <family val="2"/>
      </rPr>
      <t>ctd</t>
    </r>
    <r>
      <rPr>
        <b/>
        <sz val="12"/>
        <color theme="1"/>
        <rFont val="Arial"/>
        <family val="2"/>
      </rPr>
      <t xml:space="preserve"> (tf/m²)</t>
    </r>
  </si>
  <si>
    <r>
      <t>A</t>
    </r>
    <r>
      <rPr>
        <b/>
        <vertAlign val="subscript"/>
        <sz val="12"/>
        <color theme="1"/>
        <rFont val="Arial"/>
        <family val="2"/>
      </rPr>
      <t xml:space="preserve">s </t>
    </r>
    <r>
      <rPr>
        <b/>
        <sz val="12"/>
        <color theme="1"/>
        <rFont val="Arial"/>
        <family val="2"/>
      </rPr>
      <t>(cm²/m)</t>
    </r>
  </si>
  <si>
    <r>
      <t>t</t>
    </r>
    <r>
      <rPr>
        <b/>
        <vertAlign val="subscript"/>
        <sz val="12"/>
        <color theme="1"/>
        <rFont val="Arial"/>
        <family val="2"/>
      </rPr>
      <t>Rd</t>
    </r>
    <r>
      <rPr>
        <b/>
        <sz val="12"/>
        <color theme="1"/>
        <rFont val="Arial"/>
        <family val="2"/>
      </rPr>
      <t xml:space="preserve"> (tf/m²)</t>
    </r>
  </si>
  <si>
    <r>
      <t>V</t>
    </r>
    <r>
      <rPr>
        <b/>
        <vertAlign val="subscript"/>
        <sz val="12"/>
        <color theme="1"/>
        <rFont val="Arial"/>
        <family val="2"/>
      </rPr>
      <t>Sd</t>
    </r>
    <r>
      <rPr>
        <b/>
        <sz val="12"/>
        <color theme="1"/>
        <rFont val="Arial"/>
        <family val="2"/>
      </rPr>
      <t xml:space="preserve"> (Tf)</t>
    </r>
  </si>
  <si>
    <r>
      <t>V</t>
    </r>
    <r>
      <rPr>
        <b/>
        <vertAlign val="subscript"/>
        <sz val="10"/>
        <color theme="1"/>
        <rFont val="Arial"/>
        <family val="2"/>
      </rPr>
      <t>sd ≤</t>
    </r>
    <r>
      <rPr>
        <b/>
        <sz val="10"/>
        <color theme="1"/>
        <rFont val="Arial"/>
        <family val="2"/>
      </rPr>
      <t xml:space="preserve"> V</t>
    </r>
    <r>
      <rPr>
        <b/>
        <vertAlign val="subscript"/>
        <sz val="10"/>
        <color theme="1"/>
        <rFont val="Arial"/>
        <family val="2"/>
      </rPr>
      <t>Rd1</t>
    </r>
  </si>
  <si>
    <t xml:space="preserve"> ρ1</t>
  </si>
  <si>
    <r>
      <t>V</t>
    </r>
    <r>
      <rPr>
        <b/>
        <vertAlign val="subscript"/>
        <sz val="12"/>
        <color theme="1"/>
        <rFont val="Arial"/>
        <family val="2"/>
      </rPr>
      <t>Rd1</t>
    </r>
    <r>
      <rPr>
        <b/>
        <sz val="12"/>
        <color theme="1"/>
        <rFont val="Arial"/>
        <family val="2"/>
      </rPr>
      <t xml:space="preserve"> (tf)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</si>
</sst>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vertAlign val="subscript"/>
      <sz val="12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vertAlign val="subscript"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vertAlign val="subscript"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776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4" fillId="0" borderId="11" xfId="0" applyFont="1" applyBorder="1"/>
    <xf numFmtId="0" fontId="6" fillId="0" borderId="13" xfId="1" applyFont="1" applyBorder="1" applyAlignment="1">
      <alignment horizontal="left" vertical="center"/>
    </xf>
    <xf numFmtId="0" fontId="8" fillId="0" borderId="0" xfId="0" applyFont="1"/>
    <xf numFmtId="0" fontId="4" fillId="0" borderId="9" xfId="0" applyFont="1" applyBorder="1"/>
    <xf numFmtId="0" fontId="6" fillId="0" borderId="10" xfId="1" applyFont="1" applyBorder="1" applyAlignment="1">
      <alignment horizontal="left" vertical="center"/>
    </xf>
    <xf numFmtId="0" fontId="4" fillId="0" borderId="14" xfId="0" applyFont="1" applyBorder="1"/>
    <xf numFmtId="0" fontId="4" fillId="0" borderId="16" xfId="0" applyFont="1" applyBorder="1"/>
    <xf numFmtId="0" fontId="1" fillId="4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166" fontId="5" fillId="0" borderId="19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0" fillId="3" borderId="21" xfId="0" applyFont="1" applyFill="1" applyBorder="1" applyAlignment="1" applyProtection="1">
      <alignment horizontal="center" vertical="center" wrapText="1"/>
      <protection locked="0"/>
    </xf>
    <xf numFmtId="3" fontId="5" fillId="0" borderId="21" xfId="0" applyNumberFormat="1" applyFont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7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4" borderId="22" xfId="0" applyFont="1" applyFill="1" applyBorder="1" applyAlignment="1">
      <alignment horizontal="center" vertical="center"/>
    </xf>
    <xf numFmtId="2" fontId="10" fillId="3" borderId="23" xfId="0" applyNumberFormat="1" applyFont="1" applyFill="1" applyBorder="1" applyAlignment="1" applyProtection="1">
      <alignment horizontal="center" vertical="center" wrapText="1"/>
      <protection locked="0"/>
    </xf>
    <xf numFmtId="165" fontId="5" fillId="0" borderId="21" xfId="0" applyNumberFormat="1" applyFont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4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7" fillId="3" borderId="1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2" fontId="5" fillId="0" borderId="23" xfId="0" applyNumberFormat="1" applyFont="1" applyBorder="1" applyAlignment="1">
      <alignment horizontal="center" vertical="center"/>
    </xf>
    <xf numFmtId="164" fontId="10" fillId="7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0" fillId="3" borderId="19" xfId="0" applyFont="1" applyFill="1" applyBorder="1" applyAlignment="1" applyProtection="1">
      <alignment horizontal="center" vertical="center" wrapText="1"/>
      <protection locked="0"/>
    </xf>
    <xf numFmtId="3" fontId="5" fillId="7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10" fillId="7" borderId="21" xfId="0" applyNumberFormat="1" applyFont="1" applyFill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2" fontId="5" fillId="0" borderId="35" xfId="0" applyNumberFormat="1" applyFont="1" applyBorder="1" applyAlignment="1">
      <alignment horizontal="center" vertical="center"/>
    </xf>
    <xf numFmtId="164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3" xfId="0" applyFont="1" applyFill="1" applyBorder="1" applyAlignment="1" applyProtection="1">
      <alignment horizontal="center" vertical="center" wrapText="1"/>
      <protection locked="0"/>
    </xf>
    <xf numFmtId="0" fontId="20" fillId="4" borderId="20" xfId="0" applyFont="1" applyFill="1" applyBorder="1" applyAlignment="1">
      <alignment horizontal="center" vertical="center"/>
    </xf>
    <xf numFmtId="164" fontId="5" fillId="7" borderId="21" xfId="0" applyNumberFormat="1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7" fillId="3" borderId="11" xfId="0" applyNumberFormat="1" applyFont="1" applyFill="1" applyBorder="1" applyAlignment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 wrapText="1"/>
    </xf>
    <xf numFmtId="49" fontId="7" fillId="3" borderId="13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16" xfId="0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71871</xdr:colOff>
      <xdr:row>3</xdr:row>
      <xdr:rowOff>17318</xdr:rowOff>
    </xdr:from>
    <xdr:to>
      <xdr:col>0</xdr:col>
      <xdr:colOff>939799</xdr:colOff>
      <xdr:row>5</xdr:row>
      <xdr:rowOff>276225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AF238D-8B25-43C0-B5E5-96D58F3EA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71" y="579293"/>
          <a:ext cx="867928" cy="811357"/>
        </a:xfrm>
        <a:prstGeom prst="rect">
          <a:avLst/>
        </a:prstGeom>
      </xdr:spPr>
    </xdr:pic>
    <xdr:clientData/>
  </xdr:twoCellAnchor>
  <xdr:twoCellAnchor editAs="oneCell">
    <xdr:from>
      <xdr:col>0</xdr:col>
      <xdr:colOff>1458649</xdr:colOff>
      <xdr:row>3</xdr:row>
      <xdr:rowOff>47625</xdr:rowOff>
    </xdr:from>
    <xdr:to>
      <xdr:col>0</xdr:col>
      <xdr:colOff>1647824</xdr:colOff>
      <xdr:row>3</xdr:row>
      <xdr:rowOff>242835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1CBA8BC-045A-43D3-B630-AB1AC900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649" y="609600"/>
          <a:ext cx="189175" cy="195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1428750</xdr:colOff>
      <xdr:row>4</xdr:row>
      <xdr:rowOff>38100</xdr:rowOff>
    </xdr:from>
    <xdr:to>
      <xdr:col>0</xdr:col>
      <xdr:colOff>1666874</xdr:colOff>
      <xdr:row>4</xdr:row>
      <xdr:rowOff>276224</xdr:rowOff>
    </xdr:to>
    <xdr:pic>
      <xdr:nvPicPr>
        <xdr:cNvPr id="6" name="Imagem 5" descr="Youtube - ícones de mídia social grátis">
          <a:extLst>
            <a:ext uri="{FF2B5EF4-FFF2-40B4-BE49-F238E27FC236}">
              <a16:creationId xmlns:a16="http://schemas.microsoft.com/office/drawing/2014/main" id="{CE120638-47C2-4D17-9904-B5ED0F9B2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57250"/>
          <a:ext cx="238124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71871</xdr:colOff>
      <xdr:row>3</xdr:row>
      <xdr:rowOff>0</xdr:rowOff>
    </xdr:from>
    <xdr:to>
      <xdr:col>0</xdr:col>
      <xdr:colOff>939799</xdr:colOff>
      <xdr:row>6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67CBE8-26BD-4B70-A77B-BA5F8CAAA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71" y="561975"/>
          <a:ext cx="867928" cy="8667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1428750</xdr:colOff>
      <xdr:row>3</xdr:row>
      <xdr:rowOff>38100</xdr:rowOff>
    </xdr:from>
    <xdr:to>
      <xdr:col>0</xdr:col>
      <xdr:colOff>1617925</xdr:colOff>
      <xdr:row>3</xdr:row>
      <xdr:rowOff>233310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418A4BA-B234-49ED-B312-44DDB5E1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600075"/>
          <a:ext cx="189175" cy="195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1400175</xdr:colOff>
      <xdr:row>4</xdr:row>
      <xdr:rowOff>38100</xdr:rowOff>
    </xdr:from>
    <xdr:to>
      <xdr:col>0</xdr:col>
      <xdr:colOff>1638299</xdr:colOff>
      <xdr:row>4</xdr:row>
      <xdr:rowOff>276224</xdr:rowOff>
    </xdr:to>
    <xdr:pic>
      <xdr:nvPicPr>
        <xdr:cNvPr id="6" name="Imagem 5" descr="Youtube - ícones de mídia social grátis">
          <a:extLst>
            <a:ext uri="{FF2B5EF4-FFF2-40B4-BE49-F238E27FC236}">
              <a16:creationId xmlns:a16="http://schemas.microsoft.com/office/drawing/2014/main" id="{EAAC2571-FE11-49F3-8893-DB9764E3C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857250"/>
          <a:ext cx="238124" cy="238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EngenheiroWaltnerWagner" TargetMode="External"/><Relationship Id="rId1" Type="http://schemas.openxmlformats.org/officeDocument/2006/relationships/hyperlink" Target="https://www.instagram.com/eng.waltnerwagne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youtube.com/c/EngenheiroWaltnerWagner" TargetMode="External"/><Relationship Id="rId1" Type="http://schemas.openxmlformats.org/officeDocument/2006/relationships/hyperlink" Target="https://www.instagram.com/eng.waltnerwagner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5"/>
  <sheetViews>
    <sheetView showGridLines="0" tabSelected="1" topLeftCell="A4" zoomScale="87" zoomScaleNormal="87" workbookViewId="0">
      <selection activeCell="N14" sqref="N14"/>
    </sheetView>
  </sheetViews>
  <sheetFormatPr defaultRowHeight="15" x14ac:dyDescent="0.25"/>
  <cols>
    <col min="1" max="1" width="26" style="12" customWidth="1"/>
    <col min="2" max="2" width="27.5703125" style="12" customWidth="1"/>
    <col min="3" max="3" width="12.85546875" style="12" customWidth="1"/>
    <col min="4" max="4" width="16.140625" style="12" customWidth="1"/>
    <col min="5" max="5" width="14.28515625" style="12" customWidth="1"/>
    <col min="6" max="11" width="9.140625" style="12"/>
    <col min="12" max="12" width="10.85546875" style="12" customWidth="1"/>
    <col min="13" max="13" width="12" style="12" customWidth="1"/>
    <col min="14" max="16384" width="9.140625" style="12"/>
  </cols>
  <sheetData>
    <row r="1" spans="1:17" s="2" customFormat="1" ht="15" customHeight="1" x14ac:dyDescent="0.2">
      <c r="A1" s="94" t="s">
        <v>20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s="2" customFormat="1" ht="15" customHeight="1" thickBot="1" x14ac:dyDescent="0.25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17" s="2" customFormat="1" ht="14.25" customHeight="1" thickBot="1" x14ac:dyDescent="0.3">
      <c r="A3" s="92" t="s">
        <v>16</v>
      </c>
      <c r="B3" s="93"/>
      <c r="C3" s="3"/>
    </row>
    <row r="4" spans="1:17" s="2" customFormat="1" ht="20.25" customHeight="1" x14ac:dyDescent="0.2">
      <c r="A4" s="4"/>
      <c r="B4" s="5" t="s">
        <v>17</v>
      </c>
      <c r="D4" s="96" t="s">
        <v>18</v>
      </c>
      <c r="E4" s="97"/>
      <c r="F4" s="97"/>
      <c r="G4" s="97"/>
      <c r="H4" s="97"/>
      <c r="I4" s="97"/>
      <c r="J4" s="97"/>
      <c r="K4" s="97"/>
      <c r="L4" s="98"/>
      <c r="O4" s="6"/>
    </row>
    <row r="5" spans="1:17" s="2" customFormat="1" ht="23.25" customHeight="1" thickBot="1" x14ac:dyDescent="0.25">
      <c r="A5" s="7"/>
      <c r="B5" s="8" t="s">
        <v>19</v>
      </c>
      <c r="D5" s="99"/>
      <c r="E5" s="100"/>
      <c r="F5" s="100"/>
      <c r="G5" s="100"/>
      <c r="H5" s="100"/>
      <c r="I5" s="100"/>
      <c r="J5" s="100"/>
      <c r="K5" s="100"/>
      <c r="L5" s="101"/>
      <c r="M5" s="6"/>
    </row>
    <row r="6" spans="1:17" s="2" customFormat="1" ht="24" customHeight="1" thickBot="1" x14ac:dyDescent="0.25">
      <c r="A6" s="9"/>
      <c r="B6" s="10"/>
      <c r="E6" s="6"/>
    </row>
    <row r="7" spans="1:17" s="2" customFormat="1" ht="24" customHeight="1" x14ac:dyDescent="0.2"/>
    <row r="8" spans="1:17" s="2" customFormat="1" ht="24" customHeight="1" x14ac:dyDescent="0.2">
      <c r="A8" s="91" t="s">
        <v>21</v>
      </c>
      <c r="B8" s="91"/>
      <c r="C8" s="91"/>
      <c r="D8" s="91"/>
      <c r="E8" s="91"/>
      <c r="G8" s="91" t="s">
        <v>26</v>
      </c>
      <c r="H8" s="91"/>
      <c r="I8" s="91"/>
      <c r="J8" s="91"/>
      <c r="K8" s="91"/>
      <c r="L8" s="91"/>
      <c r="M8" s="91"/>
      <c r="N8" s="91"/>
      <c r="O8" s="91"/>
      <c r="P8" s="91"/>
      <c r="Q8" s="91"/>
    </row>
    <row r="9" spans="1:17" s="2" customFormat="1" ht="27.75" customHeight="1" thickBot="1" x14ac:dyDescent="0.25"/>
    <row r="10" spans="1:17" ht="22.5" customHeight="1" x14ac:dyDescent="0.25">
      <c r="A10" s="11" t="s">
        <v>23</v>
      </c>
      <c r="B10" s="65">
        <v>1</v>
      </c>
      <c r="D10" s="11" t="s">
        <v>25</v>
      </c>
      <c r="E10" s="13">
        <f>B11-B12</f>
        <v>0.09</v>
      </c>
      <c r="H10" s="14" t="s">
        <v>38</v>
      </c>
      <c r="I10" s="15">
        <f>B15/(B10*(E10^2)*E11)</f>
        <v>1.6592592592592593E-2</v>
      </c>
      <c r="K10" s="16" t="s">
        <v>39</v>
      </c>
      <c r="L10" s="16" t="s">
        <v>40</v>
      </c>
      <c r="M10" s="16" t="s">
        <v>41</v>
      </c>
      <c r="N10" s="16" t="s">
        <v>42</v>
      </c>
    </row>
    <row r="11" spans="1:17" ht="15.75" customHeight="1" x14ac:dyDescent="0.25">
      <c r="A11" s="17" t="s">
        <v>24</v>
      </c>
      <c r="B11" s="18">
        <v>0.12</v>
      </c>
      <c r="D11" s="17" t="s">
        <v>64</v>
      </c>
      <c r="E11" s="19">
        <f>B13/E17*100</f>
        <v>1785.7142857142858</v>
      </c>
      <c r="H11" s="20" t="s">
        <v>43</v>
      </c>
      <c r="I11" s="21">
        <f>(1-(1-((2*I10)/0.85))^(1/2))/0.8</f>
        <v>2.4643798175092851E-2</v>
      </c>
      <c r="K11" s="22" t="s">
        <v>5</v>
      </c>
      <c r="L11" s="22" t="s">
        <v>5</v>
      </c>
      <c r="M11" s="22" t="s">
        <v>5</v>
      </c>
      <c r="N11" s="22" t="s">
        <v>5</v>
      </c>
    </row>
    <row r="12" spans="1:17" ht="19.5" customHeight="1" x14ac:dyDescent="0.25">
      <c r="A12" s="17" t="s">
        <v>22</v>
      </c>
      <c r="B12" s="18">
        <f>0.03</f>
        <v>0.03</v>
      </c>
      <c r="D12" s="23" t="s">
        <v>54</v>
      </c>
      <c r="E12" s="24">
        <v>3.5000000000000001E-3</v>
      </c>
      <c r="H12" s="20" t="s">
        <v>27</v>
      </c>
      <c r="I12" s="21">
        <f>I11*E10</f>
        <v>2.2179418357583564E-3</v>
      </c>
      <c r="K12" s="25">
        <f>B15/(I18*E13)</f>
        <v>0.6194394698439416</v>
      </c>
      <c r="L12" s="25">
        <f>B11*C27</f>
        <v>1.7999999999999998</v>
      </c>
      <c r="M12" s="25">
        <f>MAX(K12,L12)</f>
        <v>1.7999999999999998</v>
      </c>
      <c r="N12" s="25">
        <f>(100/N14)*VLOOKUP(L14,B30:D35,3,)</f>
        <v>1.8336737120732192</v>
      </c>
    </row>
    <row r="13" spans="1:17" ht="19.5" thickBot="1" x14ac:dyDescent="0.3">
      <c r="A13" s="17" t="s">
        <v>61</v>
      </c>
      <c r="B13" s="18">
        <v>25</v>
      </c>
      <c r="D13" s="17" t="s">
        <v>65</v>
      </c>
      <c r="E13" s="26">
        <f>B14/E18/100</f>
        <v>4.3478260869565215</v>
      </c>
      <c r="H13" s="20" t="s">
        <v>44</v>
      </c>
      <c r="I13" s="21">
        <f>E12/(E12+E16)</f>
        <v>0.25925925925925924</v>
      </c>
      <c r="K13" s="90" t="s">
        <v>6</v>
      </c>
      <c r="L13" s="90"/>
      <c r="M13" s="90"/>
      <c r="N13" s="27"/>
    </row>
    <row r="14" spans="1:17" ht="22.5" customHeight="1" thickBot="1" x14ac:dyDescent="0.3">
      <c r="A14" s="17" t="s">
        <v>62</v>
      </c>
      <c r="B14" s="18">
        <v>500</v>
      </c>
      <c r="D14" s="17" t="s">
        <v>67</v>
      </c>
      <c r="E14" s="19">
        <v>2100</v>
      </c>
      <c r="H14" s="20" t="s">
        <v>45</v>
      </c>
      <c r="I14" s="26">
        <v>0.45</v>
      </c>
      <c r="K14" s="66" t="s">
        <v>9</v>
      </c>
      <c r="L14" s="28">
        <v>6.3</v>
      </c>
      <c r="M14" s="29" t="s">
        <v>4</v>
      </c>
      <c r="N14" s="30">
        <f>INT(MIN(VLOOKUP(L14,B30:D35,3,FALSE)/M12*100,20,2*B11*100))</f>
        <v>17</v>
      </c>
    </row>
    <row r="15" spans="1:17" ht="21.75" thickBot="1" x14ac:dyDescent="0.3">
      <c r="A15" s="31" t="s">
        <v>63</v>
      </c>
      <c r="B15" s="32">
        <v>0.24</v>
      </c>
      <c r="D15" s="23" t="s">
        <v>55</v>
      </c>
      <c r="E15" s="33">
        <f>E13/E14</f>
        <v>2.0703933747412005E-3</v>
      </c>
      <c r="H15" s="20" t="s">
        <v>46</v>
      </c>
      <c r="I15" s="21">
        <f>E12/(E12+E15)</f>
        <v>0.62832187325775879</v>
      </c>
    </row>
    <row r="16" spans="1:17" ht="21" x14ac:dyDescent="0.25">
      <c r="D16" s="23" t="s">
        <v>56</v>
      </c>
      <c r="E16" s="24">
        <v>0.01</v>
      </c>
      <c r="H16" s="34" t="s">
        <v>8</v>
      </c>
      <c r="I16" s="24">
        <f>IF(I11&lt;=I13,2,IF(I11&gt;I15,4,3))</f>
        <v>2</v>
      </c>
      <c r="K16" s="16" t="s">
        <v>47</v>
      </c>
      <c r="L16" s="16" t="s">
        <v>48</v>
      </c>
      <c r="M16" s="16" t="s">
        <v>53</v>
      </c>
      <c r="N16" s="16" t="s">
        <v>49</v>
      </c>
    </row>
    <row r="17" spans="1:17" ht="21" x14ac:dyDescent="0.25">
      <c r="D17" s="23" t="s">
        <v>59</v>
      </c>
      <c r="E17" s="24">
        <v>1.4</v>
      </c>
      <c r="H17" s="20" t="s">
        <v>50</v>
      </c>
      <c r="I17" s="21">
        <f>1-0.4*I11</f>
        <v>0.9901424807299628</v>
      </c>
      <c r="K17" s="22" t="s">
        <v>5</v>
      </c>
      <c r="L17" s="22" t="s">
        <v>5</v>
      </c>
      <c r="M17" s="22" t="s">
        <v>5</v>
      </c>
      <c r="N17" s="22" t="s">
        <v>5</v>
      </c>
    </row>
    <row r="18" spans="1:17" ht="21.75" thickBot="1" x14ac:dyDescent="0.3">
      <c r="D18" s="36" t="s">
        <v>60</v>
      </c>
      <c r="E18" s="37">
        <v>1.1499999999999999</v>
      </c>
      <c r="H18" s="20" t="s">
        <v>28</v>
      </c>
      <c r="I18" s="21">
        <f>I17*E10</f>
        <v>8.9112823265696653E-2</v>
      </c>
      <c r="K18" s="25">
        <f>0.2*K12</f>
        <v>0.12388789396878833</v>
      </c>
      <c r="L18" s="25">
        <f>LARGE(L25:L27,1)</f>
        <v>0.9</v>
      </c>
      <c r="M18" s="67">
        <f>MAX(K18,L18)</f>
        <v>0.9</v>
      </c>
      <c r="N18" s="25">
        <f>(100/N20)*VLOOKUP(L20,B30:D35,3,)</f>
        <v>1.6755160819145565</v>
      </c>
      <c r="O18" s="38"/>
      <c r="P18" s="35"/>
    </row>
    <row r="19" spans="1:17" ht="21.75" thickBot="1" x14ac:dyDescent="0.3">
      <c r="H19" s="39" t="s">
        <v>57</v>
      </c>
      <c r="I19" s="24">
        <f>IF(I11&gt;=I13,E12,E16*(I11/(1-I11)))</f>
        <v>2.5266459708754514E-4</v>
      </c>
      <c r="K19" s="90" t="s">
        <v>7</v>
      </c>
      <c r="L19" s="90"/>
      <c r="M19" s="90"/>
      <c r="N19" s="27"/>
    </row>
    <row r="20" spans="1:17" ht="18.75" customHeight="1" thickBot="1" x14ac:dyDescent="0.3">
      <c r="H20" s="36" t="s">
        <v>58</v>
      </c>
      <c r="I20" s="37">
        <f>IF(I11&lt;=I13,E16,E12*((1-I11)/I11))</f>
        <v>0.01</v>
      </c>
      <c r="K20" s="40" t="s">
        <v>9</v>
      </c>
      <c r="L20" s="41">
        <v>8</v>
      </c>
      <c r="M20" s="29" t="s">
        <v>4</v>
      </c>
      <c r="N20" s="30">
        <f>INT(MIN(VLOOKUP(L20,B30:D35,3,FALSE)/M18*100,30))</f>
        <v>30</v>
      </c>
    </row>
    <row r="21" spans="1:17" ht="18.75" customHeight="1" x14ac:dyDescent="0.25">
      <c r="K21" s="1"/>
      <c r="M21" s="38"/>
      <c r="N21" s="35"/>
    </row>
    <row r="22" spans="1:17" ht="18.75" customHeight="1" x14ac:dyDescent="0.25">
      <c r="A22" s="91" t="s">
        <v>29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</row>
    <row r="23" spans="1:17" ht="15.75" thickBot="1" x14ac:dyDescent="0.3"/>
    <row r="24" spans="1:17" ht="15.75" x14ac:dyDescent="0.25">
      <c r="B24" s="87" t="s">
        <v>12</v>
      </c>
      <c r="C24" s="88"/>
      <c r="D24" s="88"/>
      <c r="E24" s="88"/>
      <c r="F24" s="88"/>
      <c r="G24" s="88"/>
      <c r="H24" s="88"/>
      <c r="I24" s="89"/>
      <c r="J24" s="35"/>
      <c r="K24" s="87" t="s">
        <v>13</v>
      </c>
      <c r="L24" s="88"/>
      <c r="M24" s="89"/>
    </row>
    <row r="25" spans="1:17" ht="15.75" x14ac:dyDescent="0.25">
      <c r="B25" s="42" t="s">
        <v>66</v>
      </c>
      <c r="C25" s="43">
        <v>20</v>
      </c>
      <c r="D25" s="43">
        <v>25</v>
      </c>
      <c r="E25" s="43">
        <v>30</v>
      </c>
      <c r="F25" s="43">
        <v>35</v>
      </c>
      <c r="G25" s="43">
        <v>40</v>
      </c>
      <c r="H25" s="43">
        <v>45</v>
      </c>
      <c r="I25" s="19">
        <v>50</v>
      </c>
      <c r="J25" s="35"/>
      <c r="K25" s="44" t="s">
        <v>14</v>
      </c>
      <c r="L25" s="45">
        <f>0.2*N12</f>
        <v>0.36673474241464388</v>
      </c>
      <c r="M25" s="46" t="s">
        <v>15</v>
      </c>
    </row>
    <row r="26" spans="1:17" ht="15.75" x14ac:dyDescent="0.25">
      <c r="B26" s="47" t="s">
        <v>51</v>
      </c>
      <c r="C26" s="25">
        <v>15</v>
      </c>
      <c r="D26" s="25">
        <v>15</v>
      </c>
      <c r="E26" s="25">
        <v>15</v>
      </c>
      <c r="F26" s="25">
        <v>16.399999999999999</v>
      </c>
      <c r="G26" s="25">
        <v>17.899999999999999</v>
      </c>
      <c r="H26" s="25">
        <v>19.399999999999999</v>
      </c>
      <c r="I26" s="26">
        <v>20.8</v>
      </c>
      <c r="J26" s="35"/>
      <c r="K26" s="48"/>
      <c r="L26" s="49">
        <v>0.9</v>
      </c>
      <c r="M26" s="50" t="s">
        <v>15</v>
      </c>
    </row>
    <row r="27" spans="1:17" ht="16.5" thickBot="1" x14ac:dyDescent="0.3">
      <c r="B27" s="51" t="s">
        <v>3</v>
      </c>
      <c r="C27" s="52">
        <f>HLOOKUP(B13,C25:I26,2,TRUE)</f>
        <v>15</v>
      </c>
      <c r="D27" s="53"/>
      <c r="E27" s="53"/>
      <c r="F27" s="53"/>
      <c r="G27" s="53"/>
      <c r="H27" s="53"/>
      <c r="I27" s="37"/>
      <c r="J27" s="35"/>
      <c r="K27" s="54" t="s">
        <v>52</v>
      </c>
      <c r="L27" s="55">
        <f>0.5*C27*B11</f>
        <v>0.89999999999999991</v>
      </c>
      <c r="M27" s="56" t="s">
        <v>15</v>
      </c>
    </row>
    <row r="28" spans="1:17" ht="16.5" thickBot="1" x14ac:dyDescent="0.3">
      <c r="C28" s="57"/>
      <c r="E28" s="57"/>
      <c r="G28" s="1"/>
      <c r="H28" s="58"/>
      <c r="I28" s="38"/>
      <c r="J28" s="35"/>
    </row>
    <row r="29" spans="1:17" ht="16.5" thickBot="1" x14ac:dyDescent="0.3">
      <c r="B29" s="84" t="s">
        <v>37</v>
      </c>
      <c r="C29" s="85"/>
      <c r="D29" s="86"/>
      <c r="E29" s="57"/>
      <c r="G29" s="1"/>
      <c r="H29" s="58"/>
      <c r="I29" s="38"/>
      <c r="J29" s="35"/>
    </row>
    <row r="30" spans="1:17" ht="15.75" x14ac:dyDescent="0.25">
      <c r="B30" s="59" t="s">
        <v>0</v>
      </c>
      <c r="C30" s="60" t="s">
        <v>1</v>
      </c>
      <c r="D30" s="61" t="s">
        <v>2</v>
      </c>
      <c r="E30" s="57"/>
      <c r="G30" s="1"/>
      <c r="H30" s="58"/>
      <c r="I30" s="38"/>
      <c r="J30" s="35"/>
    </row>
    <row r="31" spans="1:17" ht="15.75" x14ac:dyDescent="0.25">
      <c r="B31" s="62">
        <v>6.3</v>
      </c>
      <c r="C31" s="25">
        <f t="shared" ref="C31:C35" si="0">B31/10</f>
        <v>0.63</v>
      </c>
      <c r="D31" s="26">
        <f t="shared" ref="D31:D35" si="1">(PI()*C31^2)/4</f>
        <v>0.31172453105244724</v>
      </c>
      <c r="E31" s="57"/>
      <c r="G31" s="1"/>
      <c r="H31" s="58"/>
      <c r="I31" s="38"/>
      <c r="J31" s="35"/>
    </row>
    <row r="32" spans="1:17" ht="15.75" x14ac:dyDescent="0.25">
      <c r="B32" s="62">
        <v>8</v>
      </c>
      <c r="C32" s="25">
        <f t="shared" si="0"/>
        <v>0.8</v>
      </c>
      <c r="D32" s="26">
        <f t="shared" si="1"/>
        <v>0.50265482457436694</v>
      </c>
      <c r="E32" s="57"/>
      <c r="G32" s="1"/>
      <c r="H32" s="58"/>
      <c r="I32" s="38"/>
      <c r="J32" s="35"/>
    </row>
    <row r="33" spans="2:10" ht="15.75" x14ac:dyDescent="0.25">
      <c r="B33" s="62">
        <v>10</v>
      </c>
      <c r="C33" s="25">
        <f t="shared" si="0"/>
        <v>1</v>
      </c>
      <c r="D33" s="26">
        <f t="shared" si="1"/>
        <v>0.78539816339744828</v>
      </c>
      <c r="E33" s="57"/>
      <c r="G33" s="1"/>
      <c r="H33" s="58"/>
      <c r="I33" s="38"/>
      <c r="J33" s="35"/>
    </row>
    <row r="34" spans="2:10" ht="15.75" x14ac:dyDescent="0.25">
      <c r="B34" s="62">
        <v>12.5</v>
      </c>
      <c r="C34" s="25">
        <f t="shared" si="0"/>
        <v>1.25</v>
      </c>
      <c r="D34" s="26">
        <f t="shared" si="1"/>
        <v>1.227184630308513</v>
      </c>
      <c r="E34" s="57"/>
      <c r="G34" s="1"/>
      <c r="H34" s="58"/>
      <c r="I34" s="38"/>
      <c r="J34" s="35"/>
    </row>
    <row r="35" spans="2:10" ht="16.5" thickBot="1" x14ac:dyDescent="0.3">
      <c r="B35" s="63">
        <v>16</v>
      </c>
      <c r="C35" s="52">
        <f t="shared" si="0"/>
        <v>1.6</v>
      </c>
      <c r="D35" s="64">
        <f t="shared" si="1"/>
        <v>2.0106192982974678</v>
      </c>
      <c r="E35" s="57"/>
      <c r="G35" s="1"/>
      <c r="H35" s="58"/>
      <c r="I35" s="38"/>
      <c r="J35" s="35"/>
    </row>
  </sheetData>
  <mergeCells count="11">
    <mergeCell ref="G8:Q8"/>
    <mergeCell ref="A22:Q22"/>
    <mergeCell ref="A3:B3"/>
    <mergeCell ref="A1:Q2"/>
    <mergeCell ref="D4:L5"/>
    <mergeCell ref="A8:E8"/>
    <mergeCell ref="B29:D29"/>
    <mergeCell ref="B24:I24"/>
    <mergeCell ref="K13:M13"/>
    <mergeCell ref="K19:M19"/>
    <mergeCell ref="K24:M24"/>
  </mergeCells>
  <conditionalFormatting sqref="I11">
    <cfRule type="cellIs" dxfId="1" priority="3" operator="greaterThan">
      <formula>$I$14</formula>
    </cfRule>
  </conditionalFormatting>
  <conditionalFormatting sqref="I15">
    <cfRule type="cellIs" dxfId="0" priority="2" operator="equal">
      <formula>4</formula>
    </cfRule>
  </conditionalFormatting>
  <dataValidations count="2">
    <dataValidation type="list" allowBlank="1" showInputMessage="1" showErrorMessage="1" sqref="H28:H35 L14" xr:uid="{00000000-0002-0000-0600-000000000000}">
      <formula1>$B$31:$B$35</formula1>
    </dataValidation>
    <dataValidation type="list" allowBlank="1" showInputMessage="1" showErrorMessage="1" sqref="L20" xr:uid="{C3846265-B849-47FE-9185-DAC85BD8164B}">
      <formula1>$B$31:$B$33</formula1>
    </dataValidation>
  </dataValidations>
  <hyperlinks>
    <hyperlink ref="B4" r:id="rId1" display="https://www.instagram.com/eng.waltnerwagner/" xr:uid="{001BC817-B740-45CD-8788-6CE1E3415D00}"/>
    <hyperlink ref="B5" r:id="rId2" display="https://www.youtube.com/c/EngenheiroWaltnerWagner" xr:uid="{2C5620E3-2DD0-451D-88CC-C5AF4ADDCD58}"/>
  </hyperlinks>
  <pageMargins left="0.511811024" right="0.511811024" top="0.78740157499999996" bottom="0.78740157499999996" header="0.31496062000000002" footer="0.31496062000000002"/>
  <pageSetup orientation="portrait" horizontalDpi="4294967293" verticalDpi="4294967293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9"/>
  <sheetViews>
    <sheetView showGridLines="0" zoomScaleNormal="100" workbookViewId="0">
      <selection activeCell="G14" sqref="G14"/>
    </sheetView>
  </sheetViews>
  <sheetFormatPr defaultRowHeight="15" x14ac:dyDescent="0.25"/>
  <cols>
    <col min="1" max="1" width="25.140625" style="12" customWidth="1"/>
    <col min="2" max="2" width="26.7109375" style="12" customWidth="1"/>
    <col min="3" max="3" width="9.140625" style="12"/>
    <col min="4" max="4" width="8.85546875" style="12" customWidth="1"/>
    <col min="5" max="5" width="6.28515625" style="12" customWidth="1"/>
    <col min="6" max="6" width="14.5703125" style="12" customWidth="1"/>
    <col min="7" max="7" width="9.140625" style="12" customWidth="1"/>
    <col min="8" max="8" width="9.140625" style="12"/>
    <col min="9" max="9" width="13.7109375" style="12" customWidth="1"/>
    <col min="10" max="10" width="9.140625" style="12" customWidth="1"/>
    <col min="11" max="12" width="9.140625" style="12"/>
    <col min="13" max="13" width="9.140625" style="12" customWidth="1"/>
    <col min="14" max="14" width="10" style="12" customWidth="1"/>
    <col min="15" max="15" width="8.42578125" style="12" customWidth="1"/>
    <col min="16" max="16" width="10.28515625" style="12" customWidth="1"/>
    <col min="17" max="16384" width="9.140625" style="12"/>
  </cols>
  <sheetData>
    <row r="1" spans="1:35" s="2" customFormat="1" ht="15" customHeight="1" x14ac:dyDescent="0.2">
      <c r="A1" s="94" t="s">
        <v>30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35" s="2" customFormat="1" ht="15" customHeight="1" thickBot="1" x14ac:dyDescent="0.25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35" s="2" customFormat="1" ht="14.25" customHeight="1" thickBot="1" x14ac:dyDescent="0.3">
      <c r="A3" s="92" t="s">
        <v>16</v>
      </c>
      <c r="B3" s="93"/>
      <c r="C3" s="3"/>
    </row>
    <row r="4" spans="1:35" s="2" customFormat="1" ht="20.25" customHeight="1" x14ac:dyDescent="0.2">
      <c r="A4" s="4"/>
      <c r="B4" s="5" t="s">
        <v>17</v>
      </c>
      <c r="D4" s="96" t="s">
        <v>18</v>
      </c>
      <c r="E4" s="97"/>
      <c r="F4" s="97"/>
      <c r="G4" s="97"/>
      <c r="H4" s="97"/>
      <c r="I4" s="97"/>
      <c r="J4" s="97"/>
      <c r="K4" s="97"/>
      <c r="L4" s="98"/>
      <c r="O4" s="6"/>
    </row>
    <row r="5" spans="1:35" s="2" customFormat="1" ht="23.25" customHeight="1" thickBot="1" x14ac:dyDescent="0.25">
      <c r="A5" s="7"/>
      <c r="B5" s="8" t="s">
        <v>19</v>
      </c>
      <c r="D5" s="99"/>
      <c r="E5" s="100"/>
      <c r="F5" s="100"/>
      <c r="G5" s="100"/>
      <c r="H5" s="100"/>
      <c r="I5" s="100"/>
      <c r="J5" s="100"/>
      <c r="K5" s="100"/>
      <c r="L5" s="101"/>
      <c r="M5" s="6"/>
    </row>
    <row r="6" spans="1:35" s="2" customFormat="1" ht="24" customHeight="1" thickBot="1" x14ac:dyDescent="0.25">
      <c r="A6" s="9"/>
      <c r="B6" s="10"/>
      <c r="E6" s="6"/>
    </row>
    <row r="7" spans="1:35" s="2" customFormat="1" ht="17.25" customHeight="1" x14ac:dyDescent="0.2">
      <c r="E7" s="6"/>
    </row>
    <row r="8" spans="1:35" s="2" customFormat="1" ht="24" customHeight="1" x14ac:dyDescent="0.2">
      <c r="A8" s="91" t="s">
        <v>21</v>
      </c>
      <c r="B8" s="91"/>
      <c r="C8" s="91"/>
      <c r="D8" s="91"/>
      <c r="E8" s="6"/>
      <c r="F8" s="91" t="s">
        <v>35</v>
      </c>
      <c r="G8" s="91"/>
      <c r="H8" s="91"/>
      <c r="I8" s="91"/>
      <c r="J8" s="91"/>
      <c r="K8" s="91"/>
      <c r="L8" s="91"/>
      <c r="M8" s="91"/>
      <c r="N8" s="91"/>
    </row>
    <row r="9" spans="1:35" s="2" customFormat="1" ht="24" customHeight="1" thickBot="1" x14ac:dyDescent="0.25"/>
    <row r="10" spans="1:35" ht="19.5" thickBot="1" x14ac:dyDescent="0.3">
      <c r="A10" s="14" t="s">
        <v>24</v>
      </c>
      <c r="B10" s="68">
        <v>0.12</v>
      </c>
      <c r="F10" s="14" t="s">
        <v>33</v>
      </c>
      <c r="G10" s="13">
        <f>B10-B11</f>
        <v>0.09</v>
      </c>
      <c r="I10" s="14" t="s">
        <v>64</v>
      </c>
      <c r="J10" s="69">
        <f>B12/G11*100</f>
        <v>1785.7142857142858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</row>
    <row r="11" spans="1:35" ht="21.75" thickBot="1" x14ac:dyDescent="0.3">
      <c r="A11" s="20" t="s">
        <v>22</v>
      </c>
      <c r="B11" s="18">
        <v>0.03</v>
      </c>
      <c r="F11" s="39" t="s">
        <v>59</v>
      </c>
      <c r="G11" s="24">
        <v>1.4</v>
      </c>
      <c r="I11" s="20" t="s">
        <v>68</v>
      </c>
      <c r="J11" s="71">
        <f>0.15*B12^(2/3)*100</f>
        <v>128.24819600075222</v>
      </c>
      <c r="L11" s="102" t="s">
        <v>11</v>
      </c>
      <c r="M11" s="103"/>
      <c r="N11" s="103"/>
      <c r="O11" s="103"/>
      <c r="P11" s="104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</row>
    <row r="12" spans="1:35" ht="18.75" x14ac:dyDescent="0.25">
      <c r="A12" s="20" t="s">
        <v>61</v>
      </c>
      <c r="B12" s="18">
        <v>25</v>
      </c>
      <c r="F12" s="20" t="s">
        <v>69</v>
      </c>
      <c r="G12" s="72">
        <f>P13</f>
        <v>12.27184630308513</v>
      </c>
      <c r="I12" s="20" t="s">
        <v>70</v>
      </c>
      <c r="J12" s="83">
        <f>0.25*J11</f>
        <v>32.062049000188054</v>
      </c>
      <c r="L12" s="73" t="s">
        <v>0</v>
      </c>
      <c r="M12" s="74" t="s">
        <v>1</v>
      </c>
      <c r="N12" s="74" t="s">
        <v>2</v>
      </c>
      <c r="O12" s="74" t="s">
        <v>32</v>
      </c>
      <c r="P12" s="75" t="s">
        <v>36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</row>
    <row r="13" spans="1:35" ht="24" thickBot="1" x14ac:dyDescent="0.3">
      <c r="A13" s="20" t="s">
        <v>71</v>
      </c>
      <c r="B13" s="18">
        <v>2</v>
      </c>
      <c r="F13" s="82" t="s">
        <v>73</v>
      </c>
      <c r="G13" s="21">
        <f>G12/($B$10*100*100)</f>
        <v>1.0226538585904275E-2</v>
      </c>
      <c r="I13" s="31" t="s">
        <v>10</v>
      </c>
      <c r="J13" s="76">
        <f>1.6-G10</f>
        <v>1.51</v>
      </c>
      <c r="L13" s="77">
        <f>B14</f>
        <v>12.5</v>
      </c>
      <c r="M13" s="78">
        <f t="shared" ref="M13" si="0">L13/10</f>
        <v>1.25</v>
      </c>
      <c r="N13" s="55">
        <f t="shared" ref="N13" si="1">(PI()*M13^2)/4</f>
        <v>1.227184630308513</v>
      </c>
      <c r="O13" s="78">
        <f>B15</f>
        <v>10</v>
      </c>
      <c r="P13" s="79">
        <f>(100/O13)*N13</f>
        <v>12.27184630308513</v>
      </c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</row>
    <row r="14" spans="1:35" ht="19.5" thickBot="1" x14ac:dyDescent="0.3">
      <c r="A14" s="20" t="s">
        <v>31</v>
      </c>
      <c r="B14" s="80">
        <v>12.5</v>
      </c>
      <c r="F14" s="31" t="s">
        <v>74</v>
      </c>
      <c r="G14" s="64">
        <f>($J$12*$J$13*(1.2+40*G13))*$G$10</f>
        <v>7.0110551857907506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</row>
    <row r="15" spans="1:35" ht="16.5" thickBot="1" x14ac:dyDescent="0.3">
      <c r="A15" s="31" t="s">
        <v>34</v>
      </c>
      <c r="B15" s="81">
        <v>10</v>
      </c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</row>
    <row r="16" spans="1:35" x14ac:dyDescent="0.25">
      <c r="I16" s="105" t="s">
        <v>72</v>
      </c>
      <c r="J16" s="107" t="str">
        <f>IF(B13&lt;=G14,"OK","X")</f>
        <v>OK</v>
      </c>
      <c r="K16" s="67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</row>
    <row r="17" spans="9:35" ht="15.75" thickBot="1" x14ac:dyDescent="0.3">
      <c r="I17" s="106"/>
      <c r="J17" s="108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</row>
    <row r="19" spans="9:35" ht="15.75" customHeight="1" x14ac:dyDescent="0.25"/>
  </sheetData>
  <mergeCells count="8">
    <mergeCell ref="L11:P11"/>
    <mergeCell ref="I16:I17"/>
    <mergeCell ref="J16:J17"/>
    <mergeCell ref="A1:Q2"/>
    <mergeCell ref="A3:B3"/>
    <mergeCell ref="D4:L5"/>
    <mergeCell ref="A8:D8"/>
    <mergeCell ref="F8:N8"/>
  </mergeCells>
  <dataValidations disablePrompts="1" count="1">
    <dataValidation type="list" allowBlank="1" showInputMessage="1" showErrorMessage="1" sqref="B14" xr:uid="{F108533A-E5EB-4640-BA3F-D3F56893D316}">
      <mc:AlternateContent xmlns:x12ac="http://schemas.microsoft.com/office/spreadsheetml/2011/1/ac" xmlns:mc="http://schemas.openxmlformats.org/markup-compatibility/2006">
        <mc:Choice Requires="x12ac">
          <x12ac:list>"6,3",8,10,"12,5",16,20,25</x12ac:list>
        </mc:Choice>
        <mc:Fallback>
          <formula1>"6,3,8,10,12,5,16,20,25"</formula1>
        </mc:Fallback>
      </mc:AlternateContent>
    </dataValidation>
  </dataValidations>
  <hyperlinks>
    <hyperlink ref="B4" r:id="rId1" display="https://www.instagram.com/eng.waltnerwagner/" xr:uid="{22201C32-EE27-4E58-9F92-3D78331ED600}"/>
    <hyperlink ref="B5" r:id="rId2" display="https://www.youtube.com/c/EngenheiroWaltnerWagner" xr:uid="{FEDA125D-E3E2-4AB4-BCF7-0CFBF8D86056}"/>
  </hyperlinks>
  <pageMargins left="0.511811024" right="0.511811024" top="0.78740157499999996" bottom="0.78740157499999996" header="0.31496062000000002" footer="0.31496062000000002"/>
  <pageSetup orientation="portrait" horizontalDpi="4294967293" verticalDpi="4294967293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 Armadura </vt:lpstr>
      <vt:lpstr>Verificação Cisalhamento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Jonathan</cp:lastModifiedBy>
  <cp:lastPrinted>2015-07-17T19:48:56Z</cp:lastPrinted>
  <dcterms:created xsi:type="dcterms:W3CDTF">2015-07-15T20:43:48Z</dcterms:created>
  <dcterms:modified xsi:type="dcterms:W3CDTF">2023-04-13T21:33:43Z</dcterms:modified>
</cp:coreProperties>
</file>