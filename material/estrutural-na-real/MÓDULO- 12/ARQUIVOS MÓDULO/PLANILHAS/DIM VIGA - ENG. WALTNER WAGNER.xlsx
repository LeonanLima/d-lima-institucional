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ltner\CURSO\Planilhas\"/>
    </mc:Choice>
  </mc:AlternateContent>
  <xr:revisionPtr revIDLastSave="0" documentId="13_ncr:1_{DCCAFC14-FE61-4B4F-A3BA-8A557CDF250A}" xr6:coauthVersionLast="47" xr6:coauthVersionMax="47" xr10:uidLastSave="{00000000-0000-0000-0000-000000000000}"/>
  <bookViews>
    <workbookView xWindow="-120" yWindow="-120" windowWidth="29040" windowHeight="15840" xr2:uid="{6848A8DF-8B71-47E8-B636-0B614B5E64BE}"/>
  </bookViews>
  <sheets>
    <sheet name="VIG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C41" i="1"/>
  <c r="H40" i="1"/>
  <c r="K19" i="1" s="1"/>
  <c r="H39" i="1"/>
  <c r="H41" i="1" s="1"/>
  <c r="D37" i="1"/>
  <c r="C37" i="1"/>
  <c r="H36" i="1"/>
  <c r="H35" i="1"/>
  <c r="C32" i="1"/>
  <c r="H31" i="1"/>
  <c r="C31" i="1"/>
  <c r="H30" i="1" s="1"/>
  <c r="L30" i="1"/>
  <c r="C30" i="1"/>
  <c r="C36" i="1" s="1"/>
  <c r="C38" i="1" s="1"/>
  <c r="C39" i="1" s="1"/>
  <c r="L29" i="1"/>
  <c r="K12" i="1"/>
  <c r="K11" i="1"/>
  <c r="C40" i="1" l="1"/>
  <c r="D36" i="1"/>
  <c r="D38" i="1" s="1"/>
  <c r="D39" i="1" s="1"/>
  <c r="D40" i="1" s="1"/>
  <c r="I21" i="1"/>
  <c r="L21" i="1"/>
  <c r="L34" i="1"/>
  <c r="L31" i="1"/>
  <c r="L33" i="1" s="1"/>
  <c r="L35" i="1" s="1"/>
  <c r="B21" i="1" s="1"/>
  <c r="H29" i="1" l="1"/>
  <c r="B22" i="1" s="1"/>
  <c r="B20" i="1"/>
  <c r="K18" i="1"/>
  <c r="K20" i="1"/>
  <c r="L20" i="1" s="1"/>
  <c r="L37" i="1" l="1"/>
  <c r="B23" i="1" s="1"/>
  <c r="H32" i="1"/>
  <c r="H33" i="1" s="1"/>
  <c r="H34" i="1" s="1"/>
  <c r="K17" i="1" s="1"/>
  <c r="L18" i="1"/>
</calcChain>
</file>

<file path=xl/sharedStrings.xml><?xml version="1.0" encoding="utf-8"?>
<sst xmlns="http://schemas.openxmlformats.org/spreadsheetml/2006/main" count="79" uniqueCount="75">
  <si>
    <t>DIMENSIONAMENTO DE VIGA</t>
  </si>
  <si>
    <t>Preencha apenas as células com essa cor de fundo!</t>
  </si>
  <si>
    <t>DADOS INICIAIS</t>
  </si>
  <si>
    <t>PARÂMETROS DE VINCULAÇÃO</t>
  </si>
  <si>
    <t>Dados da Viga</t>
  </si>
  <si>
    <t>Largura (cm)</t>
  </si>
  <si>
    <t>FCK (Mpa)</t>
  </si>
  <si>
    <t>αx</t>
  </si>
  <si>
    <t>βx</t>
  </si>
  <si>
    <t>γ</t>
  </si>
  <si>
    <t>δ</t>
  </si>
  <si>
    <t>δ2</t>
  </si>
  <si>
    <t>ζ</t>
  </si>
  <si>
    <t>Altura (cm)</t>
  </si>
  <si>
    <t>FYK (Mpa)</t>
  </si>
  <si>
    <t>Apoio/Apoio</t>
  </si>
  <si>
    <t>Vão livre (cm)</t>
  </si>
  <si>
    <t>Cobrimento (cm)</t>
  </si>
  <si>
    <t>Livre/Balanço</t>
  </si>
  <si>
    <t>Apoio 01 (cm)</t>
  </si>
  <si>
    <r>
      <t>Carga total na viga (Tf/m)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0"/>
        <color theme="1"/>
        <rFont val="Calibri"/>
        <family val="2"/>
        <scheme val="minor"/>
      </rPr>
      <t xml:space="preserve">Característica </t>
    </r>
  </si>
  <si>
    <t>Apoio 02 (cm)</t>
  </si>
  <si>
    <t>ARMADURAS DA VIGA</t>
  </si>
  <si>
    <t>TIPO DE APOIOS:</t>
  </si>
  <si>
    <t>Ângulo dos estribos:</t>
  </si>
  <si>
    <t>Ramos do estribo:</t>
  </si>
  <si>
    <t>Diâmetro estribo (mm)</t>
  </si>
  <si>
    <t>c/</t>
  </si>
  <si>
    <t>%AS utilizado</t>
  </si>
  <si>
    <t>VERIFICAÇÕES</t>
  </si>
  <si>
    <t>Diâmetro arm. Negativa (mm)</t>
  </si>
  <si>
    <t>qt:</t>
  </si>
  <si>
    <t>Diâmetro arm. Pele (mm)</t>
  </si>
  <si>
    <t>Momento:</t>
  </si>
  <si>
    <t>Diâmetro arm. Positiva (mm)</t>
  </si>
  <si>
    <t>Flecha:</t>
  </si>
  <si>
    <t>Reação Lado A (Tf)</t>
  </si>
  <si>
    <t>Reação Lado B (Tf)</t>
  </si>
  <si>
    <t>Cortante:</t>
  </si>
  <si>
    <t>Taxa de aço:</t>
  </si>
  <si>
    <t>CÁLCULOS</t>
  </si>
  <si>
    <t>CISALHAMENTO</t>
  </si>
  <si>
    <t>DEFORMAÇÕES</t>
  </si>
  <si>
    <t>Parâmetros de Cálculo</t>
  </si>
  <si>
    <t>Vd (Tf)</t>
  </si>
  <si>
    <t>Inércia (cm^4)</t>
  </si>
  <si>
    <t>Vão eixo-eixo (m)</t>
  </si>
  <si>
    <t>Vrd2 (Tf)</t>
  </si>
  <si>
    <t>Módulo Elasticidade (Tf/cm²)</t>
  </si>
  <si>
    <t>ocd (Tf/cm²)</t>
  </si>
  <si>
    <t>fctd (Tf/cm²)</t>
  </si>
  <si>
    <t>Flecha (cm)</t>
  </si>
  <si>
    <t>fyd (Tf/cm²)</t>
  </si>
  <si>
    <t>Vrd3 (Tf)</t>
  </si>
  <si>
    <t>Fluência:</t>
  </si>
  <si>
    <t>Vsw (Tf)</t>
  </si>
  <si>
    <t>Flecha no infinito (cm)</t>
  </si>
  <si>
    <t>MOMENTO FLETOR</t>
  </si>
  <si>
    <t>Asw (cm²/cm)</t>
  </si>
  <si>
    <t>Flecha lim. Infinito (cm)</t>
  </si>
  <si>
    <t>+</t>
  </si>
  <si>
    <t>-</t>
  </si>
  <si>
    <t>AS estribo (cm²)</t>
  </si>
  <si>
    <t>Flecha relativa: 1/</t>
  </si>
  <si>
    <t>Md(tf.cm):</t>
  </si>
  <si>
    <t>Eficiência estribos:</t>
  </si>
  <si>
    <t>d:</t>
  </si>
  <si>
    <t>μ:</t>
  </si>
  <si>
    <t>ARMADURA DE PELE</t>
  </si>
  <si>
    <t>ξ:</t>
  </si>
  <si>
    <t>AS necessário:</t>
  </si>
  <si>
    <t>AS:</t>
  </si>
  <si>
    <t>Quantia barras:</t>
  </si>
  <si>
    <t>AS Barra:</t>
  </si>
  <si>
    <t>Diâmetro barra: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</si>
</sst>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\-??_-;_-@"/>
    <numFmt numFmtId="165" formatCode="_(* #,##0.00_);_(* \(#,##0.00\);_(* &quot;-&quot;??_);_(@_)"/>
    <numFmt numFmtId="166" formatCode="0.0%"/>
    <numFmt numFmtId="167" formatCode="0.000"/>
    <numFmt numFmtId="168" formatCode="0.0"/>
    <numFmt numFmtId="169" formatCode="0.0000"/>
    <numFmt numFmtId="170" formatCode="_-&quot;R$&quot;\ * #,##0.00_-;\-&quot;R$&quot;\ * #,##0.00_-;_-&quot;R$&quot;\ * &quot;-&quot;??_-;_-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26262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AEABAB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202122"/>
      <name val="Calibri"/>
      <family val="2"/>
      <scheme val="minor"/>
    </font>
    <font>
      <sz val="10"/>
      <color rgb="FF75707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0707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9" fillId="6" borderId="0" xfId="0" applyFont="1" applyFill="1"/>
    <xf numFmtId="0" fontId="10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/>
    </xf>
    <xf numFmtId="2" fontId="11" fillId="6" borderId="8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19" xfId="0" applyNumberFormat="1" applyFont="1" applyFill="1" applyBorder="1" applyAlignment="1">
      <alignment horizontal="center"/>
    </xf>
    <xf numFmtId="0" fontId="10" fillId="5" borderId="20" xfId="0" applyFont="1" applyFill="1" applyBorder="1" applyAlignment="1">
      <alignment horizontal="center" vertical="center"/>
    </xf>
    <xf numFmtId="2" fontId="11" fillId="6" borderId="21" xfId="0" applyNumberFormat="1" applyFont="1" applyFill="1" applyBorder="1" applyAlignment="1">
      <alignment horizontal="center"/>
    </xf>
    <xf numFmtId="2" fontId="11" fillId="6" borderId="22" xfId="0" applyNumberFormat="1" applyFont="1" applyFill="1" applyBorder="1" applyAlignment="1">
      <alignment horizontal="center"/>
    </xf>
    <xf numFmtId="2" fontId="11" fillId="6" borderId="23" xfId="0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3" fillId="0" borderId="26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16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" fillId="0" borderId="32" xfId="0" applyFont="1" applyBorder="1" applyAlignment="1">
      <alignment horizontal="center" vertical="center"/>
    </xf>
    <xf numFmtId="0" fontId="5" fillId="3" borderId="33" xfId="0" applyFont="1" applyFill="1" applyBorder="1" applyAlignment="1" applyProtection="1">
      <alignment horizontal="center" vertical="center"/>
      <protection locked="0"/>
    </xf>
    <xf numFmtId="1" fontId="5" fillId="0" borderId="34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65" fontId="13" fillId="0" borderId="0" xfId="0" applyNumberFormat="1" applyFont="1"/>
    <xf numFmtId="0" fontId="17" fillId="6" borderId="3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/>
    </xf>
    <xf numFmtId="165" fontId="15" fillId="0" borderId="0" xfId="0" applyNumberFormat="1" applyFont="1"/>
    <xf numFmtId="0" fontId="15" fillId="0" borderId="0" xfId="0" applyFont="1"/>
    <xf numFmtId="0" fontId="17" fillId="0" borderId="36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4" fillId="0" borderId="0" xfId="0" applyFont="1"/>
    <xf numFmtId="166" fontId="13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9" fillId="0" borderId="1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2" fontId="14" fillId="0" borderId="0" xfId="0" applyNumberFormat="1" applyFont="1"/>
    <xf numFmtId="0" fontId="20" fillId="0" borderId="8" xfId="0" applyFont="1" applyBorder="1" applyAlignment="1">
      <alignment horizontal="right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1" xfId="0" applyFont="1" applyBorder="1" applyAlignment="1">
      <alignment horizontal="right" vertical="center"/>
    </xf>
    <xf numFmtId="2" fontId="5" fillId="0" borderId="34" xfId="0" applyNumberFormat="1" applyFont="1" applyBorder="1" applyAlignment="1">
      <alignment horizontal="center" vertical="center"/>
    </xf>
    <xf numFmtId="2" fontId="5" fillId="0" borderId="35" xfId="0" applyNumberFormat="1" applyFont="1" applyBorder="1" applyAlignment="1">
      <alignment horizontal="center" vertical="center"/>
    </xf>
    <xf numFmtId="9" fontId="19" fillId="0" borderId="21" xfId="1" applyFont="1" applyBorder="1" applyAlignment="1">
      <alignment horizontal="center" vertical="center"/>
    </xf>
    <xf numFmtId="168" fontId="5" fillId="0" borderId="34" xfId="0" applyNumberFormat="1" applyFont="1" applyBorder="1" applyAlignment="1">
      <alignment horizontal="center" vertical="center"/>
    </xf>
    <xf numFmtId="168" fontId="5" fillId="0" borderId="35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167" fontId="5" fillId="0" borderId="34" xfId="0" applyNumberFormat="1" applyFont="1" applyBorder="1" applyAlignment="1">
      <alignment horizontal="center" vertical="center"/>
    </xf>
    <xf numFmtId="167" fontId="5" fillId="0" borderId="35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170" fontId="14" fillId="0" borderId="0" xfId="0" applyNumberFormat="1" applyFont="1"/>
    <xf numFmtId="2" fontId="13" fillId="0" borderId="0" xfId="0" applyNumberFormat="1" applyFont="1"/>
    <xf numFmtId="10" fontId="13" fillId="0" borderId="0" xfId="0" applyNumberFormat="1" applyFont="1"/>
    <xf numFmtId="1" fontId="5" fillId="0" borderId="15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2" fontId="5" fillId="0" borderId="25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left" vertical="center"/>
    </xf>
    <xf numFmtId="1" fontId="5" fillId="0" borderId="25" xfId="0" applyNumberFormat="1" applyFont="1" applyBorder="1" applyAlignment="1">
      <alignment horizontal="left" vertical="center"/>
    </xf>
    <xf numFmtId="9" fontId="5" fillId="0" borderId="24" xfId="1" applyFont="1" applyBorder="1" applyAlignment="1">
      <alignment horizontal="center" vertical="center"/>
    </xf>
    <xf numFmtId="9" fontId="5" fillId="0" borderId="25" xfId="1" applyFont="1" applyBorder="1" applyAlignment="1">
      <alignment horizontal="center" vertical="center"/>
    </xf>
    <xf numFmtId="10" fontId="5" fillId="0" borderId="42" xfId="1" applyNumberFormat="1" applyFont="1" applyBorder="1" applyAlignment="1">
      <alignment horizontal="center" vertical="center"/>
    </xf>
    <xf numFmtId="10" fontId="5" fillId="0" borderId="7" xfId="1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9" fontId="5" fillId="0" borderId="24" xfId="0" applyNumberFormat="1" applyFont="1" applyBorder="1" applyAlignment="1">
      <alignment horizontal="center" vertical="center"/>
    </xf>
    <xf numFmtId="169" fontId="5" fillId="0" borderId="25" xfId="0" applyNumberFormat="1" applyFont="1" applyBorder="1" applyAlignment="1">
      <alignment horizontal="center" vertical="center"/>
    </xf>
    <xf numFmtId="169" fontId="5" fillId="0" borderId="15" xfId="0" applyNumberFormat="1" applyFont="1" applyBorder="1" applyAlignment="1">
      <alignment horizontal="center" vertical="center"/>
    </xf>
    <xf numFmtId="169" fontId="5" fillId="0" borderId="16" xfId="0" applyNumberFormat="1" applyFont="1" applyBorder="1" applyAlignment="1">
      <alignment horizontal="center" vertical="center"/>
    </xf>
    <xf numFmtId="167" fontId="5" fillId="0" borderId="15" xfId="0" applyNumberFormat="1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8" fontId="5" fillId="0" borderId="15" xfId="0" applyNumberFormat="1" applyFont="1" applyBorder="1" applyAlignment="1">
      <alignment horizontal="center" vertical="center"/>
    </xf>
    <xf numFmtId="168" fontId="5" fillId="0" borderId="16" xfId="0" applyNumberFormat="1" applyFont="1" applyBorder="1" applyAlignment="1">
      <alignment horizontal="center" vertical="center"/>
    </xf>
    <xf numFmtId="167" fontId="5" fillId="0" borderId="24" xfId="0" applyNumberFormat="1" applyFont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5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166" fontId="13" fillId="0" borderId="34" xfId="0" applyNumberFormat="1" applyFont="1" applyBorder="1" applyAlignment="1">
      <alignment horizontal="center" vertical="center"/>
    </xf>
    <xf numFmtId="166" fontId="13" fillId="0" borderId="35" xfId="0" applyNumberFormat="1" applyFont="1" applyBorder="1" applyAlignment="1">
      <alignment horizontal="center" vertical="center"/>
    </xf>
    <xf numFmtId="10" fontId="5" fillId="0" borderId="34" xfId="0" applyNumberFormat="1" applyFont="1" applyBorder="1" applyAlignment="1">
      <alignment horizontal="center" vertical="center"/>
    </xf>
    <xf numFmtId="10" fontId="5" fillId="0" borderId="35" xfId="0" applyNumberFormat="1" applyFont="1" applyBorder="1" applyAlignment="1">
      <alignment horizontal="center" vertical="center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167" fontId="5" fillId="0" borderId="22" xfId="0" applyNumberFormat="1" applyFont="1" applyBorder="1" applyAlignment="1">
      <alignment horizontal="center" vertical="center"/>
    </xf>
    <xf numFmtId="167" fontId="5" fillId="0" borderId="23" xfId="0" applyNumberFormat="1" applyFont="1" applyBorder="1" applyAlignment="1">
      <alignment horizontal="center" vertical="center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28" xfId="0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5" fillId="6" borderId="18" xfId="0" applyFont="1" applyFill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 applyProtection="1">
      <alignment horizontal="center" vertical="center"/>
      <protection locked="0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9E46-2F37-4A4D-AFAB-10F8F8E14F86}">
  <dimension ref="A1:U63"/>
  <sheetViews>
    <sheetView showGridLines="0" tabSelected="1" topLeftCell="A4" workbookViewId="0">
      <selection activeCell="A16" sqref="A16:C16"/>
    </sheetView>
  </sheetViews>
  <sheetFormatPr defaultColWidth="14.42578125" defaultRowHeight="12.75" x14ac:dyDescent="0.2"/>
  <cols>
    <col min="1" max="1" width="28.85546875" style="1" customWidth="1"/>
    <col min="2" max="2" width="26.5703125" style="1" customWidth="1"/>
    <col min="3" max="3" width="8.140625" style="1" customWidth="1"/>
    <col min="4" max="4" width="25.28515625" style="1" customWidth="1"/>
    <col min="5" max="5" width="9" style="1" customWidth="1"/>
    <col min="6" max="6" width="7.7109375" style="1" customWidth="1"/>
    <col min="7" max="7" width="18.42578125" style="1" customWidth="1"/>
    <col min="8" max="8" width="30.28515625" style="1" customWidth="1"/>
    <col min="9" max="9" width="11" style="1" customWidth="1"/>
    <col min="10" max="10" width="10" style="1" customWidth="1"/>
    <col min="11" max="11" width="28.42578125" style="1" customWidth="1"/>
    <col min="12" max="12" width="10.7109375" style="1" customWidth="1"/>
    <col min="13" max="14" width="6.28515625" style="1" customWidth="1"/>
    <col min="15" max="15" width="24.7109375" style="1" bestFit="1" customWidth="1"/>
    <col min="16" max="16" width="23.7109375" style="1" bestFit="1" customWidth="1"/>
    <col min="17" max="17" width="12.28515625" style="1" customWidth="1"/>
    <col min="18" max="21" width="10.28515625" style="1" customWidth="1"/>
    <col min="22" max="26" width="8" style="1" customWidth="1"/>
    <col min="27" max="16384" width="14.42578125" style="1"/>
  </cols>
  <sheetData>
    <row r="1" spans="1:14" ht="15" customHeight="1" x14ac:dyDescent="0.2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6.25" customHeight="1" x14ac:dyDescent="0.2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</row>
    <row r="4" spans="1:14" ht="15" customHeight="1" x14ac:dyDescent="0.2">
      <c r="A4" s="125" t="s">
        <v>1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spans="1:14" ht="15.75" customHeight="1" x14ac:dyDescent="0.2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spans="1:14" ht="15.75" customHeight="1" thickBot="1" x14ac:dyDescent="0.25"/>
    <row r="7" spans="1:14" ht="15.75" customHeight="1" x14ac:dyDescent="0.2">
      <c r="A7" s="126" t="s">
        <v>2</v>
      </c>
      <c r="B7" s="126"/>
      <c r="C7" s="126"/>
      <c r="D7" s="126"/>
      <c r="E7" s="126"/>
      <c r="F7" s="126"/>
      <c r="H7" s="127" t="s">
        <v>3</v>
      </c>
      <c r="I7" s="128"/>
      <c r="J7" s="128"/>
      <c r="K7" s="128"/>
      <c r="L7" s="128"/>
      <c r="M7" s="128"/>
      <c r="N7" s="129"/>
    </row>
    <row r="8" spans="1:14" ht="13.5" customHeight="1" thickBot="1" x14ac:dyDescent="0.25">
      <c r="A8" s="2"/>
      <c r="B8" s="2"/>
      <c r="C8" s="2"/>
      <c r="D8" s="2"/>
      <c r="E8" s="2"/>
      <c r="F8" s="2"/>
      <c r="G8" s="2"/>
    </row>
    <row r="9" spans="1:14" ht="13.5" customHeight="1" thickBot="1" x14ac:dyDescent="0.3">
      <c r="A9" s="130" t="s">
        <v>4</v>
      </c>
      <c r="B9" s="131"/>
      <c r="C9" s="131"/>
      <c r="D9" s="131"/>
      <c r="E9" s="131"/>
      <c r="F9" s="132"/>
      <c r="G9" s="3"/>
    </row>
    <row r="10" spans="1:14" ht="13.5" customHeight="1" thickBot="1" x14ac:dyDescent="0.3">
      <c r="A10" s="4" t="s">
        <v>5</v>
      </c>
      <c r="B10" s="133">
        <v>14</v>
      </c>
      <c r="C10" s="134"/>
      <c r="D10" s="4" t="s">
        <v>6</v>
      </c>
      <c r="E10" s="133">
        <v>25</v>
      </c>
      <c r="F10" s="134"/>
      <c r="G10" s="5"/>
      <c r="H10" s="6"/>
      <c r="I10" s="7" t="s">
        <v>7</v>
      </c>
      <c r="J10" s="8" t="s">
        <v>8</v>
      </c>
      <c r="K10" s="8" t="s">
        <v>9</v>
      </c>
      <c r="L10" s="8" t="s">
        <v>10</v>
      </c>
      <c r="M10" s="8" t="s">
        <v>11</v>
      </c>
      <c r="N10" s="9" t="s">
        <v>12</v>
      </c>
    </row>
    <row r="11" spans="1:14" ht="13.5" customHeight="1" x14ac:dyDescent="0.25">
      <c r="A11" s="10" t="s">
        <v>13</v>
      </c>
      <c r="B11" s="120">
        <v>40</v>
      </c>
      <c r="C11" s="121"/>
      <c r="D11" s="10" t="s">
        <v>14</v>
      </c>
      <c r="E11" s="120">
        <v>500</v>
      </c>
      <c r="F11" s="121"/>
      <c r="G11" s="5"/>
      <c r="H11" s="11" t="s">
        <v>15</v>
      </c>
      <c r="I11" s="12">
        <v>8</v>
      </c>
      <c r="J11" s="13">
        <v>99999</v>
      </c>
      <c r="K11" s="13">
        <f>384/5</f>
        <v>76.8</v>
      </c>
      <c r="L11" s="13">
        <v>0.5</v>
      </c>
      <c r="M11" s="13">
        <v>0.5</v>
      </c>
      <c r="N11" s="14">
        <v>0.2</v>
      </c>
    </row>
    <row r="12" spans="1:14" ht="13.5" customHeight="1" thickBot="1" x14ac:dyDescent="0.25">
      <c r="A12" s="10" t="s">
        <v>16</v>
      </c>
      <c r="B12" s="120">
        <v>285</v>
      </c>
      <c r="C12" s="121"/>
      <c r="D12" s="10" t="s">
        <v>17</v>
      </c>
      <c r="E12" s="120">
        <v>2.5</v>
      </c>
      <c r="F12" s="121"/>
      <c r="G12" s="5"/>
      <c r="H12" s="15" t="s">
        <v>18</v>
      </c>
      <c r="I12" s="16">
        <v>99999</v>
      </c>
      <c r="J12" s="17">
        <v>2</v>
      </c>
      <c r="K12" s="17">
        <f>8</f>
        <v>8</v>
      </c>
      <c r="L12" s="17">
        <v>1</v>
      </c>
      <c r="M12" s="17">
        <v>1E-8</v>
      </c>
      <c r="N12" s="18">
        <v>0</v>
      </c>
    </row>
    <row r="13" spans="1:14" ht="30.75" customHeight="1" thickBot="1" x14ac:dyDescent="0.25">
      <c r="A13" s="10" t="s">
        <v>19</v>
      </c>
      <c r="B13" s="120">
        <v>14</v>
      </c>
      <c r="C13" s="121"/>
      <c r="D13" s="19" t="s">
        <v>20</v>
      </c>
      <c r="E13" s="122">
        <v>0.64</v>
      </c>
      <c r="F13" s="115"/>
      <c r="G13" s="5"/>
      <c r="N13" s="20"/>
    </row>
    <row r="14" spans="1:14" ht="22.5" customHeight="1" thickBot="1" x14ac:dyDescent="0.3">
      <c r="A14" s="21" t="s">
        <v>21</v>
      </c>
      <c r="B14" s="107">
        <v>14</v>
      </c>
      <c r="C14" s="108"/>
      <c r="D14" s="22"/>
      <c r="E14" s="23"/>
      <c r="F14" s="24"/>
      <c r="G14" s="24"/>
      <c r="H14" s="109" t="s">
        <v>22</v>
      </c>
      <c r="I14" s="109"/>
      <c r="J14" s="109"/>
      <c r="K14" s="109"/>
      <c r="L14" s="109"/>
      <c r="M14" s="109"/>
      <c r="N14" s="109"/>
    </row>
    <row r="15" spans="1:14" ht="13.5" customHeight="1" thickBot="1" x14ac:dyDescent="0.25">
      <c r="A15" s="110" t="s">
        <v>23</v>
      </c>
      <c r="B15" s="111"/>
      <c r="C15" s="112"/>
      <c r="D15" s="22"/>
      <c r="E15" s="23"/>
      <c r="F15" s="24"/>
      <c r="G15" s="24"/>
      <c r="N15" s="25"/>
    </row>
    <row r="16" spans="1:14" ht="13.5" customHeight="1" thickBot="1" x14ac:dyDescent="0.25">
      <c r="A16" s="113" t="s">
        <v>15</v>
      </c>
      <c r="B16" s="114"/>
      <c r="C16" s="115"/>
      <c r="D16" s="22"/>
      <c r="E16" s="23"/>
      <c r="F16" s="24"/>
      <c r="G16" s="24"/>
      <c r="H16" s="4" t="s">
        <v>24</v>
      </c>
      <c r="I16" s="116">
        <v>90</v>
      </c>
      <c r="J16" s="117"/>
      <c r="K16" s="26" t="s">
        <v>25</v>
      </c>
      <c r="L16" s="118">
        <v>2</v>
      </c>
      <c r="M16" s="119"/>
      <c r="N16" s="27"/>
    </row>
    <row r="17" spans="1:21" ht="13.5" customHeight="1" thickBot="1" x14ac:dyDescent="0.25">
      <c r="D17" s="22"/>
      <c r="E17" s="23"/>
      <c r="F17" s="24"/>
      <c r="G17" s="24"/>
      <c r="H17" s="28" t="s">
        <v>26</v>
      </c>
      <c r="I17" s="29">
        <v>5</v>
      </c>
      <c r="J17" s="28" t="s">
        <v>27</v>
      </c>
      <c r="K17" s="30">
        <f>MIN(ROUNDDOWN(H35/H34*100,0),ROUNDDOWN(C37*0.6/SIN(RADIANS(I16)),0),30)</f>
        <v>21</v>
      </c>
      <c r="L17" s="94" t="s">
        <v>28</v>
      </c>
      <c r="M17" s="95"/>
      <c r="N17" s="31"/>
    </row>
    <row r="18" spans="1:21" ht="13.5" customHeight="1" thickBot="1" x14ac:dyDescent="0.25">
      <c r="A18" s="86" t="s">
        <v>29</v>
      </c>
      <c r="B18" s="87"/>
      <c r="C18" s="88"/>
      <c r="D18" s="24"/>
      <c r="E18" s="32"/>
      <c r="F18" s="24"/>
      <c r="G18" s="24"/>
      <c r="H18" s="28" t="s">
        <v>30</v>
      </c>
      <c r="I18" s="29">
        <v>6.3</v>
      </c>
      <c r="J18" s="33" t="s">
        <v>31</v>
      </c>
      <c r="K18" s="30">
        <f>MAX(2,ROUNDUP(D40/D41,0))</f>
        <v>2</v>
      </c>
      <c r="L18" s="99">
        <f>D40/(D41*K18)</f>
        <v>8.0555234184648931E-5</v>
      </c>
      <c r="M18" s="100"/>
      <c r="N18" s="31"/>
    </row>
    <row r="19" spans="1:21" ht="13.5" customHeight="1" thickBot="1" x14ac:dyDescent="0.25">
      <c r="A19" s="96"/>
      <c r="B19" s="97"/>
      <c r="C19" s="98"/>
      <c r="D19" s="34"/>
      <c r="E19" s="35"/>
      <c r="F19" s="24"/>
      <c r="G19" s="24"/>
      <c r="H19" s="28" t="s">
        <v>32</v>
      </c>
      <c r="I19" s="29">
        <v>8</v>
      </c>
      <c r="J19" s="28" t="s">
        <v>31</v>
      </c>
      <c r="K19" s="30">
        <f>H40*2*IF(B11&gt;60,"1","0")</f>
        <v>0</v>
      </c>
      <c r="L19" s="99"/>
      <c r="M19" s="100"/>
      <c r="N19" s="31"/>
    </row>
    <row r="20" spans="1:21" ht="13.5" customHeight="1" thickBot="1" x14ac:dyDescent="0.25">
      <c r="A20" s="10" t="s">
        <v>33</v>
      </c>
      <c r="B20" s="84" t="str">
        <f>IF(MAX(C39:D39)&gt;0.36,"Momento acima do limite","OK")</f>
        <v>OK</v>
      </c>
      <c r="C20" s="85"/>
      <c r="D20" s="34"/>
      <c r="E20" s="36"/>
      <c r="F20" s="24"/>
      <c r="G20" s="24"/>
      <c r="H20" s="28" t="s">
        <v>34</v>
      </c>
      <c r="I20" s="29">
        <v>12.5</v>
      </c>
      <c r="J20" s="37" t="s">
        <v>31</v>
      </c>
      <c r="K20" s="38">
        <f>MAX(2,ROUNDUP(C40/C41,0))</f>
        <v>2</v>
      </c>
      <c r="L20" s="101">
        <f>C40/(C41*K20)</f>
        <v>0.26272026197649462</v>
      </c>
      <c r="M20" s="102"/>
      <c r="N20" s="31"/>
    </row>
    <row r="21" spans="1:21" ht="15.75" customHeight="1" thickBot="1" x14ac:dyDescent="0.25">
      <c r="A21" s="10" t="s">
        <v>35</v>
      </c>
      <c r="B21" s="84" t="str">
        <f>IF(L35&gt;250,"OK","Flecha acima do limite")</f>
        <v>OK</v>
      </c>
      <c r="C21" s="85"/>
      <c r="D21" s="34"/>
      <c r="E21" s="36"/>
      <c r="F21" s="24"/>
      <c r="G21" s="24"/>
      <c r="H21" s="39" t="s">
        <v>36</v>
      </c>
      <c r="I21" s="103">
        <f>E13*C30*VLOOKUP(A16,H11:M13,6,FALSE)</f>
        <v>0.95680000000000009</v>
      </c>
      <c r="J21" s="104"/>
      <c r="K21" s="40" t="s">
        <v>37</v>
      </c>
      <c r="L21" s="105">
        <f>E13*C30*VLOOKUP(A16,H11:M13,5,FALSE)</f>
        <v>0.95680000000000009</v>
      </c>
      <c r="M21" s="106"/>
      <c r="N21" s="31"/>
      <c r="O21" s="41"/>
    </row>
    <row r="22" spans="1:21" ht="12" customHeight="1" x14ac:dyDescent="0.2">
      <c r="A22" s="10" t="s">
        <v>38</v>
      </c>
      <c r="B22" s="84" t="str">
        <f>IF(H29&gt;H30,"Cortante acima do limite","OK")</f>
        <v>OK</v>
      </c>
      <c r="C22" s="85"/>
      <c r="D22" s="34"/>
      <c r="E22" s="36"/>
      <c r="F22" s="24"/>
      <c r="G22" s="24"/>
    </row>
    <row r="23" spans="1:21" ht="13.5" customHeight="1" thickBot="1" x14ac:dyDescent="0.25">
      <c r="A23" s="39" t="s">
        <v>39</v>
      </c>
      <c r="B23" s="91" t="str">
        <f>IF(L37&gt;0.04,"Taxa de aço acima do limite","OK")</f>
        <v>OK</v>
      </c>
      <c r="C23" s="92"/>
      <c r="D23" s="34"/>
      <c r="E23" s="36"/>
      <c r="F23" s="24"/>
      <c r="G23" s="24"/>
    </row>
    <row r="24" spans="1:21" ht="13.5" customHeight="1" x14ac:dyDescent="0.2">
      <c r="A24" s="34"/>
      <c r="B24" s="34"/>
      <c r="C24" s="34"/>
      <c r="D24" s="34"/>
      <c r="E24" s="24"/>
      <c r="F24" s="24"/>
      <c r="G24" s="24"/>
    </row>
    <row r="25" spans="1:21" ht="13.5" customHeight="1" x14ac:dyDescent="0.2">
      <c r="G25" s="42"/>
      <c r="N25" s="41"/>
      <c r="R25" s="41"/>
      <c r="S25" s="41"/>
      <c r="T25" s="41"/>
      <c r="U25" s="24"/>
    </row>
    <row r="26" spans="1:21" ht="13.5" customHeight="1" x14ac:dyDescent="0.25">
      <c r="A26" s="93" t="s">
        <v>40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R26" s="41"/>
      <c r="S26" s="41"/>
      <c r="T26" s="41"/>
      <c r="U26" s="24"/>
    </row>
    <row r="27" spans="1:21" ht="13.5" customHeight="1" thickBot="1" x14ac:dyDescent="0.25">
      <c r="G27" s="43"/>
      <c r="N27" s="44"/>
      <c r="R27" s="41"/>
      <c r="S27" s="41"/>
      <c r="T27" s="41"/>
      <c r="U27" s="24"/>
    </row>
    <row r="28" spans="1:21" ht="13.5" customHeight="1" thickBot="1" x14ac:dyDescent="0.25">
      <c r="A28" s="22"/>
      <c r="B28" s="24"/>
      <c r="C28" s="24"/>
      <c r="D28" s="24"/>
      <c r="E28" s="24"/>
      <c r="F28" s="24"/>
      <c r="G28" s="86" t="s">
        <v>41</v>
      </c>
      <c r="H28" s="87"/>
      <c r="I28" s="88"/>
      <c r="K28" s="77" t="s">
        <v>42</v>
      </c>
      <c r="L28" s="78"/>
      <c r="M28" s="79"/>
      <c r="N28" s="24"/>
      <c r="R28" s="41"/>
      <c r="S28" s="41"/>
      <c r="T28" s="41"/>
      <c r="U28" s="24"/>
    </row>
    <row r="29" spans="1:21" ht="13.5" customHeight="1" x14ac:dyDescent="0.2">
      <c r="A29" s="22"/>
      <c r="B29" s="86" t="s">
        <v>43</v>
      </c>
      <c r="C29" s="87"/>
      <c r="D29" s="88"/>
      <c r="G29" s="45" t="s">
        <v>44</v>
      </c>
      <c r="H29" s="84">
        <f>(MAX(I21,L21)-(E13/100*MIN(C37:D37)))*1.4</f>
        <v>1.0136000000000001</v>
      </c>
      <c r="I29" s="85"/>
      <c r="K29" s="45" t="s">
        <v>45</v>
      </c>
      <c r="L29" s="89">
        <f>B10*B11^3/12</f>
        <v>74666.666666666672</v>
      </c>
      <c r="M29" s="90"/>
      <c r="N29" s="24"/>
      <c r="R29" s="41"/>
      <c r="S29" s="41"/>
      <c r="T29" s="41"/>
      <c r="U29" s="24"/>
    </row>
    <row r="30" spans="1:21" ht="13.5" customHeight="1" x14ac:dyDescent="0.2">
      <c r="A30" s="22"/>
      <c r="B30" s="45" t="s">
        <v>46</v>
      </c>
      <c r="C30" s="82">
        <f>(B12+MIN(B13*0.5,B11*0.3)+MIN(B14*0.5,B11*0.3))/100</f>
        <v>2.99</v>
      </c>
      <c r="D30" s="83"/>
      <c r="G30" s="45" t="s">
        <v>47</v>
      </c>
      <c r="H30" s="69">
        <f>0.27*C37*B10*C31</f>
        <v>20.870156249999997</v>
      </c>
      <c r="I30" s="70"/>
      <c r="K30" s="45" t="s">
        <v>48</v>
      </c>
      <c r="L30" s="89">
        <f>(0.8+E10/80*0.2)*5600*E10^(1/2)/100</f>
        <v>241.5</v>
      </c>
      <c r="M30" s="90"/>
      <c r="N30" s="24"/>
      <c r="R30" s="41"/>
      <c r="S30" s="41"/>
      <c r="T30" s="41"/>
      <c r="U30" s="24"/>
    </row>
    <row r="31" spans="1:21" ht="13.5" customHeight="1" x14ac:dyDescent="0.2">
      <c r="A31" s="22"/>
      <c r="B31" s="45" t="s">
        <v>49</v>
      </c>
      <c r="C31" s="82">
        <f>E10/1.4/100*0.85</f>
        <v>0.15178571428571427</v>
      </c>
      <c r="D31" s="83"/>
      <c r="G31" s="45" t="s">
        <v>50</v>
      </c>
      <c r="H31" s="84">
        <f>0.21*E10^(2/3)/1.4/100</f>
        <v>1.2824819600075222E-2</v>
      </c>
      <c r="I31" s="85"/>
      <c r="K31" s="45" t="s">
        <v>51</v>
      </c>
      <c r="L31" s="84">
        <f>(E13/100)*(C30*100)^4/L30/L29/VLOOKUP(A16,H11:M13,4,FALSE)</f>
        <v>3.693682897534014E-2</v>
      </c>
      <c r="M31" s="85"/>
      <c r="N31" s="24"/>
      <c r="O31" s="24"/>
      <c r="P31" s="24"/>
      <c r="Q31" s="41"/>
      <c r="R31" s="41"/>
      <c r="S31" s="41"/>
      <c r="T31" s="41"/>
      <c r="U31" s="24"/>
    </row>
    <row r="32" spans="1:21" ht="13.5" customHeight="1" thickBot="1" x14ac:dyDescent="0.25">
      <c r="A32" s="22"/>
      <c r="B32" s="46" t="s">
        <v>52</v>
      </c>
      <c r="C32" s="80">
        <f>E11/1.15/100</f>
        <v>4.3478260869565215</v>
      </c>
      <c r="D32" s="81"/>
      <c r="G32" s="45" t="s">
        <v>53</v>
      </c>
      <c r="H32" s="69">
        <f>MIN(H31*0.6*C37*B10,H29-0.001)</f>
        <v>1.0126000000000002</v>
      </c>
      <c r="I32" s="70"/>
      <c r="K32" s="45" t="s">
        <v>54</v>
      </c>
      <c r="L32" s="65">
        <v>2</v>
      </c>
      <c r="M32" s="66"/>
      <c r="N32" s="41"/>
      <c r="O32" s="24"/>
      <c r="P32" s="24"/>
      <c r="S32" s="41"/>
      <c r="T32" s="47"/>
      <c r="U32" s="24"/>
    </row>
    <row r="33" spans="1:21" ht="13.5" customHeight="1" thickBot="1" x14ac:dyDescent="0.25">
      <c r="A33" s="22"/>
      <c r="B33" s="24"/>
      <c r="C33" s="24"/>
      <c r="G33" s="45" t="s">
        <v>55</v>
      </c>
      <c r="H33" s="82">
        <f>H29-H32</f>
        <v>9.9999999999988987E-4</v>
      </c>
      <c r="I33" s="83"/>
      <c r="K33" s="45" t="s">
        <v>56</v>
      </c>
      <c r="L33" s="84">
        <f>L31*(1+L32)</f>
        <v>0.11081048692602041</v>
      </c>
      <c r="M33" s="85"/>
      <c r="N33" s="41"/>
      <c r="O33" s="24"/>
      <c r="P33" s="24"/>
      <c r="S33" s="41"/>
      <c r="T33" s="41"/>
      <c r="U33" s="24"/>
    </row>
    <row r="34" spans="1:21" ht="13.5" customHeight="1" thickBot="1" x14ac:dyDescent="0.25">
      <c r="A34" s="22"/>
      <c r="B34" s="86" t="s">
        <v>57</v>
      </c>
      <c r="C34" s="87"/>
      <c r="D34" s="88"/>
      <c r="G34" s="45" t="s">
        <v>58</v>
      </c>
      <c r="H34" s="69">
        <f>MAX(H33/0.9/C37/C32*100/(COS(RADIANS(I16))+SIN(RADIANS(I16))),0.2*(H31*0.3/0.21*1.4)/(E11/100)*100*B10)</f>
        <v>1.4363797952084247</v>
      </c>
      <c r="I34" s="70"/>
      <c r="K34" s="45" t="s">
        <v>59</v>
      </c>
      <c r="L34" s="84">
        <f>C30*100/250</f>
        <v>1.196</v>
      </c>
      <c r="M34" s="85"/>
      <c r="N34" s="41"/>
      <c r="O34" s="24"/>
      <c r="P34" s="24"/>
      <c r="S34" s="41"/>
      <c r="T34" s="41"/>
      <c r="U34" s="24"/>
    </row>
    <row r="35" spans="1:21" ht="15" customHeight="1" thickBot="1" x14ac:dyDescent="0.25">
      <c r="B35" s="48"/>
      <c r="C35" s="49" t="s">
        <v>60</v>
      </c>
      <c r="D35" s="50" t="s">
        <v>61</v>
      </c>
      <c r="G35" s="45" t="s">
        <v>62</v>
      </c>
      <c r="H35" s="69">
        <f>(I17/10)^2*3.141592/4*2*L16</f>
        <v>0.78539800000000004</v>
      </c>
      <c r="I35" s="70"/>
      <c r="K35" s="51" t="s">
        <v>63</v>
      </c>
      <c r="L35" s="71">
        <f>B12/L33</f>
        <v>2571.958736994563</v>
      </c>
      <c r="M35" s="72"/>
      <c r="O35" s="41"/>
      <c r="S35" s="41"/>
      <c r="T35" s="41"/>
      <c r="U35" s="24"/>
    </row>
    <row r="36" spans="1:21" ht="15" customHeight="1" thickBot="1" x14ac:dyDescent="0.25">
      <c r="B36" s="45" t="s">
        <v>64</v>
      </c>
      <c r="C36" s="52">
        <f>E13*C30^2/VLOOKUP(A16,H11:M13,2,FALSE)*100*1.4</f>
        <v>100.12912</v>
      </c>
      <c r="D36" s="53">
        <f>E13*C30^2/VLOOKUP(A16,H11:M13,3,FALSE)*1.4*100</f>
        <v>8.0104097040970407E-3</v>
      </c>
      <c r="G36" s="54" t="s">
        <v>65</v>
      </c>
      <c r="H36" s="73">
        <f>(COS(RADIANS(I16))+SIN(RADIANS(I16)))</f>
        <v>1</v>
      </c>
      <c r="I36" s="74"/>
      <c r="O36" s="41"/>
      <c r="S36" s="41"/>
      <c r="T36" s="41"/>
      <c r="U36" s="24"/>
    </row>
    <row r="37" spans="1:21" ht="15" customHeight="1" thickBot="1" x14ac:dyDescent="0.25">
      <c r="B37" s="45" t="s">
        <v>66</v>
      </c>
      <c r="C37" s="55">
        <f>B11-E12-I17/10-I20/20</f>
        <v>36.375</v>
      </c>
      <c r="D37" s="56">
        <f>B11-E12-I17/10-I18/20</f>
        <v>36.685000000000002</v>
      </c>
      <c r="K37" s="57" t="s">
        <v>39</v>
      </c>
      <c r="L37" s="75">
        <f>(K18*D41+K20*C41+I19^2*3.141592/400*K19)/B10/B11</f>
        <v>5.4961030042857146E-3</v>
      </c>
      <c r="M37" s="76"/>
    </row>
    <row r="38" spans="1:21" ht="15" customHeight="1" thickBot="1" x14ac:dyDescent="0.25">
      <c r="B38" s="45" t="s">
        <v>67</v>
      </c>
      <c r="C38" s="58">
        <f>C36/C37^2/$B$10/$C$31</f>
        <v>3.56119258921197E-2</v>
      </c>
      <c r="D38" s="59">
        <f>D36/D37^2/$B$10/$C$31</f>
        <v>2.8010363707837693E-6</v>
      </c>
      <c r="G38" s="77" t="s">
        <v>68</v>
      </c>
      <c r="H38" s="78"/>
      <c r="I38" s="79"/>
    </row>
    <row r="39" spans="1:21" ht="15" customHeight="1" x14ac:dyDescent="0.2">
      <c r="B39" s="45" t="s">
        <v>69</v>
      </c>
      <c r="C39" s="58">
        <f>1-(1-(2*C38))^0.5</f>
        <v>3.6269670387114705E-2</v>
      </c>
      <c r="D39" s="59">
        <f t="shared" ref="D39" si="0">1-(1-2*D38)^0.5</f>
        <v>2.8010402937095336E-6</v>
      </c>
      <c r="G39" s="45" t="s">
        <v>70</v>
      </c>
      <c r="H39" s="69">
        <f>B10*B11*0.001*IF(B11&gt;60,"1","0")</f>
        <v>0</v>
      </c>
      <c r="I39" s="70"/>
    </row>
    <row r="40" spans="1:21" ht="15" customHeight="1" x14ac:dyDescent="0.2">
      <c r="B40" s="45" t="s">
        <v>71</v>
      </c>
      <c r="C40" s="58">
        <f>C39*C37*$B$10*$C$31/$C$32</f>
        <v>0.64481240098692161</v>
      </c>
      <c r="D40" s="59">
        <f>D39*D37*$B$10*$C$31/$C$32</f>
        <v>5.0222074751651363E-5</v>
      </c>
      <c r="G40" s="45" t="s">
        <v>72</v>
      </c>
      <c r="H40" s="65">
        <f>ROUNDUP((B11-E12*2-I17/10*2-I18/10-I20/10)/20-1,0)</f>
        <v>1</v>
      </c>
      <c r="I40" s="66"/>
    </row>
    <row r="41" spans="1:21" ht="15" customHeight="1" thickBot="1" x14ac:dyDescent="0.25">
      <c r="B41" s="46" t="s">
        <v>73</v>
      </c>
      <c r="C41" s="60">
        <f>I20^2*3.141592/400</f>
        <v>1.227184375</v>
      </c>
      <c r="D41" s="61">
        <f>I18^2*3.141592/400</f>
        <v>0.31172446619999999</v>
      </c>
      <c r="G41" s="46" t="s">
        <v>74</v>
      </c>
      <c r="H41" s="67">
        <f>(H39/H40*4/3.141592)^0.5*10</f>
        <v>0</v>
      </c>
      <c r="I41" s="68"/>
    </row>
    <row r="42" spans="1:21" ht="15" customHeight="1" x14ac:dyDescent="0.2">
      <c r="G42" s="27"/>
      <c r="H42" s="31"/>
    </row>
    <row r="53" spans="5:6" ht="15" customHeight="1" x14ac:dyDescent="0.2">
      <c r="E53" s="27"/>
      <c r="F53" s="31"/>
    </row>
    <row r="54" spans="5:6" ht="15" customHeight="1" x14ac:dyDescent="0.2">
      <c r="E54" s="31"/>
      <c r="F54" s="62"/>
    </row>
    <row r="55" spans="5:6" ht="15" customHeight="1" x14ac:dyDescent="0.2">
      <c r="E55" s="22"/>
      <c r="F55" s="63"/>
    </row>
    <row r="56" spans="5:6" ht="15" customHeight="1" x14ac:dyDescent="0.2">
      <c r="E56" s="22"/>
      <c r="F56" s="64"/>
    </row>
    <row r="57" spans="5:6" ht="15" customHeight="1" x14ac:dyDescent="0.2">
      <c r="E57" s="24"/>
      <c r="F57" s="24"/>
    </row>
    <row r="58" spans="5:6" ht="15" customHeight="1" x14ac:dyDescent="0.2">
      <c r="E58" s="24"/>
      <c r="F58" s="24"/>
    </row>
    <row r="59" spans="5:6" ht="15" customHeight="1" x14ac:dyDescent="0.2">
      <c r="E59" s="24"/>
      <c r="F59" s="24"/>
    </row>
    <row r="60" spans="5:6" ht="15" customHeight="1" x14ac:dyDescent="0.2">
      <c r="E60" s="41"/>
      <c r="F60" s="41"/>
    </row>
    <row r="61" spans="5:6" ht="15" customHeight="1" x14ac:dyDescent="0.2">
      <c r="E61" s="41"/>
      <c r="F61" s="41"/>
    </row>
    <row r="62" spans="5:6" ht="15" customHeight="1" x14ac:dyDescent="0.2">
      <c r="E62" s="41"/>
      <c r="F62" s="41"/>
    </row>
    <row r="63" spans="5:6" ht="15" customHeight="1" x14ac:dyDescent="0.2">
      <c r="E63" s="41"/>
      <c r="F63" s="41"/>
    </row>
  </sheetData>
  <mergeCells count="57">
    <mergeCell ref="B10:C10"/>
    <mergeCell ref="E10:F10"/>
    <mergeCell ref="A1:N2"/>
    <mergeCell ref="A4:N5"/>
    <mergeCell ref="A7:F7"/>
    <mergeCell ref="H7:N7"/>
    <mergeCell ref="A9:F9"/>
    <mergeCell ref="B11:C11"/>
    <mergeCell ref="E11:F11"/>
    <mergeCell ref="B12:C12"/>
    <mergeCell ref="E12:F12"/>
    <mergeCell ref="B13:C13"/>
    <mergeCell ref="E13:F13"/>
    <mergeCell ref="B14:C14"/>
    <mergeCell ref="H14:N14"/>
    <mergeCell ref="A15:C15"/>
    <mergeCell ref="A16:C16"/>
    <mergeCell ref="I16:J16"/>
    <mergeCell ref="L16:M16"/>
    <mergeCell ref="B29:D29"/>
    <mergeCell ref="H29:I29"/>
    <mergeCell ref="L29:M29"/>
    <mergeCell ref="L17:M17"/>
    <mergeCell ref="A18:C19"/>
    <mergeCell ref="L18:M19"/>
    <mergeCell ref="B20:C20"/>
    <mergeCell ref="L20:M20"/>
    <mergeCell ref="B21:C21"/>
    <mergeCell ref="I21:J21"/>
    <mergeCell ref="L21:M21"/>
    <mergeCell ref="B22:C22"/>
    <mergeCell ref="B23:C23"/>
    <mergeCell ref="A26:N26"/>
    <mergeCell ref="G28:I28"/>
    <mergeCell ref="K28:M28"/>
    <mergeCell ref="B34:D34"/>
    <mergeCell ref="H34:I34"/>
    <mergeCell ref="L34:M34"/>
    <mergeCell ref="C30:D30"/>
    <mergeCell ref="H30:I30"/>
    <mergeCell ref="L30:M30"/>
    <mergeCell ref="C31:D31"/>
    <mergeCell ref="H31:I31"/>
    <mergeCell ref="L31:M31"/>
    <mergeCell ref="C32:D32"/>
    <mergeCell ref="H32:I32"/>
    <mergeCell ref="L32:M32"/>
    <mergeCell ref="H33:I33"/>
    <mergeCell ref="L33:M33"/>
    <mergeCell ref="H40:I40"/>
    <mergeCell ref="H41:I41"/>
    <mergeCell ref="H35:I35"/>
    <mergeCell ref="L35:M35"/>
    <mergeCell ref="H36:I36"/>
    <mergeCell ref="L37:M37"/>
    <mergeCell ref="G38:I38"/>
    <mergeCell ref="H39:I39"/>
  </mergeCells>
  <dataValidations count="3">
    <dataValidation type="list" allowBlank="1" showInputMessage="1" showErrorMessage="1" prompt=" - " sqref="A16:C16" xr:uid="{C2B1672C-81AE-4F3D-A4B9-0EFD677242B5}">
      <formula1>$H$11:$H$12</formula1>
    </dataValidation>
    <dataValidation type="list" allowBlank="1" showInputMessage="1" showErrorMessage="1" sqref="I18" xr:uid="{78F61007-8025-4C5D-A816-0325A0A8926B}">
      <mc:AlternateContent xmlns:x12ac="http://schemas.microsoft.com/office/spreadsheetml/2011/1/ac" xmlns:mc="http://schemas.openxmlformats.org/markup-compatibility/2006">
        <mc:Choice Requires="x12ac">
          <x12ac:list>5.0,"6,3",8,10,"12,5",16,20,25</x12ac:list>
        </mc:Choice>
        <mc:Fallback>
          <formula1>"5.0,6,3,8,10,12,5,16,20,25"</formula1>
        </mc:Fallback>
      </mc:AlternateContent>
    </dataValidation>
    <dataValidation type="list" allowBlank="1" showInputMessage="1" showErrorMessage="1" sqref="I17 I19:I20" xr:uid="{9846BC41-72BA-4790-AD9F-EFB8626B9021}">
      <mc:AlternateContent xmlns:x12ac="http://schemas.microsoft.com/office/spreadsheetml/2011/1/ac" xmlns:mc="http://schemas.openxmlformats.org/markup-compatibility/2006">
        <mc:Choice Requires="x12ac">
          <x12ac:list>5,"6,3",8,10,"12,5",16,20,25</x12ac:list>
        </mc:Choice>
        <mc:Fallback>
          <formula1>"5,6,3,8,10,12,5,16,20,25"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Simões</dc:creator>
  <cp:lastModifiedBy>Jonathan Simões</cp:lastModifiedBy>
  <dcterms:created xsi:type="dcterms:W3CDTF">2024-03-21T20:21:18Z</dcterms:created>
  <dcterms:modified xsi:type="dcterms:W3CDTF">2024-03-26T16:30:57Z</dcterms:modified>
</cp:coreProperties>
</file>