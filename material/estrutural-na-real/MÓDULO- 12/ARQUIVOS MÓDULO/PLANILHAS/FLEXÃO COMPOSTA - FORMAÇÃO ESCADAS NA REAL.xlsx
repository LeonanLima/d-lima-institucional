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than\Desktop\Curso Escada\MÓDULO ESCADA RETA BIAPOIADA E AUTOPORTANTE\"/>
    </mc:Choice>
  </mc:AlternateContent>
  <xr:revisionPtr revIDLastSave="0" documentId="13_ncr:1_{9C8ED18D-B848-4268-A2CB-ECF5A2A0E1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LEXÃO COMPOSTA " sheetId="11" r:id="rId1"/>
  </sheets>
  <calcPr calcId="191029"/>
</workbook>
</file>

<file path=xl/calcChain.xml><?xml version="1.0" encoding="utf-8"?>
<calcChain xmlns="http://schemas.openxmlformats.org/spreadsheetml/2006/main">
  <c r="F30" i="11" l="1"/>
  <c r="E30" i="11"/>
  <c r="D30" i="11"/>
  <c r="C30" i="11"/>
  <c r="B30" i="11"/>
  <c r="A30" i="11"/>
  <c r="A38" i="11" l="1"/>
  <c r="G38" i="11"/>
  <c r="D49" i="11"/>
  <c r="E49" i="11" s="1"/>
  <c r="D48" i="11"/>
  <c r="E48" i="11" s="1"/>
  <c r="D47" i="11"/>
  <c r="E47" i="11" s="1"/>
  <c r="D46" i="11"/>
  <c r="E46" i="11" s="1"/>
  <c r="D45" i="11"/>
  <c r="E45" i="11" s="1"/>
  <c r="G22" i="11"/>
  <c r="I22" i="11" s="1"/>
  <c r="I26" i="11"/>
  <c r="H26" i="11"/>
  <c r="D26" i="11"/>
  <c r="F26" i="11" s="1"/>
  <c r="G26" i="11" s="1"/>
  <c r="C26" i="11"/>
  <c r="B26" i="11"/>
  <c r="D22" i="11"/>
  <c r="C22" i="11"/>
  <c r="A22" i="11"/>
  <c r="B22" i="11" s="1"/>
  <c r="H38" i="11" l="1"/>
  <c r="F38" i="11"/>
  <c r="B38" i="11"/>
  <c r="C38" i="11" s="1"/>
  <c r="D38" i="11" s="1"/>
  <c r="E22" i="11"/>
  <c r="E26" i="11"/>
  <c r="L38" i="11" l="1"/>
  <c r="E42" i="11" s="1"/>
  <c r="A34" i="11"/>
  <c r="B34" i="11" s="1"/>
  <c r="I38" i="11"/>
  <c r="J38" i="11" s="1"/>
  <c r="C42" i="11" s="1"/>
  <c r="D42" i="11" s="1"/>
  <c r="K38" i="11"/>
  <c r="E38" i="11"/>
  <c r="W38" i="11"/>
  <c r="F42" i="11" l="1"/>
  <c r="C34" i="11"/>
  <c r="D34" i="11" l="1"/>
  <c r="E34" i="11"/>
  <c r="F34" i="11" l="1"/>
  <c r="G34" i="11" s="1"/>
  <c r="H34" i="11" s="1"/>
  <c r="J34" i="11" s="1"/>
  <c r="G42" i="11" s="1"/>
  <c r="H42" i="11" s="1"/>
  <c r="L14" i="11" s="1"/>
  <c r="I42" i="11" s="1"/>
</calcChain>
</file>

<file path=xl/sharedStrings.xml><?xml version="1.0" encoding="utf-8"?>
<sst xmlns="http://schemas.openxmlformats.org/spreadsheetml/2006/main" count="122" uniqueCount="88">
  <si>
    <t>h</t>
  </si>
  <si>
    <t>d'</t>
  </si>
  <si>
    <t>d</t>
  </si>
  <si>
    <t>(m)</t>
  </si>
  <si>
    <t>(cm²)</t>
  </si>
  <si>
    <t>ARMADURA</t>
  </si>
  <si>
    <t>ᴓ (mm)</t>
  </si>
  <si>
    <t>ᴓ (cm)</t>
  </si>
  <si>
    <t>Área cm²</t>
  </si>
  <si>
    <r>
      <t>f</t>
    </r>
    <r>
      <rPr>
        <b/>
        <vertAlign val="subscript"/>
        <sz val="12"/>
        <color theme="1"/>
        <rFont val="Andalus"/>
        <family val="1"/>
      </rPr>
      <t>ck</t>
    </r>
  </si>
  <si>
    <r>
      <t>f</t>
    </r>
    <r>
      <rPr>
        <b/>
        <vertAlign val="subscript"/>
        <sz val="12"/>
        <color theme="1"/>
        <rFont val="Andalus"/>
        <family val="1"/>
      </rPr>
      <t>cd</t>
    </r>
  </si>
  <si>
    <r>
      <t>f</t>
    </r>
    <r>
      <rPr>
        <b/>
        <vertAlign val="subscript"/>
        <sz val="12"/>
        <color theme="1"/>
        <rFont val="Andalus"/>
        <family val="1"/>
      </rPr>
      <t>yk</t>
    </r>
  </si>
  <si>
    <r>
      <t>f</t>
    </r>
    <r>
      <rPr>
        <b/>
        <vertAlign val="subscript"/>
        <sz val="12"/>
        <color theme="1"/>
        <rFont val="Andalus"/>
        <family val="1"/>
      </rPr>
      <t>yd</t>
    </r>
  </si>
  <si>
    <r>
      <t>A</t>
    </r>
    <r>
      <rPr>
        <b/>
        <vertAlign val="subscript"/>
        <sz val="12"/>
        <color theme="1"/>
        <rFont val="Andalus"/>
        <family val="1"/>
      </rPr>
      <t>s,adot.</t>
    </r>
  </si>
  <si>
    <r>
      <t>A</t>
    </r>
    <r>
      <rPr>
        <b/>
        <vertAlign val="subscript"/>
        <sz val="12"/>
        <color theme="1"/>
        <rFont val="Andalus"/>
        <family val="1"/>
      </rPr>
      <t>s,mín.</t>
    </r>
  </si>
  <si>
    <r>
      <t>K</t>
    </r>
    <r>
      <rPr>
        <b/>
        <vertAlign val="subscript"/>
        <sz val="12"/>
        <color theme="1"/>
        <rFont val="Andalus"/>
        <family val="1"/>
      </rPr>
      <t>MD</t>
    </r>
  </si>
  <si>
    <r>
      <t>K</t>
    </r>
    <r>
      <rPr>
        <b/>
        <vertAlign val="subscript"/>
        <sz val="12"/>
        <color theme="1"/>
        <rFont val="Andalus"/>
        <family val="1"/>
      </rPr>
      <t>X</t>
    </r>
  </si>
  <si>
    <t>X</t>
  </si>
  <si>
    <r>
      <t>K</t>
    </r>
    <r>
      <rPr>
        <b/>
        <vertAlign val="subscript"/>
        <sz val="12"/>
        <color theme="1"/>
        <rFont val="Andalus"/>
        <family val="1"/>
      </rPr>
      <t>Z</t>
    </r>
  </si>
  <si>
    <t>Z</t>
  </si>
  <si>
    <t>(m³)</t>
  </si>
  <si>
    <r>
      <t>f</t>
    </r>
    <r>
      <rPr>
        <b/>
        <vertAlign val="subscript"/>
        <sz val="12"/>
        <color theme="1"/>
        <rFont val="Andalus"/>
        <family val="1"/>
      </rPr>
      <t>ctm</t>
    </r>
  </si>
  <si>
    <r>
      <t>f</t>
    </r>
    <r>
      <rPr>
        <b/>
        <vertAlign val="subscript"/>
        <sz val="12"/>
        <color theme="1"/>
        <rFont val="Andalus"/>
        <family val="1"/>
      </rPr>
      <t>ctk, sup.</t>
    </r>
  </si>
  <si>
    <r>
      <t>M</t>
    </r>
    <r>
      <rPr>
        <b/>
        <vertAlign val="subscript"/>
        <sz val="12"/>
        <color theme="1"/>
        <rFont val="Andalus"/>
        <family val="1"/>
      </rPr>
      <t>d, mín.</t>
    </r>
  </si>
  <si>
    <r>
      <t>r</t>
    </r>
    <r>
      <rPr>
        <b/>
        <vertAlign val="subscript"/>
        <sz val="14"/>
        <color theme="1"/>
        <rFont val="Andalus"/>
        <family val="1"/>
      </rPr>
      <t>mín.</t>
    </r>
  </si>
  <si>
    <r>
      <t>r</t>
    </r>
    <r>
      <rPr>
        <b/>
        <vertAlign val="subscript"/>
        <sz val="14"/>
        <color theme="1"/>
        <rFont val="Andalus"/>
        <family val="1"/>
      </rPr>
      <t>calc.</t>
    </r>
  </si>
  <si>
    <t>(0/0000)</t>
  </si>
  <si>
    <t>(MPa)</t>
  </si>
  <si>
    <t>(GPa)</t>
  </si>
  <si>
    <t>Ø</t>
  </si>
  <si>
    <t>d'/d</t>
  </si>
  <si>
    <t>Engenheiro Waltner Wagner</t>
  </si>
  <si>
    <t xml:space="preserve">(@eng.waltnerwagner) </t>
  </si>
  <si>
    <t>Preencha apenas as células com essa cor de fundo!</t>
  </si>
  <si>
    <t>(EngenheiroWaltnerWagner)</t>
  </si>
  <si>
    <t>DADOS INICIAIS</t>
  </si>
  <si>
    <r>
      <t>b</t>
    </r>
    <r>
      <rPr>
        <b/>
        <vertAlign val="subscript"/>
        <sz val="12"/>
        <color theme="1"/>
        <rFont val="Arial"/>
        <family val="2"/>
      </rPr>
      <t>w</t>
    </r>
  </si>
  <si>
    <r>
      <t>y</t>
    </r>
    <r>
      <rPr>
        <b/>
        <vertAlign val="subscript"/>
        <sz val="12"/>
        <color theme="1"/>
        <rFont val="Arial"/>
        <family val="2"/>
      </rPr>
      <t>t</t>
    </r>
  </si>
  <si>
    <r>
      <t>I</t>
    </r>
    <r>
      <rPr>
        <b/>
        <vertAlign val="subscript"/>
        <sz val="12"/>
        <color theme="1"/>
        <rFont val="Arial"/>
        <family val="2"/>
      </rPr>
      <t>c</t>
    </r>
  </si>
  <si>
    <r>
      <t>W</t>
    </r>
    <r>
      <rPr>
        <b/>
        <vertAlign val="subscript"/>
        <sz val="12"/>
        <color theme="1"/>
        <rFont val="Arial"/>
        <family val="2"/>
      </rPr>
      <t>0</t>
    </r>
  </si>
  <si>
    <r>
      <t>(m</t>
    </r>
    <r>
      <rPr>
        <vertAlign val="super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)</t>
    </r>
  </si>
  <si>
    <r>
      <t>f</t>
    </r>
    <r>
      <rPr>
        <b/>
        <vertAlign val="subscript"/>
        <sz val="12"/>
        <color theme="1"/>
        <rFont val="Arial"/>
        <family val="2"/>
      </rPr>
      <t>ck</t>
    </r>
  </si>
  <si>
    <r>
      <t>f</t>
    </r>
    <r>
      <rPr>
        <b/>
        <vertAlign val="subscript"/>
        <sz val="12"/>
        <color theme="1"/>
        <rFont val="Arial"/>
        <family val="2"/>
      </rPr>
      <t>cd</t>
    </r>
  </si>
  <si>
    <r>
      <t>f</t>
    </r>
    <r>
      <rPr>
        <b/>
        <vertAlign val="subscript"/>
        <sz val="12"/>
        <color theme="1"/>
        <rFont val="Arial"/>
        <family val="2"/>
      </rPr>
      <t>ct,m</t>
    </r>
  </si>
  <si>
    <r>
      <t>f</t>
    </r>
    <r>
      <rPr>
        <b/>
        <vertAlign val="subscript"/>
        <sz val="12"/>
        <color theme="1"/>
        <rFont val="Arial"/>
        <family val="2"/>
      </rPr>
      <t>ctk, sup.</t>
    </r>
  </si>
  <si>
    <r>
      <t>f</t>
    </r>
    <r>
      <rPr>
        <b/>
        <vertAlign val="subscript"/>
        <sz val="12"/>
        <color theme="1"/>
        <rFont val="Arial"/>
        <family val="2"/>
      </rPr>
      <t>ctk, inf.</t>
    </r>
  </si>
  <si>
    <r>
      <t>f</t>
    </r>
    <r>
      <rPr>
        <b/>
        <vertAlign val="subscript"/>
        <sz val="12"/>
        <color theme="1"/>
        <rFont val="Arial"/>
        <family val="2"/>
      </rPr>
      <t>ctd</t>
    </r>
  </si>
  <si>
    <r>
      <t>a</t>
    </r>
    <r>
      <rPr>
        <b/>
        <vertAlign val="subscript"/>
        <sz val="14"/>
        <color theme="1"/>
        <rFont val="Arial"/>
        <family val="2"/>
      </rPr>
      <t>c</t>
    </r>
  </si>
  <si>
    <t>(‰)</t>
  </si>
  <si>
    <r>
      <t>f</t>
    </r>
    <r>
      <rPr>
        <b/>
        <vertAlign val="subscript"/>
        <sz val="12"/>
        <color theme="1"/>
        <rFont val="Arial"/>
        <family val="2"/>
      </rPr>
      <t>yk</t>
    </r>
  </si>
  <si>
    <r>
      <t>f</t>
    </r>
    <r>
      <rPr>
        <b/>
        <vertAlign val="subscript"/>
        <sz val="12"/>
        <color theme="1"/>
        <rFont val="Arial"/>
        <family val="2"/>
      </rPr>
      <t>yd</t>
    </r>
  </si>
  <si>
    <r>
      <t>E</t>
    </r>
    <r>
      <rPr>
        <b/>
        <vertAlign val="subscript"/>
        <sz val="12"/>
        <color theme="1"/>
        <rFont val="Arial"/>
        <family val="2"/>
      </rPr>
      <t>s</t>
    </r>
  </si>
  <si>
    <r>
      <t>N</t>
    </r>
    <r>
      <rPr>
        <b/>
        <vertAlign val="subscript"/>
        <sz val="12"/>
        <color theme="1"/>
        <rFont val="Arial"/>
        <family val="2"/>
      </rPr>
      <t>sd</t>
    </r>
  </si>
  <si>
    <r>
      <t>M</t>
    </r>
    <r>
      <rPr>
        <b/>
        <vertAlign val="subscript"/>
        <sz val="12"/>
        <color theme="1"/>
        <rFont val="Arial"/>
        <family val="2"/>
      </rPr>
      <t>sd</t>
    </r>
  </si>
  <si>
    <r>
      <t>y</t>
    </r>
    <r>
      <rPr>
        <b/>
        <vertAlign val="subscript"/>
        <sz val="12"/>
        <color theme="1"/>
        <rFont val="Arial"/>
        <family val="2"/>
      </rPr>
      <t>S</t>
    </r>
  </si>
  <si>
    <r>
      <t>M</t>
    </r>
    <r>
      <rPr>
        <b/>
        <vertAlign val="subscript"/>
        <sz val="12"/>
        <color theme="1"/>
        <rFont val="Arial"/>
        <family val="2"/>
      </rPr>
      <t>Rd</t>
    </r>
  </si>
  <si>
    <r>
      <t>K</t>
    </r>
    <r>
      <rPr>
        <b/>
        <vertAlign val="subscript"/>
        <sz val="12"/>
        <color theme="1"/>
        <rFont val="Arial"/>
        <family val="2"/>
      </rPr>
      <t>MD</t>
    </r>
  </si>
  <si>
    <r>
      <t>K</t>
    </r>
    <r>
      <rPr>
        <b/>
        <vertAlign val="subscript"/>
        <sz val="12"/>
        <color theme="1"/>
        <rFont val="Arial"/>
        <family val="2"/>
      </rPr>
      <t>X</t>
    </r>
  </si>
  <si>
    <r>
      <t>K</t>
    </r>
    <r>
      <rPr>
        <b/>
        <vertAlign val="subscript"/>
        <sz val="12"/>
        <color theme="1"/>
        <rFont val="Arial"/>
        <family val="2"/>
      </rPr>
      <t>X 2-3</t>
    </r>
  </si>
  <si>
    <r>
      <t>K</t>
    </r>
    <r>
      <rPr>
        <b/>
        <vertAlign val="subscript"/>
        <sz val="12"/>
        <color theme="1"/>
        <rFont val="Arial"/>
        <family val="2"/>
      </rPr>
      <t>X, lim.</t>
    </r>
  </si>
  <si>
    <r>
      <t>K</t>
    </r>
    <r>
      <rPr>
        <b/>
        <vertAlign val="subscript"/>
        <sz val="12"/>
        <color theme="1"/>
        <rFont val="Arial"/>
        <family val="2"/>
      </rPr>
      <t>X 3-4</t>
    </r>
  </si>
  <si>
    <r>
      <t>K</t>
    </r>
    <r>
      <rPr>
        <b/>
        <vertAlign val="subscript"/>
        <sz val="12"/>
        <color theme="1"/>
        <rFont val="Arial"/>
        <family val="2"/>
      </rPr>
      <t>Z</t>
    </r>
  </si>
  <si>
    <r>
      <t>R</t>
    </r>
    <r>
      <rPr>
        <b/>
        <vertAlign val="subscript"/>
        <sz val="12"/>
        <color theme="1"/>
        <rFont val="Arial"/>
        <family val="2"/>
      </rPr>
      <t>cd</t>
    </r>
  </si>
  <si>
    <r>
      <t>R</t>
    </r>
    <r>
      <rPr>
        <b/>
        <vertAlign val="subscript"/>
        <sz val="12"/>
        <color theme="1"/>
        <rFont val="Arial"/>
        <family val="2"/>
      </rPr>
      <t>sd</t>
    </r>
  </si>
  <si>
    <r>
      <t>A</t>
    </r>
    <r>
      <rPr>
        <b/>
        <vertAlign val="subscript"/>
        <sz val="12"/>
        <color theme="1"/>
        <rFont val="Arial"/>
        <family val="2"/>
      </rPr>
      <t>s,calc.</t>
    </r>
  </si>
  <si>
    <r>
      <t>A</t>
    </r>
    <r>
      <rPr>
        <b/>
        <vertAlign val="subscript"/>
        <sz val="12"/>
        <color theme="1"/>
        <rFont val="Arial"/>
        <family val="2"/>
      </rPr>
      <t>s,mín.</t>
    </r>
  </si>
  <si>
    <r>
      <t>γ</t>
    </r>
    <r>
      <rPr>
        <b/>
        <vertAlign val="subscript"/>
        <sz val="14"/>
        <color theme="1"/>
        <rFont val="Arial"/>
        <family val="2"/>
      </rPr>
      <t>c</t>
    </r>
  </si>
  <si>
    <r>
      <t>γ</t>
    </r>
    <r>
      <rPr>
        <b/>
        <vertAlign val="subscript"/>
        <sz val="14"/>
        <color theme="1"/>
        <rFont val="Arial"/>
        <family val="2"/>
      </rPr>
      <t>s</t>
    </r>
  </si>
  <si>
    <t>Λ</t>
  </si>
  <si>
    <t>Bitola</t>
  </si>
  <si>
    <t>Espaçamento (cm)</t>
  </si>
  <si>
    <t>DIMENSIONAMENTO</t>
  </si>
  <si>
    <t xml:space="preserve">RESUMO </t>
  </si>
  <si>
    <t>DIMENSIONAMENTO FLEXÃO COMPOSTA</t>
  </si>
  <si>
    <r>
      <t>ε</t>
    </r>
    <r>
      <rPr>
        <b/>
        <vertAlign val="subscript"/>
        <sz val="14"/>
        <color theme="1"/>
        <rFont val="Arial"/>
        <family val="2"/>
      </rPr>
      <t>cd</t>
    </r>
  </si>
  <si>
    <r>
      <t>ε</t>
    </r>
    <r>
      <rPr>
        <b/>
        <vertAlign val="subscript"/>
        <sz val="14"/>
        <color theme="1"/>
        <rFont val="Arial"/>
        <family val="2"/>
      </rPr>
      <t>sd</t>
    </r>
  </si>
  <si>
    <r>
      <t>ε</t>
    </r>
    <r>
      <rPr>
        <b/>
        <vertAlign val="subscript"/>
        <sz val="14"/>
        <color theme="1"/>
        <rFont val="Arial"/>
        <family val="2"/>
      </rPr>
      <t>yd</t>
    </r>
  </si>
  <si>
    <r>
      <t>ε</t>
    </r>
    <r>
      <rPr>
        <b/>
        <vertAlign val="subscript"/>
        <sz val="14"/>
        <color theme="1"/>
        <rFont val="Arial"/>
        <family val="2"/>
      </rPr>
      <t>su</t>
    </r>
  </si>
  <si>
    <r>
      <t>ε</t>
    </r>
    <r>
      <rPr>
        <b/>
        <vertAlign val="subscript"/>
        <sz val="14"/>
        <color theme="1"/>
        <rFont val="Arial"/>
        <family val="2"/>
      </rPr>
      <t>cu</t>
    </r>
  </si>
  <si>
    <r>
      <t>A</t>
    </r>
    <r>
      <rPr>
        <b/>
        <vertAlign val="subscript"/>
        <sz val="12"/>
        <color theme="1"/>
        <rFont val="Arial"/>
        <family val="2"/>
      </rPr>
      <t xml:space="preserve">s,calc.adot </t>
    </r>
  </si>
  <si>
    <r>
      <t>A</t>
    </r>
    <r>
      <rPr>
        <b/>
        <vertAlign val="subscript"/>
        <sz val="12"/>
        <color theme="1"/>
        <rFont val="Arial"/>
        <family val="2"/>
      </rPr>
      <t xml:space="preserve">s,adot </t>
    </r>
  </si>
  <si>
    <t>(tf)</t>
  </si>
  <si>
    <t>(Tf.m)</t>
  </si>
  <si>
    <t>(Tf)</t>
  </si>
  <si>
    <t>(tf/m²)</t>
  </si>
  <si>
    <t>(tf/cm²)</t>
  </si>
  <si>
    <t>(tf.m)</t>
  </si>
  <si>
    <r>
      <t>σ</t>
    </r>
    <r>
      <rPr>
        <b/>
        <vertAlign val="subscript"/>
        <sz val="14"/>
        <color theme="1"/>
        <rFont val="Arial"/>
        <family val="2"/>
      </rPr>
      <t>sd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</si>
</sst>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8">
    <font>
      <sz val="11"/>
      <color theme="1"/>
      <name val="Calibri"/>
      <family val="2"/>
      <scheme val="minor"/>
    </font>
    <font>
      <sz val="12"/>
      <color theme="1"/>
      <name val="Andalus"/>
      <family val="1"/>
    </font>
    <font>
      <b/>
      <sz val="12"/>
      <color theme="1"/>
      <name val="Andalus"/>
      <family val="1"/>
    </font>
    <font>
      <sz val="12"/>
      <color rgb="FF0070C0"/>
      <name val="Andalus"/>
      <family val="1"/>
    </font>
    <font>
      <b/>
      <sz val="12"/>
      <color theme="1"/>
      <name val="Arial"/>
      <family val="2"/>
    </font>
    <font>
      <b/>
      <vertAlign val="subscript"/>
      <sz val="12"/>
      <color theme="1"/>
      <name val="Andalus"/>
      <family val="1"/>
    </font>
    <font>
      <b/>
      <vertAlign val="subscript"/>
      <sz val="14"/>
      <color theme="1"/>
      <name val="Andalus"/>
      <family val="1"/>
    </font>
    <font>
      <b/>
      <sz val="14"/>
      <color theme="1"/>
      <name val="Symbol"/>
      <family val="1"/>
      <charset val="2"/>
    </font>
    <font>
      <sz val="12"/>
      <name val="Andalus"/>
      <family val="1"/>
    </font>
    <font>
      <sz val="10"/>
      <color theme="1"/>
      <name val="Symbol"/>
      <family val="1"/>
      <charset val="2"/>
    </font>
    <font>
      <u/>
      <sz val="11"/>
      <color theme="10"/>
      <name val="Calibri"/>
      <family val="2"/>
      <scheme val="minor"/>
    </font>
    <font>
      <b/>
      <sz val="14"/>
      <color rgb="FFFF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rgb="FFFF0000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b/>
      <vertAlign val="subscript"/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sz val="12"/>
      <name val="Arial"/>
      <family val="2"/>
    </font>
    <font>
      <sz val="12"/>
      <color rgb="FF0070C0"/>
      <name val="Arial"/>
      <family val="2"/>
    </font>
    <font>
      <b/>
      <sz val="14"/>
      <color theme="1"/>
      <name val="Arial"/>
      <family val="2"/>
    </font>
    <font>
      <b/>
      <vertAlign val="subscript"/>
      <sz val="14"/>
      <color theme="1"/>
      <name val="Arial"/>
      <family val="2"/>
    </font>
    <font>
      <sz val="12"/>
      <color rgb="FFFF0000"/>
      <name val="Arial"/>
      <family val="2"/>
    </font>
    <font>
      <b/>
      <sz val="12"/>
      <color rgb="FF0070C0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776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6">
    <xf numFmtId="0" fontId="0" fillId="0" borderId="0" xfId="0"/>
    <xf numFmtId="0" fontId="1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2" fillId="0" borderId="12" xfId="0" applyFont="1" applyBorder="1"/>
    <xf numFmtId="0" fontId="14" fillId="0" borderId="13" xfId="1" applyFont="1" applyBorder="1" applyAlignment="1">
      <alignment horizontal="left" vertical="center"/>
    </xf>
    <xf numFmtId="0" fontId="16" fillId="0" borderId="0" xfId="0" applyFont="1"/>
    <xf numFmtId="0" fontId="12" fillId="0" borderId="5" xfId="0" applyFont="1" applyBorder="1"/>
    <xf numFmtId="0" fontId="14" fillId="0" borderId="6" xfId="1" applyFont="1" applyBorder="1" applyAlignment="1">
      <alignment horizontal="left" vertical="center"/>
    </xf>
    <xf numFmtId="0" fontId="12" fillId="0" borderId="7" xfId="0" applyFont="1" applyBorder="1"/>
    <xf numFmtId="0" fontId="12" fillId="0" borderId="9" xfId="0" applyFont="1" applyBorder="1"/>
    <xf numFmtId="0" fontId="4" fillId="5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3" fontId="20" fillId="0" borderId="1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0" fillId="7" borderId="1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 vertical="center" wrapText="1"/>
    </xf>
    <xf numFmtId="49" fontId="15" fillId="3" borderId="14" xfId="0" applyNumberFormat="1" applyFont="1" applyFill="1" applyBorder="1" applyAlignment="1">
      <alignment horizontal="center" vertical="center" wrapText="1"/>
    </xf>
    <xf numFmtId="49" fontId="15" fillId="3" borderId="13" xfId="0" applyNumberFormat="1" applyFont="1" applyFill="1" applyBorder="1" applyAlignment="1">
      <alignment horizontal="center" vertical="center" wrapText="1"/>
    </xf>
    <xf numFmtId="49" fontId="15" fillId="3" borderId="7" xfId="0" applyNumberFormat="1" applyFont="1" applyFill="1" applyBorder="1" applyAlignment="1">
      <alignment horizontal="center" vertical="center" wrapText="1"/>
    </xf>
    <xf numFmtId="49" fontId="15" fillId="3" borderId="8" xfId="0" applyNumberFormat="1" applyFont="1" applyFill="1" applyBorder="1" applyAlignment="1">
      <alignment horizontal="center" vertical="center" wrapText="1"/>
    </xf>
    <xf numFmtId="49" fontId="15" fillId="3" borderId="9" xfId="0" applyNumberFormat="1" applyFont="1" applyFill="1" applyBorder="1" applyAlignment="1">
      <alignment horizontal="center" vertical="center" wrapText="1"/>
    </xf>
    <xf numFmtId="49" fontId="17" fillId="4" borderId="0" xfId="0" applyNumberFormat="1" applyFont="1" applyFill="1" applyAlignment="1">
      <alignment horizontal="center" vertical="center" wrapText="1"/>
    </xf>
    <xf numFmtId="0" fontId="27" fillId="0" borderId="10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4" fillId="6" borderId="10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colors>
    <mruColors>
      <color rgb="FFFF77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61287</xdr:colOff>
      <xdr:row>3</xdr:row>
      <xdr:rowOff>6736</xdr:rowOff>
    </xdr:from>
    <xdr:to>
      <xdr:col>0</xdr:col>
      <xdr:colOff>677334</xdr:colOff>
      <xdr:row>5</xdr:row>
      <xdr:rowOff>58580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B5844E1-919D-4911-AC5B-1E3610A86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87" y="567653"/>
          <a:ext cx="616047" cy="602177"/>
        </a:xfrm>
        <a:prstGeom prst="rect">
          <a:avLst/>
        </a:prstGeom>
      </xdr:spPr>
    </xdr:pic>
    <xdr:clientData/>
  </xdr:twoCellAnchor>
  <xdr:twoCellAnchor editAs="oneCell">
    <xdr:from>
      <xdr:col>0</xdr:col>
      <xdr:colOff>813116</xdr:colOff>
      <xdr:row>3</xdr:row>
      <xdr:rowOff>47624</xdr:rowOff>
    </xdr:from>
    <xdr:to>
      <xdr:col>0</xdr:col>
      <xdr:colOff>1014678</xdr:colOff>
      <xdr:row>3</xdr:row>
      <xdr:rowOff>253999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2F1A919-9E5C-4EE5-BF0C-1CEF62E47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116" y="608541"/>
          <a:ext cx="201562" cy="20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783167</xdr:colOff>
      <xdr:row>4</xdr:row>
      <xdr:rowOff>27516</xdr:rowOff>
    </xdr:from>
    <xdr:to>
      <xdr:col>0</xdr:col>
      <xdr:colOff>1072885</xdr:colOff>
      <xdr:row>4</xdr:row>
      <xdr:rowOff>293687</xdr:rowOff>
    </xdr:to>
    <xdr:pic>
      <xdr:nvPicPr>
        <xdr:cNvPr id="4" name="Imagem 3" descr="Youtube - ícones de mídia social grátis">
          <a:extLst>
            <a:ext uri="{FF2B5EF4-FFF2-40B4-BE49-F238E27FC236}">
              <a16:creationId xmlns:a16="http://schemas.microsoft.com/office/drawing/2014/main" id="{8DC3C1E1-B4E1-445F-AC2A-531C3D740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167" y="842433"/>
          <a:ext cx="289718" cy="266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EngenheiroWaltnerWagner" TargetMode="External"/><Relationship Id="rId1" Type="http://schemas.openxmlformats.org/officeDocument/2006/relationships/hyperlink" Target="https://www.instagram.com/eng.waltnerwagn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F066-C5BA-4EB7-9D9A-3FAE8D5A81DB}">
  <dimension ref="A1:Z49"/>
  <sheetViews>
    <sheetView showGridLines="0" tabSelected="1" topLeftCell="A8" zoomScale="90" zoomScaleNormal="90" workbookViewId="0">
      <selection activeCell="L14" sqref="L14"/>
    </sheetView>
  </sheetViews>
  <sheetFormatPr defaultRowHeight="14.25"/>
  <cols>
    <col min="1" max="1" width="16.28515625" style="16" customWidth="1"/>
    <col min="2" max="2" width="30.7109375" style="16" customWidth="1"/>
    <col min="3" max="7" width="9.28515625" style="16" bestFit="1" customWidth="1"/>
    <col min="8" max="8" width="10.140625" style="16" customWidth="1"/>
    <col min="9" max="11" width="9.28515625" style="16" bestFit="1" customWidth="1"/>
    <col min="12" max="12" width="19.5703125" style="16" customWidth="1"/>
    <col min="13" max="15" width="9.28515625" style="16" bestFit="1" customWidth="1"/>
    <col min="16" max="16" width="9.5703125" style="16" bestFit="1" customWidth="1"/>
    <col min="17" max="17" width="9.28515625" style="16" bestFit="1" customWidth="1"/>
    <col min="18" max="16384" width="9.140625" style="16"/>
  </cols>
  <sheetData>
    <row r="1" spans="1:17" s="12" customFormat="1" ht="15" customHeight="1">
      <c r="A1" s="47" t="s">
        <v>73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s="12" customFormat="1" ht="15" customHeight="1" thickBot="1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17" s="12" customFormat="1" ht="14.25" customHeight="1" thickBot="1">
      <c r="A3" s="49" t="s">
        <v>31</v>
      </c>
      <c r="B3" s="50"/>
      <c r="C3" s="13"/>
    </row>
    <row r="4" spans="1:17" s="12" customFormat="1" ht="20.25" customHeight="1">
      <c r="A4" s="14"/>
      <c r="B4" s="15" t="s">
        <v>32</v>
      </c>
      <c r="D4" s="51" t="s">
        <v>33</v>
      </c>
      <c r="E4" s="52"/>
      <c r="F4" s="52"/>
      <c r="G4" s="52"/>
      <c r="H4" s="52"/>
      <c r="I4" s="52"/>
      <c r="J4" s="52"/>
      <c r="K4" s="52"/>
      <c r="L4" s="53"/>
      <c r="O4" s="16"/>
    </row>
    <row r="5" spans="1:17" s="12" customFormat="1" ht="23.25" customHeight="1" thickBot="1">
      <c r="A5" s="17"/>
      <c r="B5" s="18" t="s">
        <v>34</v>
      </c>
      <c r="D5" s="54"/>
      <c r="E5" s="55"/>
      <c r="F5" s="55"/>
      <c r="G5" s="55"/>
      <c r="H5" s="55"/>
      <c r="I5" s="55"/>
      <c r="J5" s="55"/>
      <c r="K5" s="55"/>
      <c r="L5" s="56"/>
      <c r="M5" s="16"/>
    </row>
    <row r="6" spans="1:17" s="12" customFormat="1" ht="24" customHeight="1" thickBot="1">
      <c r="A6" s="19"/>
      <c r="B6" s="20"/>
      <c r="E6" s="16"/>
    </row>
    <row r="7" spans="1:17" s="12" customFormat="1" ht="24" customHeight="1"/>
    <row r="8" spans="1:17" s="12" customFormat="1" ht="24" customHeight="1">
      <c r="A8" s="57" t="s">
        <v>35</v>
      </c>
      <c r="B8" s="57"/>
      <c r="C8" s="57"/>
      <c r="D8" s="57"/>
      <c r="E8" s="57"/>
      <c r="F8" s="57"/>
      <c r="H8" s="57" t="s">
        <v>72</v>
      </c>
      <c r="I8" s="57"/>
      <c r="J8" s="57"/>
      <c r="K8" s="57"/>
      <c r="L8" s="57"/>
      <c r="M8" s="57"/>
      <c r="N8" s="57"/>
      <c r="O8" s="57"/>
      <c r="P8" s="57"/>
    </row>
    <row r="10" spans="1:17" ht="18.75">
      <c r="A10" s="21" t="s">
        <v>36</v>
      </c>
      <c r="B10" s="21" t="s">
        <v>0</v>
      </c>
      <c r="C10" s="21" t="s">
        <v>1</v>
      </c>
      <c r="J10" s="22"/>
    </row>
    <row r="11" spans="1:17" ht="15.75" thickBot="1">
      <c r="A11" s="23" t="s">
        <v>3</v>
      </c>
      <c r="B11" s="23" t="s">
        <v>3</v>
      </c>
      <c r="C11" s="23" t="s">
        <v>3</v>
      </c>
      <c r="I11" s="22"/>
      <c r="J11" s="22"/>
      <c r="K11" s="22"/>
      <c r="L11" s="22"/>
    </row>
    <row r="12" spans="1:17" ht="16.5" thickBot="1">
      <c r="A12" s="43">
        <v>1</v>
      </c>
      <c r="B12" s="24">
        <v>0.12</v>
      </c>
      <c r="C12" s="24">
        <v>0.03</v>
      </c>
      <c r="I12" s="22"/>
      <c r="J12" s="60" t="s">
        <v>5</v>
      </c>
      <c r="K12" s="61"/>
      <c r="L12" s="62"/>
    </row>
    <row r="13" spans="1:17" ht="15.75" thickBot="1">
      <c r="A13" s="22"/>
      <c r="B13" s="27"/>
      <c r="C13" s="27"/>
      <c r="D13" s="27"/>
      <c r="E13" s="22"/>
      <c r="F13" s="28"/>
      <c r="G13" s="22"/>
      <c r="H13" s="22"/>
      <c r="I13" s="22"/>
      <c r="J13" s="58" t="s">
        <v>69</v>
      </c>
      <c r="K13" s="59"/>
      <c r="L13" s="42" t="s">
        <v>70</v>
      </c>
    </row>
    <row r="14" spans="1:17" ht="19.5" thickBot="1">
      <c r="A14" s="21" t="s">
        <v>41</v>
      </c>
      <c r="B14" s="21" t="s">
        <v>49</v>
      </c>
      <c r="C14" s="21" t="s">
        <v>52</v>
      </c>
      <c r="D14" s="21" t="s">
        <v>53</v>
      </c>
      <c r="I14" s="22"/>
      <c r="J14" s="39" t="s">
        <v>29</v>
      </c>
      <c r="K14" s="40">
        <v>8</v>
      </c>
      <c r="L14" s="41">
        <f>INT(MIN(VLOOKUP(K14,C44:E49,3,FALSE)/H42*100,20,2*B12*100))</f>
        <v>15</v>
      </c>
    </row>
    <row r="15" spans="1:17" ht="15">
      <c r="A15" s="23" t="s">
        <v>27</v>
      </c>
      <c r="B15" s="23" t="s">
        <v>27</v>
      </c>
      <c r="C15" s="23" t="s">
        <v>83</v>
      </c>
      <c r="D15" s="23" t="s">
        <v>82</v>
      </c>
      <c r="I15" s="22"/>
    </row>
    <row r="16" spans="1:17" ht="15">
      <c r="A16" s="24">
        <v>25</v>
      </c>
      <c r="B16" s="24">
        <v>500</v>
      </c>
      <c r="C16" s="24">
        <v>1</v>
      </c>
      <c r="D16" s="24">
        <v>1.1299999999999999</v>
      </c>
    </row>
    <row r="17" spans="1:16" ht="15">
      <c r="A17" s="22"/>
      <c r="B17" s="34"/>
      <c r="C17" s="27"/>
      <c r="D17" s="35"/>
      <c r="E17" s="22"/>
      <c r="F17" s="22"/>
      <c r="G17" s="22"/>
      <c r="H17" s="22"/>
      <c r="I17" s="22"/>
      <c r="J17" s="22"/>
    </row>
    <row r="18" spans="1:16" s="12" customFormat="1" ht="24" customHeight="1">
      <c r="A18" s="57" t="s">
        <v>71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</row>
    <row r="19" spans="1:16" ht="15">
      <c r="I19" s="22"/>
      <c r="J19" s="34"/>
    </row>
    <row r="20" spans="1:16" ht="21">
      <c r="A20" s="21" t="s">
        <v>2</v>
      </c>
      <c r="B20" s="21" t="s">
        <v>30</v>
      </c>
      <c r="C20" s="21" t="s">
        <v>37</v>
      </c>
      <c r="D20" s="21" t="s">
        <v>38</v>
      </c>
      <c r="E20" s="21" t="s">
        <v>39</v>
      </c>
      <c r="F20" s="44" t="s">
        <v>67</v>
      </c>
      <c r="G20" s="21" t="s">
        <v>50</v>
      </c>
      <c r="H20" s="21" t="s">
        <v>51</v>
      </c>
      <c r="I20" s="29" t="s">
        <v>76</v>
      </c>
      <c r="J20" s="29" t="s">
        <v>77</v>
      </c>
    </row>
    <row r="21" spans="1:16" ht="18">
      <c r="A21" s="23" t="s">
        <v>3</v>
      </c>
      <c r="B21" s="23" t="s">
        <v>3</v>
      </c>
      <c r="C21" s="23" t="s">
        <v>3</v>
      </c>
      <c r="D21" s="23" t="s">
        <v>40</v>
      </c>
      <c r="E21" s="23" t="s">
        <v>20</v>
      </c>
      <c r="F21" s="46"/>
      <c r="G21" s="23" t="s">
        <v>27</v>
      </c>
      <c r="H21" s="23" t="s">
        <v>28</v>
      </c>
      <c r="I21" s="23" t="s">
        <v>48</v>
      </c>
      <c r="J21" s="23" t="s">
        <v>48</v>
      </c>
    </row>
    <row r="22" spans="1:16" ht="15">
      <c r="A22" s="25">
        <f>B12-C12</f>
        <v>0.09</v>
      </c>
      <c r="B22" s="26">
        <f>C12/A22</f>
        <v>0.33333333333333331</v>
      </c>
      <c r="C22" s="25">
        <f>B12/2</f>
        <v>0.06</v>
      </c>
      <c r="D22" s="25">
        <f>(A12*(B12^3))/12</f>
        <v>1.44E-4</v>
      </c>
      <c r="E22" s="25">
        <f>D22/C22</f>
        <v>2.4000000000000002E-3</v>
      </c>
      <c r="F22" s="30">
        <v>1.1499999999999999</v>
      </c>
      <c r="G22" s="33">
        <f>B16/F22</f>
        <v>434.78260869565219</v>
      </c>
      <c r="H22" s="36">
        <v>210</v>
      </c>
      <c r="I22" s="33">
        <f>G22/H22</f>
        <v>2.0703933747412009</v>
      </c>
      <c r="J22" s="25">
        <v>10</v>
      </c>
    </row>
    <row r="23" spans="1:16" ht="17.25" customHeight="1"/>
    <row r="24" spans="1:16" ht="15.75" customHeight="1">
      <c r="A24" s="44" t="s">
        <v>66</v>
      </c>
      <c r="B24" s="21" t="s">
        <v>42</v>
      </c>
      <c r="C24" s="29" t="s">
        <v>78</v>
      </c>
      <c r="D24" s="21" t="s">
        <v>43</v>
      </c>
      <c r="E24" s="21" t="s">
        <v>44</v>
      </c>
      <c r="F24" s="21" t="s">
        <v>45</v>
      </c>
      <c r="G24" s="21" t="s">
        <v>46</v>
      </c>
      <c r="H24" s="44" t="s">
        <v>47</v>
      </c>
      <c r="I24" s="44" t="s">
        <v>68</v>
      </c>
    </row>
    <row r="25" spans="1:16" ht="15">
      <c r="A25" s="46"/>
      <c r="B25" s="23" t="s">
        <v>27</v>
      </c>
      <c r="C25" s="23" t="s">
        <v>48</v>
      </c>
      <c r="D25" s="23" t="s">
        <v>27</v>
      </c>
      <c r="E25" s="23" t="s">
        <v>27</v>
      </c>
      <c r="F25" s="23" t="s">
        <v>27</v>
      </c>
      <c r="G25" s="23" t="s">
        <v>27</v>
      </c>
      <c r="H25" s="46"/>
      <c r="I25" s="45"/>
    </row>
    <row r="26" spans="1:16" ht="15">
      <c r="A26" s="30">
        <v>1.4</v>
      </c>
      <c r="B26" s="31">
        <f>A16/A26</f>
        <v>17.857142857142858</v>
      </c>
      <c r="C26" s="32">
        <f>IF(A16&lt;=50,3.5,2.6+35*(((90-A16)/100)^4))</f>
        <v>3.5</v>
      </c>
      <c r="D26" s="26">
        <f>IF(A16&lt;=50,0.3*(A16^(2/3)),2.12*LN(1+0.11*A16))</f>
        <v>2.5649639200150443</v>
      </c>
      <c r="E26" s="26">
        <f>1.3*D26</f>
        <v>3.3344530960195575</v>
      </c>
      <c r="F26" s="26">
        <f>0.7*D26</f>
        <v>1.7954747440105308</v>
      </c>
      <c r="G26" s="26">
        <f>F26/A26</f>
        <v>1.2824819600075221</v>
      </c>
      <c r="H26" s="33">
        <f>IF(A16&lt;=50,0.85,0.85*(1-((A16-50)/200)))</f>
        <v>0.85</v>
      </c>
      <c r="I26" s="33">
        <f>IF(A16&lt;=50,0.8,0.8-((A16-50)/400))</f>
        <v>0.8</v>
      </c>
    </row>
    <row r="27" spans="1:16" ht="20.25" customHeight="1"/>
    <row r="28" spans="1:16" ht="15.75" customHeight="1">
      <c r="A28" s="9" t="s">
        <v>9</v>
      </c>
      <c r="B28" s="9" t="s">
        <v>10</v>
      </c>
      <c r="C28" s="9" t="s">
        <v>21</v>
      </c>
      <c r="D28" s="9" t="s">
        <v>22</v>
      </c>
      <c r="E28" s="9" t="s">
        <v>11</v>
      </c>
      <c r="F28" s="9" t="s">
        <v>12</v>
      </c>
    </row>
    <row r="29" spans="1:16" ht="15.75">
      <c r="A29" s="10" t="s">
        <v>84</v>
      </c>
      <c r="B29" s="10" t="s">
        <v>84</v>
      </c>
      <c r="C29" s="10" t="s">
        <v>84</v>
      </c>
      <c r="D29" s="10" t="s">
        <v>84</v>
      </c>
      <c r="E29" s="10" t="s">
        <v>85</v>
      </c>
      <c r="F29" s="10" t="s">
        <v>85</v>
      </c>
    </row>
    <row r="30" spans="1:16" ht="15.75">
      <c r="A30" s="2">
        <f>A16*100</f>
        <v>2500</v>
      </c>
      <c r="B30" s="2">
        <f>B26*100</f>
        <v>1785.7142857142858</v>
      </c>
      <c r="C30" s="2">
        <f>D26*100</f>
        <v>256.49639200150443</v>
      </c>
      <c r="D30" s="2">
        <f>E26*100</f>
        <v>333.44530960195573</v>
      </c>
      <c r="E30" s="7">
        <f>B16/100</f>
        <v>5</v>
      </c>
      <c r="F30" s="3">
        <f>G22/100</f>
        <v>4.3478260869565215</v>
      </c>
    </row>
    <row r="31" spans="1:16" ht="15.75">
      <c r="A31" s="8"/>
    </row>
    <row r="32" spans="1:16" ht="20.25">
      <c r="A32" s="9" t="s">
        <v>23</v>
      </c>
      <c r="B32" s="63" t="s">
        <v>15</v>
      </c>
      <c r="C32" s="63" t="s">
        <v>16</v>
      </c>
      <c r="D32" s="9" t="s">
        <v>17</v>
      </c>
      <c r="E32" s="63" t="s">
        <v>18</v>
      </c>
      <c r="F32" s="9" t="s">
        <v>19</v>
      </c>
      <c r="G32" s="9" t="s">
        <v>14</v>
      </c>
      <c r="H32" s="11" t="s">
        <v>25</v>
      </c>
      <c r="I32" s="11" t="s">
        <v>24</v>
      </c>
      <c r="J32" s="9" t="s">
        <v>13</v>
      </c>
    </row>
    <row r="33" spans="1:26" ht="15.75">
      <c r="A33" s="10" t="s">
        <v>86</v>
      </c>
      <c r="B33" s="64"/>
      <c r="C33" s="64"/>
      <c r="D33" s="10" t="s">
        <v>3</v>
      </c>
      <c r="E33" s="64"/>
      <c r="F33" s="10" t="s">
        <v>3</v>
      </c>
      <c r="G33" s="10" t="s">
        <v>4</v>
      </c>
      <c r="H33" s="38" t="s">
        <v>26</v>
      </c>
      <c r="I33" s="38" t="s">
        <v>26</v>
      </c>
      <c r="J33" s="10" t="s">
        <v>4</v>
      </c>
    </row>
    <row r="34" spans="1:26" ht="15.75">
      <c r="A34" s="5">
        <f>0.8*E22*D30</f>
        <v>0.64021499443575514</v>
      </c>
      <c r="B34" s="4">
        <f>A34/(A12*(A22^2)*B30)</f>
        <v>4.4261777393089244E-2</v>
      </c>
      <c r="C34" s="4">
        <f>(1-(1-((2*B34)/0.85))^(1/2))/0.8</f>
        <v>6.6880024160149015E-2</v>
      </c>
      <c r="D34" s="4">
        <f>C34*A22</f>
        <v>6.0192021744134112E-3</v>
      </c>
      <c r="E34" s="4">
        <f>1-0.4*C34</f>
        <v>0.97324799033594034</v>
      </c>
      <c r="F34" s="4">
        <f>E34*A22</f>
        <v>8.759231913023463E-2</v>
      </c>
      <c r="G34" s="3">
        <f>A34/(F34*(F30))</f>
        <v>1.6810771787111747</v>
      </c>
      <c r="H34" s="6">
        <f>G34/(A12*B12)</f>
        <v>14.008976489259789</v>
      </c>
      <c r="I34" s="7">
        <v>15</v>
      </c>
      <c r="J34" s="3">
        <f>IF(H34&lt;I34,I34*A12*B12,G34)</f>
        <v>1.7999999999999998</v>
      </c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6" spans="1:26" ht="18.75">
      <c r="A36" s="21" t="s">
        <v>54</v>
      </c>
      <c r="B36" s="21" t="s">
        <v>55</v>
      </c>
      <c r="C36" s="65" t="s">
        <v>56</v>
      </c>
      <c r="D36" s="65" t="s">
        <v>57</v>
      </c>
      <c r="E36" s="21" t="s">
        <v>17</v>
      </c>
      <c r="F36" s="65" t="s">
        <v>58</v>
      </c>
      <c r="G36" s="65" t="s">
        <v>59</v>
      </c>
      <c r="H36" s="65" t="s">
        <v>60</v>
      </c>
      <c r="I36" s="65" t="s">
        <v>61</v>
      </c>
      <c r="J36" s="21" t="s">
        <v>19</v>
      </c>
      <c r="K36" s="44" t="s">
        <v>74</v>
      </c>
      <c r="L36" s="44" t="s">
        <v>75</v>
      </c>
    </row>
    <row r="37" spans="1:26" ht="15">
      <c r="A37" s="23" t="s">
        <v>3</v>
      </c>
      <c r="B37" s="23" t="s">
        <v>86</v>
      </c>
      <c r="C37" s="45"/>
      <c r="D37" s="45"/>
      <c r="E37" s="23" t="s">
        <v>3</v>
      </c>
      <c r="F37" s="45"/>
      <c r="G37" s="45"/>
      <c r="H37" s="45"/>
      <c r="I37" s="45"/>
      <c r="J37" s="23" t="s">
        <v>3</v>
      </c>
      <c r="K37" s="46"/>
      <c r="L37" s="46"/>
    </row>
    <row r="38" spans="1:26" ht="15">
      <c r="A38" s="25">
        <f>(B12/2)-C12</f>
        <v>0.03</v>
      </c>
      <c r="B38" s="30">
        <f>D16-(C16*A38)</f>
        <v>1.0999999999999999</v>
      </c>
      <c r="C38" s="26">
        <f>B38/(A12*(A22^2)*B30)</f>
        <v>7.6049382716049371E-2</v>
      </c>
      <c r="D38" s="26">
        <f>(1-(1-((2*C38)/H26))^(1/2))/I26</f>
        <v>0.11734529480913955</v>
      </c>
      <c r="E38" s="26">
        <f>D38*A22</f>
        <v>1.0561076532822559E-2</v>
      </c>
      <c r="F38" s="26">
        <f>C26/1000/(C26/1000+J22/1000)</f>
        <v>0.25925925925925924</v>
      </c>
      <c r="G38" s="33">
        <f>IF(A30&lt;=50000,0.45,0.35)</f>
        <v>0.45</v>
      </c>
      <c r="H38" s="26">
        <f>C26/1000/(C26/1000+I22/1000)</f>
        <v>0.62832187325775868</v>
      </c>
      <c r="I38" s="26">
        <f>1-((I26/2)*D38)</f>
        <v>0.95306188207634412</v>
      </c>
      <c r="J38" s="26">
        <f>I38*A22</f>
        <v>8.5775569386870962E-2</v>
      </c>
      <c r="K38" s="25">
        <f>IF(D38&gt;=F38,C26/1000,J22/1000*(D38/(1-D38)))</f>
        <v>1.3294586673479008E-3</v>
      </c>
      <c r="L38" s="25">
        <f>IF(D38&lt;=F38,J22/1000,C26/1000*((1-D38)/D38))</f>
        <v>0.01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37" t="str">
        <f>IF(D38&gt;G38,"É necessário utilizar armadura dupla"," ")</f>
        <v xml:space="preserve"> </v>
      </c>
      <c r="X38" s="22"/>
      <c r="Y38" s="22"/>
      <c r="Z38" s="22"/>
    </row>
    <row r="39" spans="1:26" ht="15">
      <c r="M39" s="22"/>
      <c r="N39" s="22"/>
      <c r="O39" s="22"/>
      <c r="P39" s="22"/>
      <c r="Q39" s="22"/>
      <c r="R39" s="22"/>
      <c r="S39" s="22"/>
      <c r="T39" s="22"/>
    </row>
    <row r="40" spans="1:26" ht="21">
      <c r="C40" s="21" t="s">
        <v>62</v>
      </c>
      <c r="D40" s="21" t="s">
        <v>63</v>
      </c>
      <c r="E40" s="29" t="s">
        <v>87</v>
      </c>
      <c r="F40" s="21" t="s">
        <v>64</v>
      </c>
      <c r="G40" s="21" t="s">
        <v>65</v>
      </c>
      <c r="H40" s="21" t="s">
        <v>79</v>
      </c>
      <c r="I40" s="21" t="s">
        <v>80</v>
      </c>
      <c r="P40" s="1"/>
      <c r="Q40" s="1"/>
      <c r="R40" s="1"/>
      <c r="S40" s="1"/>
      <c r="T40" s="1"/>
      <c r="U40" s="1"/>
      <c r="V40" s="1"/>
    </row>
    <row r="41" spans="1:26" ht="15">
      <c r="C41" s="23" t="s">
        <v>81</v>
      </c>
      <c r="D41" s="23" t="s">
        <v>81</v>
      </c>
      <c r="E41" s="23" t="s">
        <v>85</v>
      </c>
      <c r="F41" s="23" t="s">
        <v>4</v>
      </c>
      <c r="G41" s="23" t="s">
        <v>4</v>
      </c>
      <c r="H41" s="23" t="s">
        <v>4</v>
      </c>
      <c r="I41" s="23" t="s">
        <v>4</v>
      </c>
    </row>
    <row r="42" spans="1:26" ht="15">
      <c r="C42" s="33">
        <f>B38/J38</f>
        <v>12.824164361284542</v>
      </c>
      <c r="D42" s="33">
        <f>C42+C16</f>
        <v>13.824164361284542</v>
      </c>
      <c r="E42" s="33">
        <f>IF(L38&gt;=I22/1000,F30,L38*(H22*1000)/100)</f>
        <v>4.3478260869565215</v>
      </c>
      <c r="F42" s="33">
        <f>D42/E42</f>
        <v>3.1795578030954448</v>
      </c>
      <c r="G42" s="33">
        <f>J34</f>
        <v>1.7999999999999998</v>
      </c>
      <c r="H42" s="33">
        <f>MAX(F42,G42)</f>
        <v>3.1795578030954448</v>
      </c>
      <c r="I42" s="33">
        <f>100/L14*VLOOKUP(K14,C45:E49,3)</f>
        <v>3.351032163829113</v>
      </c>
    </row>
    <row r="44" spans="1:26" ht="15.75">
      <c r="C44" s="7" t="s">
        <v>6</v>
      </c>
      <c r="D44" s="7" t="s">
        <v>7</v>
      </c>
      <c r="E44" s="7" t="s">
        <v>8</v>
      </c>
    </row>
    <row r="45" spans="1:26" ht="15.75">
      <c r="C45" s="7">
        <v>6.3</v>
      </c>
      <c r="D45" s="7">
        <f t="shared" ref="D45:D49" si="0">C45/10</f>
        <v>0.63</v>
      </c>
      <c r="E45" s="3">
        <f t="shared" ref="E45:E49" si="1">(PI()*D45^2)/4</f>
        <v>0.31172453105244724</v>
      </c>
    </row>
    <row r="46" spans="1:26" ht="15.75">
      <c r="C46" s="7">
        <v>8</v>
      </c>
      <c r="D46" s="7">
        <f t="shared" si="0"/>
        <v>0.8</v>
      </c>
      <c r="E46" s="3">
        <f t="shared" si="1"/>
        <v>0.50265482457436694</v>
      </c>
    </row>
    <row r="47" spans="1:26" ht="15.75">
      <c r="C47" s="7">
        <v>10</v>
      </c>
      <c r="D47" s="7">
        <f t="shared" si="0"/>
        <v>1</v>
      </c>
      <c r="E47" s="3">
        <f t="shared" si="1"/>
        <v>0.78539816339744828</v>
      </c>
    </row>
    <row r="48" spans="1:26" ht="15.75">
      <c r="C48" s="7">
        <v>12.5</v>
      </c>
      <c r="D48" s="7">
        <f t="shared" si="0"/>
        <v>1.25</v>
      </c>
      <c r="E48" s="3">
        <f t="shared" si="1"/>
        <v>1.227184630308513</v>
      </c>
    </row>
    <row r="49" spans="3:5" ht="15.75">
      <c r="C49" s="7">
        <v>16</v>
      </c>
      <c r="D49" s="7">
        <f t="shared" si="0"/>
        <v>1.6</v>
      </c>
      <c r="E49" s="3">
        <f t="shared" si="1"/>
        <v>2.0106192982974678</v>
      </c>
    </row>
  </sheetData>
  <mergeCells count="23">
    <mergeCell ref="K36:K37"/>
    <mergeCell ref="L36:L37"/>
    <mergeCell ref="B32:B33"/>
    <mergeCell ref="C32:C33"/>
    <mergeCell ref="E32:E33"/>
    <mergeCell ref="C36:C37"/>
    <mergeCell ref="D36:D37"/>
    <mergeCell ref="F36:F37"/>
    <mergeCell ref="G36:G37"/>
    <mergeCell ref="H36:H37"/>
    <mergeCell ref="I36:I37"/>
    <mergeCell ref="I24:I25"/>
    <mergeCell ref="F20:F21"/>
    <mergeCell ref="A1:Q2"/>
    <mergeCell ref="A3:B3"/>
    <mergeCell ref="D4:L5"/>
    <mergeCell ref="A8:F8"/>
    <mergeCell ref="H8:P8"/>
    <mergeCell ref="J13:K13"/>
    <mergeCell ref="A18:P18"/>
    <mergeCell ref="A24:A25"/>
    <mergeCell ref="H24:H25"/>
    <mergeCell ref="J12:L12"/>
  </mergeCells>
  <conditionalFormatting sqref="H38">
    <cfRule type="cellIs" dxfId="0" priority="2" operator="equal">
      <formula>4</formula>
    </cfRule>
  </conditionalFormatting>
  <dataValidations count="1">
    <dataValidation type="list" allowBlank="1" showInputMessage="1" showErrorMessage="1" sqref="K14" xr:uid="{49912740-BE5D-4B76-BAD7-119B351BE13D}">
      <formula1>$C$45:$C$49</formula1>
    </dataValidation>
  </dataValidations>
  <hyperlinks>
    <hyperlink ref="B4" r:id="rId1" display="https://www.instagram.com/eng.waltnerwagner/" xr:uid="{A2F8882B-AA64-4D94-B9CE-522F0E233703}"/>
    <hyperlink ref="B5" r:id="rId2" display="https://www.youtube.com/c/EngenheiroWaltnerWagner" xr:uid="{7EE33148-C5BC-4BB0-AF6C-498C9660BB14}"/>
  </hyperlinks>
  <pageMargins left="0.511811024" right="0.511811024" top="0.78740157499999996" bottom="0.78740157499999996" header="0.31496062000000002" footer="0.3149606200000000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FLEXÃO COMPOSTA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Jonathan</cp:lastModifiedBy>
  <cp:lastPrinted>2015-07-08T20:11:27Z</cp:lastPrinted>
  <dcterms:created xsi:type="dcterms:W3CDTF">2015-07-03T23:07:53Z</dcterms:created>
  <dcterms:modified xsi:type="dcterms:W3CDTF">2023-04-13T21:36:26Z</dcterms:modified>
</cp:coreProperties>
</file>