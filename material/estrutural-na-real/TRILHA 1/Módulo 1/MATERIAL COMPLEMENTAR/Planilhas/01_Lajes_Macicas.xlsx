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Planilhas/Bloqueadas/"/>
    </mc:Choice>
  </mc:AlternateContent>
  <xr:revisionPtr revIDLastSave="647" documentId="8_{370A1009-A128-4E73-A342-DD6DF53D1BF7}" xr6:coauthVersionLast="47" xr6:coauthVersionMax="47" xr10:uidLastSave="{BF31DD45-E62F-4F2D-A905-495B47171F6F}"/>
  <bookViews>
    <workbookView xWindow="-120" yWindow="-120" windowWidth="38640" windowHeight="15720" xr2:uid="{0BAF9300-8B27-419C-B910-5A2D7AEE0E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N13" i="1" l="1"/>
  <c r="AF33" i="1" l="1"/>
  <c r="AT15" i="1"/>
  <c r="AT14" i="1"/>
  <c r="AT13" i="1"/>
  <c r="AT12" i="1"/>
  <c r="AK23" i="1"/>
  <c r="AF28" i="1"/>
  <c r="AF29" i="1"/>
  <c r="AF26" i="1"/>
  <c r="AF25" i="1"/>
  <c r="AF23" i="1"/>
  <c r="AF22" i="1"/>
  <c r="AF20" i="1"/>
  <c r="AF19" i="1"/>
  <c r="AB18" i="1" l="1"/>
  <c r="AB6" i="1" s="1"/>
  <c r="AK6" i="1" l="1"/>
  <c r="AI6" i="1"/>
  <c r="AD6" i="1"/>
  <c r="AB11" i="1"/>
  <c r="AB8" i="1"/>
  <c r="AC6" i="1"/>
  <c r="AB7" i="1"/>
  <c r="AL7" i="1" s="1"/>
  <c r="AF6" i="1"/>
  <c r="AH6" i="1"/>
  <c r="AJ6" i="1" l="1"/>
  <c r="AE6" i="1"/>
  <c r="AH11" i="1"/>
  <c r="AF11" i="1"/>
  <c r="AD11" i="1"/>
  <c r="AC11" i="1"/>
  <c r="AK11" i="1"/>
  <c r="AF8" i="1"/>
  <c r="AK8" i="1"/>
  <c r="AH8" i="1"/>
  <c r="AD8" i="1"/>
  <c r="AC8" i="1"/>
  <c r="AE7" i="1"/>
  <c r="AD7" i="1"/>
  <c r="AG11" i="1" l="1"/>
  <c r="AE11" i="1"/>
  <c r="AJ11" i="1"/>
  <c r="AL11" i="1"/>
  <c r="AJ8" i="1"/>
  <c r="AE8" i="1"/>
  <c r="AK19" i="1" l="1"/>
  <c r="AI19" i="1" s="1"/>
  <c r="AK20" i="1" l="1"/>
  <c r="AI20" i="1" s="1"/>
  <c r="AJ23" i="1"/>
  <c r="AJ24" i="1" s="1"/>
  <c r="AF37" i="1" l="1"/>
  <c r="AE37" i="1" s="1"/>
  <c r="AD37" i="1"/>
  <c r="AD36" i="1"/>
  <c r="AJ35" i="1"/>
  <c r="AJ36" i="1" s="1"/>
  <c r="AE34" i="1"/>
  <c r="AE35" i="1" s="1"/>
  <c r="AI33" i="1"/>
  <c r="AD33" i="1"/>
  <c r="AD35" i="1" s="1"/>
  <c r="AJ32" i="1"/>
  <c r="AI32" i="1"/>
  <c r="AI30" i="1"/>
  <c r="AI36" i="1" s="1"/>
  <c r="AI29" i="1"/>
  <c r="AI35" i="1" s="1"/>
  <c r="AE28" i="1"/>
  <c r="AE29" i="1" s="1"/>
  <c r="AJ27" i="1"/>
  <c r="AJ26" i="1"/>
  <c r="AE25" i="1"/>
  <c r="AD25" i="1"/>
  <c r="AD28" i="1" s="1"/>
  <c r="AT24" i="1"/>
  <c r="AT25" i="1" s="1"/>
  <c r="AT29" i="1" s="1"/>
  <c r="AT30" i="1" s="1"/>
  <c r="AT33" i="1" s="1"/>
  <c r="AT34" i="1" s="1"/>
  <c r="AS24" i="1"/>
  <c r="AS32" i="1" s="1"/>
  <c r="AS33" i="1" s="1"/>
  <c r="AS36" i="1" s="1"/>
  <c r="AS37" i="1" s="1"/>
  <c r="AJ33" i="1"/>
  <c r="AS23" i="1"/>
  <c r="AI23" i="1"/>
  <c r="AI24" i="1" s="1"/>
  <c r="AD22" i="1"/>
  <c r="AD23" i="1" s="1"/>
  <c r="AJ19" i="1"/>
  <c r="AJ20" i="1" s="1"/>
  <c r="AD19" i="1"/>
  <c r="AE19" i="1"/>
  <c r="AE22" i="1" s="1"/>
  <c r="AY16" i="1"/>
  <c r="AY15" i="1"/>
  <c r="BE14" i="1"/>
  <c r="BE13" i="1"/>
  <c r="AG16" i="1"/>
  <c r="AD16" i="1"/>
  <c r="AY12" i="1"/>
  <c r="AL15" i="1"/>
  <c r="AG15" i="1"/>
  <c r="AE15" i="1"/>
  <c r="AD15" i="1"/>
  <c r="AT11" i="1"/>
  <c r="AY10" i="1" s="1"/>
  <c r="AL14" i="1"/>
  <c r="AJ14" i="1"/>
  <c r="AG14" i="1"/>
  <c r="AE14" i="1"/>
  <c r="AD14" i="1"/>
  <c r="AJ13" i="1"/>
  <c r="AE13" i="1"/>
  <c r="AD13" i="1"/>
  <c r="BE9" i="1"/>
  <c r="BE10" i="1" s="1"/>
  <c r="N6" i="1"/>
  <c r="N5" i="1"/>
  <c r="J5" i="1"/>
  <c r="BA11" i="1" l="1"/>
  <c r="BB10" i="1" s="1"/>
  <c r="AE20" i="1"/>
  <c r="AE23" i="1" s="1"/>
  <c r="N7" i="1"/>
  <c r="N8" i="1" s="1"/>
  <c r="BA12" i="1"/>
  <c r="BB12" i="1" s="1"/>
  <c r="BE11" i="1"/>
  <c r="BE12" i="1" s="1"/>
  <c r="AD26" i="1"/>
  <c r="AD29" i="1" s="1"/>
  <c r="AS34" i="1"/>
  <c r="AS35" i="1" s="1"/>
  <c r="BB11" i="1"/>
  <c r="AT37" i="1"/>
  <c r="AT38" i="1" s="1"/>
  <c r="AS28" i="1"/>
  <c r="AS29" i="1" s="1"/>
  <c r="AB12" i="1"/>
  <c r="AB4" i="1"/>
  <c r="AE4" i="1" s="1"/>
  <c r="AB10" i="1"/>
  <c r="AG10" i="1" s="1"/>
  <c r="AB9" i="1"/>
  <c r="AJ9" i="1" s="1"/>
  <c r="AB5" i="1"/>
  <c r="AD5" i="1" s="1"/>
  <c r="BC11" i="1"/>
  <c r="BC12" i="1" s="1"/>
  <c r="BA10" i="1"/>
  <c r="BB8" i="1" s="1"/>
  <c r="AD20" i="1"/>
  <c r="AT31" i="1"/>
  <c r="AT32" i="1" s="1"/>
  <c r="AE26" i="1"/>
  <c r="AY13" i="1"/>
  <c r="BA13" i="1" s="1"/>
  <c r="AC5" i="1" l="1"/>
  <c r="AI5" i="1" s="1"/>
  <c r="AE5" i="1"/>
  <c r="AL5" i="1"/>
  <c r="AB20" i="1"/>
  <c r="AG9" i="1"/>
  <c r="BB13" i="1"/>
  <c r="AC4" i="1"/>
  <c r="AI4" i="1" s="1"/>
  <c r="AG7" i="1"/>
  <c r="AC7" i="1"/>
  <c r="AI7" i="1" s="1"/>
  <c r="AD10" i="1"/>
  <c r="AD4" i="1"/>
  <c r="AE10" i="1"/>
  <c r="AL10" i="1"/>
  <c r="AC10" i="1"/>
  <c r="AK10" i="1" s="1"/>
  <c r="AG12" i="1"/>
  <c r="AE12" i="1"/>
  <c r="AD12" i="1"/>
  <c r="AJ4" i="1"/>
  <c r="AG5" i="1"/>
  <c r="AJ5" i="1"/>
  <c r="AB28" i="1" s="1"/>
  <c r="Q12" i="1" s="1"/>
  <c r="AC9" i="1"/>
  <c r="AL9" i="1"/>
  <c r="AE9" i="1"/>
  <c r="AD9" i="1"/>
  <c r="BD11" i="1"/>
  <c r="BD12" i="1" s="1"/>
  <c r="AC12" i="1"/>
  <c r="AL12" i="1"/>
  <c r="BB9" i="1"/>
  <c r="BB14" i="1"/>
  <c r="BB15" i="1"/>
  <c r="AB22" i="1" l="1"/>
  <c r="N11" i="1" s="1"/>
  <c r="N12" i="1" s="1"/>
  <c r="M14" i="1" s="1"/>
  <c r="AB23" i="1"/>
  <c r="Q5" i="1" s="1"/>
  <c r="AK18" i="1" s="1"/>
  <c r="AB25" i="1"/>
  <c r="Q7" i="1" s="1"/>
  <c r="AB30" i="1"/>
  <c r="Q14" i="1" s="1"/>
  <c r="AK31" i="1" s="1"/>
  <c r="AF7" i="1"/>
  <c r="AF5" i="1"/>
  <c r="AF4" i="1"/>
  <c r="AB21" i="1"/>
  <c r="AI10" i="1"/>
  <c r="AH10" i="1"/>
  <c r="AH12" i="1"/>
  <c r="AF12" i="1"/>
  <c r="AF10" i="1"/>
  <c r="AK9" i="1"/>
  <c r="AB29" i="1" s="1"/>
  <c r="AI9" i="1"/>
  <c r="AH9" i="1"/>
  <c r="AF9" i="1"/>
  <c r="AK12" i="1"/>
  <c r="AB27" i="1" l="1"/>
  <c r="Q11" i="1" s="1"/>
  <c r="AK25" i="1"/>
  <c r="AF21" i="1"/>
  <c r="AF18" i="1"/>
  <c r="AB26" i="1"/>
  <c r="Q8" i="1" s="1"/>
  <c r="AB24" i="1"/>
  <c r="Q6" i="1" s="1"/>
  <c r="AK22" i="1" s="1"/>
  <c r="Q13" i="1"/>
  <c r="AK34" i="1" l="1"/>
  <c r="AK28" i="1"/>
  <c r="AF24" i="1"/>
  <c r="AF27" i="1"/>
</calcChain>
</file>

<file path=xl/sharedStrings.xml><?xml version="1.0" encoding="utf-8"?>
<sst xmlns="http://schemas.openxmlformats.org/spreadsheetml/2006/main" count="93" uniqueCount="71">
  <si>
    <t>min</t>
  </si>
  <si>
    <t>max</t>
  </si>
  <si>
    <t>lx</t>
  </si>
  <si>
    <t>ly</t>
  </si>
  <si>
    <t>x</t>
  </si>
  <si>
    <t>y</t>
  </si>
  <si>
    <t>eng</t>
  </si>
  <si>
    <t>a</t>
  </si>
  <si>
    <t>b</t>
  </si>
  <si>
    <t>c</t>
  </si>
  <si>
    <t>d</t>
  </si>
  <si>
    <t>aa</t>
  </si>
  <si>
    <t>bb</t>
  </si>
  <si>
    <t>cc</t>
  </si>
  <si>
    <t>λ</t>
  </si>
  <si>
    <t>kx</t>
  </si>
  <si>
    <t>ky</t>
  </si>
  <si>
    <t>mx</t>
  </si>
  <si>
    <t>my</t>
  </si>
  <si>
    <t>Caso</t>
  </si>
  <si>
    <t>wc</t>
  </si>
  <si>
    <t>mxe</t>
  </si>
  <si>
    <t>mye</t>
  </si>
  <si>
    <t>rx</t>
  </si>
  <si>
    <t>ry</t>
  </si>
  <si>
    <t>rxe</t>
  </si>
  <si>
    <t>rye</t>
  </si>
  <si>
    <t>Ecs</t>
  </si>
  <si>
    <t>fck</t>
  </si>
  <si>
    <t>Eci</t>
  </si>
  <si>
    <t>D</t>
  </si>
  <si>
    <t>h</t>
  </si>
  <si>
    <t>Vãos</t>
  </si>
  <si>
    <t>Dados</t>
  </si>
  <si>
    <t>Carga</t>
  </si>
  <si>
    <t>Vinculação</t>
  </si>
  <si>
    <t>Concreto</t>
  </si>
  <si>
    <t>Espessura</t>
  </si>
  <si>
    <t>Rigidez</t>
  </si>
  <si>
    <t>Fluência</t>
  </si>
  <si>
    <t>φ</t>
  </si>
  <si>
    <t>Flecha</t>
  </si>
  <si>
    <t>W0</t>
  </si>
  <si>
    <t>W∞</t>
  </si>
  <si>
    <t>Wadm</t>
  </si>
  <si>
    <t>Momentos Fletores</t>
  </si>
  <si>
    <t>Reações de Apoio</t>
  </si>
  <si>
    <t>gk</t>
  </si>
  <si>
    <t>qk</t>
  </si>
  <si>
    <t>Cargas</t>
  </si>
  <si>
    <t>fd,ser</t>
  </si>
  <si>
    <t>fd</t>
  </si>
  <si>
    <t>αi</t>
  </si>
  <si>
    <t>Mdx</t>
  </si>
  <si>
    <t>Mdy</t>
  </si>
  <si>
    <t>Mdxe</t>
  </si>
  <si>
    <t>Mdye</t>
  </si>
  <si>
    <t>Rdx</t>
  </si>
  <si>
    <t>Rdy</t>
  </si>
  <si>
    <t>Rdxe</t>
  </si>
  <si>
    <t>Rdye</t>
  </si>
  <si>
    <r>
      <rPr>
        <sz val="11"/>
        <color theme="1"/>
        <rFont val="Arial"/>
        <family val="2"/>
      </rPr>
      <t>ψ</t>
    </r>
    <r>
      <rPr>
        <sz val="11"/>
        <color theme="1"/>
        <rFont val="Calibri"/>
        <family val="2"/>
        <scheme val="minor"/>
      </rPr>
      <t>2</t>
    </r>
  </si>
  <si>
    <t>2A</t>
  </si>
  <si>
    <t>3A</t>
  </si>
  <si>
    <t>5A</t>
  </si>
  <si>
    <t>Pvk</t>
  </si>
  <si>
    <t>Phk</t>
  </si>
  <si>
    <t>H</t>
  </si>
  <si>
    <t>Laje em Balanço</t>
  </si>
  <si>
    <t>2a</t>
  </si>
  <si>
    <t>αe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</si>
</sst>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##&quot; MPa&quot;"/>
    <numFmt numFmtId="166" formatCode="0.00&quot; m&quot;"/>
    <numFmt numFmtId="167" formatCode="0.00&quot; kN/m²&quot;"/>
    <numFmt numFmtId="168" formatCode="0.0&quot; mm&quot;"/>
    <numFmt numFmtId="169" formatCode="0&quot; MPa&quot;"/>
    <numFmt numFmtId="170" formatCode="0&quot; kNm&quot;"/>
    <numFmt numFmtId="171" formatCode="0.00&quot; kNm/m&quot;"/>
    <numFmt numFmtId="172" formatCode="0.00&quot; kN/m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166" fontId="2" fillId="2" borderId="8" xfId="0" applyNumberFormat="1" applyFont="1" applyFill="1" applyBorder="1" applyAlignment="1" applyProtection="1">
      <alignment horizontal="center"/>
      <protection locked="0"/>
    </xf>
    <xf numFmtId="167" fontId="2" fillId="2" borderId="8" xfId="0" applyNumberFormat="1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165" fontId="2" fillId="2" borderId="8" xfId="0" applyNumberFormat="1" applyFont="1" applyFill="1" applyBorder="1" applyAlignment="1" applyProtection="1">
      <alignment horizontal="center"/>
      <protection locked="0"/>
    </xf>
    <xf numFmtId="164" fontId="2" fillId="2" borderId="8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167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71" fontId="2" fillId="2" borderId="8" xfId="0" applyNumberFormat="1" applyFont="1" applyFill="1" applyBorder="1" applyAlignment="1">
      <alignment horizontal="center"/>
    </xf>
    <xf numFmtId="169" fontId="2" fillId="2" borderId="8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71" fontId="2" fillId="2" borderId="16" xfId="0" applyNumberFormat="1" applyFont="1" applyFill="1" applyBorder="1" applyAlignment="1">
      <alignment horizontal="center"/>
    </xf>
    <xf numFmtId="170" fontId="2" fillId="2" borderId="8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71" fontId="2" fillId="2" borderId="18" xfId="0" applyNumberFormat="1" applyFont="1" applyFill="1" applyBorder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8" fontId="2" fillId="2" borderId="8" xfId="0" applyNumberFormat="1" applyFont="1" applyFill="1" applyBorder="1" applyAlignment="1">
      <alignment horizontal="center"/>
    </xf>
    <xf numFmtId="172" fontId="2" fillId="2" borderId="8" xfId="0" applyNumberFormat="1" applyFont="1" applyFill="1" applyBorder="1" applyAlignment="1">
      <alignment horizontal="center"/>
    </xf>
    <xf numFmtId="172" fontId="2" fillId="2" borderId="16" xfId="0" applyNumberFormat="1" applyFont="1" applyFill="1" applyBorder="1" applyAlignment="1">
      <alignment horizontal="center"/>
    </xf>
    <xf numFmtId="172" fontId="2" fillId="2" borderId="18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172" fontId="9" fillId="2" borderId="0" xfId="0" applyNumberFormat="1" applyFont="1" applyFill="1" applyAlignment="1" applyProtection="1">
      <alignment horizontal="center"/>
      <protection locked="0"/>
    </xf>
    <xf numFmtId="166" fontId="9" fillId="2" borderId="0" xfId="0" applyNumberFormat="1" applyFont="1" applyFill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 vertical="center" textRotation="255"/>
      <protection locked="0"/>
    </xf>
    <xf numFmtId="0" fontId="4" fillId="3" borderId="10" xfId="0" applyFont="1" applyFill="1" applyBorder="1" applyAlignment="1" applyProtection="1">
      <alignment horizontal="center" vertical="center" textRotation="255"/>
      <protection locked="0"/>
    </xf>
    <xf numFmtId="0" fontId="4" fillId="3" borderId="6" xfId="0" applyFont="1" applyFill="1" applyBorder="1" applyAlignment="1" applyProtection="1">
      <alignment horizontal="center" vertical="center" textRotation="255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 vertical="center" textRotation="255"/>
      <protection locked="0"/>
    </xf>
    <xf numFmtId="0" fontId="4" fillId="3" borderId="9" xfId="0" applyFont="1" applyFill="1" applyBorder="1" applyAlignment="1" applyProtection="1">
      <alignment horizontal="center" vertical="center" textRotation="255"/>
      <protection locked="0"/>
    </xf>
    <xf numFmtId="0" fontId="4" fillId="3" borderId="4" xfId="0" applyFont="1" applyFill="1" applyBorder="1" applyAlignment="1" applyProtection="1">
      <alignment horizontal="center" vertical="center" textRotation="255"/>
      <protection locked="0"/>
    </xf>
    <xf numFmtId="0" fontId="5" fillId="3" borderId="11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Planilha1!$BC$6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Planilha1!$BB$7:$BB$16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Planilha1!$BC$7:$BC$16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7-4D61-98DC-57BE18109669}"/>
            </c:ext>
          </c:extLst>
        </c:ser>
        <c:ser>
          <c:idx val="3"/>
          <c:order val="3"/>
          <c:tx>
            <c:strRef>
              <c:f>Planilha1!$BD$6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Planilha1!$BB$7:$BB$16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Planilha1!$BD$7:$BD$16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97-4D61-98DC-57BE18109669}"/>
            </c:ext>
          </c:extLst>
        </c:ser>
        <c:ser>
          <c:idx val="4"/>
          <c:order val="4"/>
          <c:tx>
            <c:strRef>
              <c:f>Planilha1!$BE$6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Planilha1!$BB$7:$BB$16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Planilha1!$BE$7:$BE$16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0.5</c:v>
                </c:pt>
                <c:pt idx="5">
                  <c:v>0.5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97-4D61-98DC-57BE1810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6B-4D5D-8A1C-3DCA381109E8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Planilha1!$AK$31</c15:f>
                      <c15:dlblFieldTableCache>
                        <c:ptCount val="1"/>
                        <c:pt idx="0">
                          <c:v>0,94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B6B-4D5D-8A1C-3DCA381109E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6B-4D5D-8A1C-3DCA381109E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6B-4D5D-8A1C-3DCA381109E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6B-4D5D-8A1C-3DCA381109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Planilha1!$AS$22:$AS$26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Planilha1!$AT$22:$AT$26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7-4D61-98DC-57BE18109669}"/>
            </c:ext>
          </c:extLst>
        </c:ser>
        <c:ser>
          <c:idx val="1"/>
          <c:order val="1"/>
          <c:tx>
            <c:strRef>
              <c:f>Planilha1!$AQ$12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Planilha1!$AS$27:$AS$39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Planilha1!$AT$27:$AT$39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6.5</c:v>
                </c:pt>
                <c:pt idx="5">
                  <c:v>6.5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97-4D61-98DC-57BE181096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3E-477B-B0A2-0FC427893016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Planilha1!$AK$25</c15:f>
                      <c15:dlblFieldTableCache>
                        <c:ptCount val="1"/>
                        <c:pt idx="0">
                          <c:v>0,94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Planilha1!$AI$26:$AI$27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3E-477B-B0A2-0FC427893016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63E-477B-B0A2-0FC4278930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Planilha1!$AI$29:$AI$30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Planilha1!$AJ$29:$AJ$30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Planilha1!$AK$28</c15:f>
                <c15:dlblRangeCache>
                  <c:ptCount val="1"/>
                  <c:pt idx="0">
                    <c:v>11,64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63E-477B-B0A2-0FC427893016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3E-477B-B0A2-0FC4278930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Planilha1!$AI$32:$AI$33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Planilha1!$AJ$32:$AJ$33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3E-477B-B0A2-0FC42789301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63E-477B-B0A2-0FC42789301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Planilha1!$AI$35:$AI$36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Planilha1!$AJ$35:$AJ$36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Planilha1!$AK$34</c15:f>
                <c15:dlblRangeCache>
                  <c:ptCount val="1"/>
                  <c:pt idx="0">
                    <c:v>19,40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663E-477B-B0A2-0FC427893016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ED13-4A69-B1C0-3CEF77AE5980}"/>
              </c:ext>
            </c:extLst>
          </c:dPt>
          <c:xVal>
            <c:numRef>
              <c:f>Planilha1!$AD$32:$AD$33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3-4A69-B1C0-3CEF77AE5980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Planilha1!$AD$34:$AD$35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3-4A69-B1C0-3CEF77AE5980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Planilha1!$AD$36:$AD$37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Planilha1!$AE$36:$AE$37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3-4A69-B1C0-3CEF77AE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Planilha1!$BC$6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Planilha1!$BB$7:$BB$16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Planilha1!$BC$7:$BC$16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B-4583-858C-0DA1210CF807}"/>
            </c:ext>
          </c:extLst>
        </c:ser>
        <c:ser>
          <c:idx val="3"/>
          <c:order val="3"/>
          <c:tx>
            <c:strRef>
              <c:f>Planilha1!$BD$6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Planilha1!$BB$7:$BB$16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Planilha1!$BD$7:$BD$16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B-4583-858C-0DA1210CF807}"/>
            </c:ext>
          </c:extLst>
        </c:ser>
        <c:ser>
          <c:idx val="4"/>
          <c:order val="4"/>
          <c:tx>
            <c:strRef>
              <c:f>Planilha1!$BE$6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Planilha1!$BB$7:$BB$16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Planilha1!$BE$7:$BE$16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0.5</c:v>
                </c:pt>
                <c:pt idx="5">
                  <c:v>0.5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B-4583-858C-0DA1210C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Planilha1!$AS$22:$AS$26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Planilha1!$AT$22:$AT$26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B-4583-858C-0DA1210CF807}"/>
            </c:ext>
          </c:extLst>
        </c:ser>
        <c:ser>
          <c:idx val="1"/>
          <c:order val="1"/>
          <c:tx>
            <c:strRef>
              <c:f>Planilha1!$AQ$12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Planilha1!$AS$27:$AS$39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Planilha1!$AT$27:$AT$39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6.5</c:v>
                </c:pt>
                <c:pt idx="5">
                  <c:v>6.5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4B-4583-858C-0DA1210CF807}"/>
            </c:ext>
          </c:extLst>
        </c:ser>
        <c:ser>
          <c:idx val="5"/>
          <c:order val="5"/>
          <c:tx>
            <c:strRef>
              <c:f>Planilha1!$Q$7</c:f>
              <c:strCache>
                <c:ptCount val="1"/>
                <c:pt idx="0">
                  <c:v>0,00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38B9B4A1-EACC-4F54-9281-F30CFF8592DF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4B-4583-858C-0DA1210CF807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374B-4583-858C-0DA1210CF80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Planilha1!$AD$19:$AD$20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5-374B-4583-858C-0DA1210CF807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173F2A58-0575-4872-9A7C-6B2CCB8183C7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74B-4583-858C-0DA1210CF8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4B-4583-858C-0DA1210CF8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Planilha1!$AD$22:$AD$23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Planilha1!$AF$21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8-374B-4583-858C-0DA1210CF807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355-42A9-AE0A-E6EDA5817C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55-42A9-AE0A-E6EDA5817C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Planilha1!$AD$25:$AD$26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Planilha1!$AE$25:$AE$26</c:f>
              <c:numCache>
                <c:formatCode>General</c:formatCode>
                <c:ptCount val="2"/>
                <c:pt idx="0">
                  <c:v>6.6</c:v>
                </c:pt>
                <c:pt idx="1">
                  <c:v>5.4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Planilha1!$AF$24</c15:f>
                <c15:dlblRangeCache>
                  <c:ptCount val="1"/>
                  <c:pt idx="0">
                    <c:v>-13,00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355-42A9-AE0A-E6EDA5817C37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36F-4EA0-8203-9F82D3D0D0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6F-4EA0-8203-9F82D3D0D0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Planilha1!$AD$28:$AD$29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Planilha1!$AE$28:$AE$29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0-A36F-4EA0-8203-9F82D3D0D01C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36F-4EA0-8203-9F82D3D0D0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6F-4EA0-8203-9F82D3D0D0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Planilha1!$AI$19:$AI$20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Planilha1!$AJ$19:$AJ$20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Planilha1!$AK$18</c15:f>
                <c15:dlblRangeCache>
                  <c:ptCount val="1"/>
                  <c:pt idx="0">
                    <c:v>1,47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A36F-4EA0-8203-9F82D3D0D01C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36F-4EA0-8203-9F82D3D0D0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6F-4EA0-8203-9F82D3D0D0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Planilha1!$AI$23:$AI$24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Planilha1!$AJ$23:$AJ$24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Planilha1!$AK$22</c15:f>
                <c15:dlblRangeCache>
                  <c:ptCount val="1"/>
                  <c:pt idx="0">
                    <c:v>7,31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36F-4EA0-8203-9F82D3D0D01C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Planilha1!$AD$32:$AD$33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E-40F5-8BF8-568652475CB0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Planilha1!$AD$34:$AD$35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Planilha1!$AE$34:$AE$35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AE-40F5-8BF8-568652475CB0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Planilha1!$AD$36:$AD$37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Planilha1!$AE$36:$AE$37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AE-40F5-8BF8-568652475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8F24D6-EEBC-4CC3-8E07-F11F230DB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A24B36-3873-409E-8C14-AF667037B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9864B561-7ADF-4A25-B493-0F84AFBC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8999" y="2878773"/>
          <a:ext cx="5917522" cy="2569527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5CC3915-A50B-0E70-A77B-DAF76F0DF14C}"/>
            </a:ext>
          </a:extLst>
        </xdr:cNvPr>
        <xdr:cNvGrpSpPr/>
      </xdr:nvGrpSpPr>
      <xdr:grpSpPr>
        <a:xfrm>
          <a:off x="323850" y="5657850"/>
          <a:ext cx="10264486" cy="327146"/>
          <a:chOff x="323850" y="6010275"/>
          <a:chExt cx="10264486" cy="327146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id="{9E4F1157-3BAC-7A94-6C11-CE7FE0CB74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A2715F7-D4D4-6770-050B-C550DA3CB3A2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4" name="Imagem 3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2EA9CF7-37A9-CE1C-2C21-0F09257439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6" name="Imagem 5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1FEA141B-122F-B9DD-0696-F8FCB8A812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029A9A6B-E974-3DB9-4023-5417D482D7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1C33BDD6-BE19-47A3-A323-0BD9A5AEB2AB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0482-4917-477A-8635-D1CA790CE8C6}">
  <dimension ref="B1:BO41"/>
  <sheetViews>
    <sheetView tabSelected="1" zoomScaleNormal="100" workbookViewId="0">
      <selection activeCell="F18" sqref="F18"/>
    </sheetView>
  </sheetViews>
  <sheetFormatPr defaultColWidth="9.140625" defaultRowHeight="15" x14ac:dyDescent="0.25"/>
  <cols>
    <col min="1" max="2" width="4.5703125" style="10" customWidth="1"/>
    <col min="3" max="3" width="9.140625" style="10"/>
    <col min="4" max="4" width="4.5703125" style="10" customWidth="1"/>
    <col min="5" max="5" width="13.7109375" style="10" customWidth="1"/>
    <col min="6" max="6" width="9.140625" style="10"/>
    <col min="7" max="7" width="4.5703125" style="10" customWidth="1"/>
    <col min="8" max="8" width="9.140625" style="10"/>
    <col min="9" max="9" width="6" style="10" customWidth="1"/>
    <col min="10" max="10" width="12.28515625" style="10" customWidth="1"/>
    <col min="11" max="12" width="2.28515625" style="10" customWidth="1"/>
    <col min="13" max="13" width="7.7109375" style="10" customWidth="1"/>
    <col min="14" max="14" width="10.5703125" style="10" customWidth="1"/>
    <col min="15" max="15" width="4.5703125" style="10" customWidth="1"/>
    <col min="16" max="16" width="6" style="10" bestFit="1" customWidth="1"/>
    <col min="17" max="17" width="14.5703125" style="10" bestFit="1" customWidth="1"/>
    <col min="18" max="18" width="9.140625" style="10"/>
    <col min="19" max="19" width="5.140625" style="10" customWidth="1"/>
    <col min="20" max="20" width="13.140625" style="10" customWidth="1"/>
    <col min="21" max="25" width="9.140625" style="10"/>
    <col min="26" max="26" width="9.140625" style="10" customWidth="1"/>
    <col min="27" max="27" width="5.140625" style="11" hidden="1" customWidth="1"/>
    <col min="28" max="28" width="12.7109375" style="11" hidden="1" customWidth="1"/>
    <col min="29" max="30" width="12" style="11" hidden="1" customWidth="1"/>
    <col min="31" max="50" width="9.140625" style="11" hidden="1" customWidth="1"/>
    <col min="51" max="52" width="4.7109375" style="11" hidden="1" customWidth="1"/>
    <col min="53" max="54" width="12" style="11" hidden="1" customWidth="1"/>
    <col min="55" max="55" width="4.7109375" style="11" hidden="1" customWidth="1"/>
    <col min="56" max="56" width="4" style="11" hidden="1" customWidth="1"/>
    <col min="57" max="57" width="2.7109375" style="11" hidden="1" customWidth="1"/>
    <col min="58" max="67" width="9.140625" style="11" customWidth="1"/>
    <col min="68" max="16384" width="9.140625" style="10"/>
  </cols>
  <sheetData>
    <row r="1" spans="2:57" ht="15.75" thickBot="1" x14ac:dyDescent="0.3"/>
    <row r="2" spans="2:57" ht="15" customHeight="1" thickBot="1" x14ac:dyDescent="0.3">
      <c r="B2" s="43"/>
      <c r="C2" s="46"/>
      <c r="D2" s="46"/>
      <c r="E2" s="46"/>
      <c r="F2" s="46"/>
      <c r="G2" s="39"/>
    </row>
    <row r="3" spans="2:57" x14ac:dyDescent="0.25">
      <c r="B3" s="44"/>
      <c r="C3" s="53" t="s">
        <v>33</v>
      </c>
      <c r="D3" s="54"/>
      <c r="E3" s="54"/>
      <c r="F3" s="55"/>
      <c r="G3" s="40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.75" thickBot="1" x14ac:dyDescent="0.3">
      <c r="B4" s="44"/>
      <c r="C4" s="56"/>
      <c r="D4" s="57"/>
      <c r="E4" s="57"/>
      <c r="F4" s="58"/>
      <c r="G4" s="40"/>
      <c r="I4" s="50" t="s">
        <v>49</v>
      </c>
      <c r="J4" s="51"/>
      <c r="M4" s="50" t="s">
        <v>38</v>
      </c>
      <c r="N4" s="51"/>
      <c r="P4" s="48" t="s">
        <v>45</v>
      </c>
      <c r="Q4" s="49"/>
      <c r="AA4" s="11">
        <v>1</v>
      </c>
      <c r="AB4" s="11">
        <f>AB18^4/(1+AB18^4)</f>
        <v>7.4205318307966159E-2</v>
      </c>
      <c r="AC4" s="11">
        <f t="shared" ref="AC4" si="0">1-AB4</f>
        <v>0.92579468169203383</v>
      </c>
      <c r="AD4" s="11">
        <f>5*AB4/384</f>
        <v>9.662150821349761E-4</v>
      </c>
      <c r="AE4" s="11">
        <f>AB4/8</f>
        <v>9.2756647884957698E-3</v>
      </c>
      <c r="AF4" s="11">
        <f>AC4*AB18^2/8</f>
        <v>3.2763091143746356E-2</v>
      </c>
      <c r="AG4" s="11">
        <v>0</v>
      </c>
      <c r="AH4" s="11">
        <v>0</v>
      </c>
      <c r="AI4" s="11">
        <f>AC4*AB18/2</f>
        <v>0.24630020518331588</v>
      </c>
      <c r="AJ4" s="11">
        <f>AB4/2</f>
        <v>3.7102659153983079E-2</v>
      </c>
      <c r="AK4" s="11">
        <v>0</v>
      </c>
      <c r="AL4" s="11">
        <v>0</v>
      </c>
    </row>
    <row r="5" spans="2:57" x14ac:dyDescent="0.25">
      <c r="B5" s="44"/>
      <c r="C5" s="1"/>
      <c r="D5" s="1"/>
      <c r="E5" s="1"/>
      <c r="F5" s="1"/>
      <c r="G5" s="40"/>
      <c r="I5" s="12" t="s">
        <v>50</v>
      </c>
      <c r="J5" s="13">
        <f>E11+E13*E12</f>
        <v>5.78</v>
      </c>
      <c r="M5" s="12" t="s">
        <v>52</v>
      </c>
      <c r="N5" s="14">
        <f>MIN(0.8+0.2*E19/80,1)</f>
        <v>0.86250000000000004</v>
      </c>
      <c r="P5" s="12" t="s">
        <v>53</v>
      </c>
      <c r="Q5" s="15">
        <f>AB23*J6*E7^2</f>
        <v>1.4718483463989318</v>
      </c>
      <c r="AA5" s="11">
        <v>2</v>
      </c>
      <c r="AB5" s="11">
        <f>5*AB18^4/(2+5*AB18^4)</f>
        <v>0.16693238915966235</v>
      </c>
      <c r="AC5" s="11">
        <f t="shared" ref="AC5:AC12" si="1">1-AB5</f>
        <v>0.83306761084033765</v>
      </c>
      <c r="AD5" s="11">
        <f>2*AB5/384</f>
        <v>8.6943952687324139E-4</v>
      </c>
      <c r="AE5" s="11">
        <f>AB5/14.22</f>
        <v>1.1739267873393976E-2</v>
      </c>
      <c r="AF5" s="11">
        <f>AC5*AB18^2/8</f>
        <v>2.9481558495217546E-2</v>
      </c>
      <c r="AG5" s="11">
        <f>-AB5/8</f>
        <v>-2.0866548644957794E-2</v>
      </c>
      <c r="AH5" s="11">
        <v>0</v>
      </c>
      <c r="AI5" s="11">
        <f>AC5*AB18/2</f>
        <v>0.2216309161622563</v>
      </c>
      <c r="AJ5" s="11">
        <f>3*AB5/8</f>
        <v>6.2599645934873382E-2</v>
      </c>
      <c r="AK5" s="11">
        <v>0</v>
      </c>
      <c r="AL5" s="11">
        <f>5*AB5/8</f>
        <v>0.10433274322478897</v>
      </c>
    </row>
    <row r="6" spans="2:57" x14ac:dyDescent="0.25">
      <c r="B6" s="44"/>
      <c r="C6" s="1"/>
      <c r="D6" s="61" t="s">
        <v>32</v>
      </c>
      <c r="E6" s="62"/>
      <c r="F6" s="1"/>
      <c r="G6" s="40"/>
      <c r="I6" s="12" t="s">
        <v>51</v>
      </c>
      <c r="J6" s="13">
        <f>(E12+E11)*IF(E16=10,1.4*MAX(1.95-0.05*E23*100,1),1.4)</f>
        <v>9.5619999999999994</v>
      </c>
      <c r="M6" s="12" t="s">
        <v>29</v>
      </c>
      <c r="N6" s="16">
        <f>E20*5600*E19^0.5</f>
        <v>33600</v>
      </c>
      <c r="P6" s="17" t="s">
        <v>54</v>
      </c>
      <c r="Q6" s="18">
        <f>AB24*J6*E7^2</f>
        <v>7.3119512659623549</v>
      </c>
      <c r="AA6" s="11" t="s">
        <v>62</v>
      </c>
      <c r="AB6" s="11">
        <f>5*AB18^-4/(2+5*AB18^-4)</f>
        <v>0.96893474855367878</v>
      </c>
      <c r="AC6" s="11">
        <f t="shared" si="1"/>
        <v>3.1065251446321218E-2</v>
      </c>
      <c r="AD6" s="11">
        <f>2*AB6/384*AB18^4</f>
        <v>4.0449546154064099E-4</v>
      </c>
      <c r="AE6" s="11">
        <f>AC6*AB18^2/8/AB18^2</f>
        <v>3.8831564307901518E-3</v>
      </c>
      <c r="AF6" s="11">
        <f>AB6/14.22*AB18^2</f>
        <v>1.9291016394123874E-2</v>
      </c>
      <c r="AG6" s="11">
        <v>0</v>
      </c>
      <c r="AH6" s="11">
        <f>-AB6/8*AB18^2</f>
        <v>-3.4289781640555191E-2</v>
      </c>
      <c r="AI6" s="11">
        <f>3*AB6/8*AB18</f>
        <v>0.19333295391844968</v>
      </c>
      <c r="AJ6" s="11">
        <f>AC6*AB18/2/AB18</f>
        <v>1.5532625723160607E-2</v>
      </c>
      <c r="AK6" s="11">
        <f>5*AB6/8*AB18</f>
        <v>0.32222158986408272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25">
      <c r="B7" s="44"/>
      <c r="C7" s="1"/>
      <c r="D7" s="2" t="s">
        <v>2</v>
      </c>
      <c r="E7" s="3">
        <v>6.2960000000000003</v>
      </c>
      <c r="F7" s="1"/>
      <c r="G7" s="40"/>
      <c r="M7" s="12" t="s">
        <v>27</v>
      </c>
      <c r="N7" s="16">
        <f>N6*N5</f>
        <v>28980</v>
      </c>
      <c r="P7" s="12" t="s">
        <v>55</v>
      </c>
      <c r="Q7" s="15">
        <f>(AB25*J6*E7^2-IF(E16=10,MAX(1.95-0.05*E23*100,1)*(1.4*J12*J13+1.4*J11*E7),0))</f>
        <v>0</v>
      </c>
      <c r="AA7" s="11">
        <v>3</v>
      </c>
      <c r="AB7" s="11">
        <f>5*AB18^4/(1+5*AB18^4)</f>
        <v>0.28610464618241443</v>
      </c>
      <c r="AC7" s="11">
        <f t="shared" si="1"/>
        <v>0.71389535381758562</v>
      </c>
      <c r="AD7" s="11">
        <f>AB7/384</f>
        <v>7.4506418276670426E-4</v>
      </c>
      <c r="AE7" s="11">
        <f>AB7/24</f>
        <v>1.1921026924267268E-2</v>
      </c>
      <c r="AF7" s="11">
        <f>AC7*AB18^2/8</f>
        <v>2.5264153064127361E-2</v>
      </c>
      <c r="AG7" s="11">
        <f>-AB7/12</f>
        <v>-2.3842053848534536E-2</v>
      </c>
      <c r="AH7" s="11">
        <v>0</v>
      </c>
      <c r="AI7" s="11">
        <f>AC7*AB18/2</f>
        <v>0.18992609873641295</v>
      </c>
      <c r="AJ7" s="11">
        <v>0</v>
      </c>
      <c r="AK7" s="11">
        <v>0</v>
      </c>
      <c r="AL7" s="11">
        <f>AB7/2</f>
        <v>0.14305232309120722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25">
      <c r="B8" s="44"/>
      <c r="C8" s="1"/>
      <c r="D8" s="2" t="s">
        <v>3</v>
      </c>
      <c r="E8" s="3">
        <v>3.35</v>
      </c>
      <c r="F8" s="1"/>
      <c r="G8" s="40"/>
      <c r="M8" s="12" t="s">
        <v>30</v>
      </c>
      <c r="N8" s="19">
        <f>N7*10^6*E23^3/(12*(1-0.2^2))/1000</f>
        <v>4347</v>
      </c>
      <c r="P8" s="20" t="s">
        <v>56</v>
      </c>
      <c r="Q8" s="21">
        <f>AB26*J6*E7^2</f>
        <v>-12.996993375248088</v>
      </c>
      <c r="AA8" s="11" t="s">
        <v>63</v>
      </c>
      <c r="AB8" s="11">
        <f>5*AB18^-4/(1+5*AB18^-4)</f>
        <v>0.98422230524950571</v>
      </c>
      <c r="AC8" s="11">
        <f t="shared" si="1"/>
        <v>1.5777694750494287E-2</v>
      </c>
      <c r="AD8" s="11">
        <f>AB8/384*AB18^4</f>
        <v>2.0543873373039478E-4</v>
      </c>
      <c r="AE8" s="11">
        <f>AC8*AB18^2/8/AB18^2</f>
        <v>1.9722118438117858E-3</v>
      </c>
      <c r="AF8" s="11">
        <f>AB8/24*AB18^2</f>
        <v>1.1610265116113658E-2</v>
      </c>
      <c r="AG8" s="11">
        <v>0</v>
      </c>
      <c r="AH8" s="11">
        <f>-AB8/12*AB18^2</f>
        <v>-2.3220530232227317E-2</v>
      </c>
      <c r="AI8" s="11">
        <v>0</v>
      </c>
      <c r="AJ8" s="11">
        <f>AC8*AB18/2/AB18</f>
        <v>7.8888473752471433E-3</v>
      </c>
      <c r="AK8" s="11">
        <f>AB8/2*AB18</f>
        <v>0.26184440300078177</v>
      </c>
      <c r="AL8" s="11">
        <v>0</v>
      </c>
      <c r="AS8" s="22">
        <v>5</v>
      </c>
      <c r="AT8" s="22">
        <v>6</v>
      </c>
      <c r="BB8" s="11">
        <f>BA10</f>
        <v>142.85714285714286</v>
      </c>
      <c r="BC8" s="11">
        <v>0</v>
      </c>
      <c r="BD8" s="11">
        <v>0</v>
      </c>
      <c r="BE8" s="11">
        <v>0</v>
      </c>
    </row>
    <row r="9" spans="2:57" x14ac:dyDescent="0.25">
      <c r="B9" s="44"/>
      <c r="C9" s="1"/>
      <c r="D9" s="1"/>
      <c r="E9" s="1"/>
      <c r="F9" s="1"/>
      <c r="G9" s="40"/>
      <c r="H9" s="34"/>
      <c r="I9" s="34"/>
      <c r="J9" s="34"/>
      <c r="K9" s="34"/>
      <c r="AA9" s="11">
        <v>4</v>
      </c>
      <c r="AB9" s="11">
        <f>AB18^4/(1+AB18^4)</f>
        <v>7.4205318307966159E-2</v>
      </c>
      <c r="AC9" s="11">
        <f t="shared" si="1"/>
        <v>0.92579468169203383</v>
      </c>
      <c r="AD9" s="11">
        <f>2*AB9/384</f>
        <v>3.8648603285399043E-4</v>
      </c>
      <c r="AE9" s="11">
        <f>AB9/14.22</f>
        <v>5.2183768149061992E-3</v>
      </c>
      <c r="AF9" s="11">
        <f>AC9*AB18^2/14.22</f>
        <v>1.8432118786917782E-2</v>
      </c>
      <c r="AG9" s="11">
        <f>-AB9/8</f>
        <v>-9.2756647884957698E-3</v>
      </c>
      <c r="AH9" s="11">
        <f>-AC9*AB18^2/8</f>
        <v>-3.2763091143746356E-2</v>
      </c>
      <c r="AI9" s="11">
        <f>3*AC9*AB18/8</f>
        <v>0.18472515388748692</v>
      </c>
      <c r="AJ9" s="11">
        <f>3*AB9/8</f>
        <v>2.7826994365487308E-2</v>
      </c>
      <c r="AK9" s="11">
        <f>5*AC9*AB18/8</f>
        <v>0.30787525647914482</v>
      </c>
      <c r="AL9" s="11">
        <f>5*AB9/8</f>
        <v>4.6378323942478851E-2</v>
      </c>
      <c r="BB9" s="11">
        <f>BA10</f>
        <v>142.85714285714286</v>
      </c>
      <c r="BC9" s="11">
        <v>0</v>
      </c>
      <c r="BD9" s="11">
        <v>0</v>
      </c>
      <c r="BE9" s="11">
        <f>AT8</f>
        <v>6</v>
      </c>
    </row>
    <row r="10" spans="2:57" x14ac:dyDescent="0.25">
      <c r="B10" s="44"/>
      <c r="C10" s="1"/>
      <c r="D10" s="61" t="s">
        <v>34</v>
      </c>
      <c r="E10" s="62"/>
      <c r="F10" s="1"/>
      <c r="G10" s="40"/>
      <c r="H10" s="34"/>
      <c r="I10" s="42" t="s">
        <v>68</v>
      </c>
      <c r="J10" s="42"/>
      <c r="K10" s="34"/>
      <c r="M10" s="50" t="s">
        <v>41</v>
      </c>
      <c r="N10" s="51"/>
      <c r="P10" s="48" t="s">
        <v>46</v>
      </c>
      <c r="Q10" s="49"/>
      <c r="AA10" s="11">
        <v>5</v>
      </c>
      <c r="AB10" s="11">
        <f>2*AB18^4/(1+2*AB18^4)</f>
        <v>0.13815853830411234</v>
      </c>
      <c r="AC10" s="11">
        <f t="shared" si="1"/>
        <v>0.8618414616958876</v>
      </c>
      <c r="AD10" s="11">
        <f>AB10/384</f>
        <v>3.5978786016695923E-4</v>
      </c>
      <c r="AE10" s="11">
        <f>AB10/24</f>
        <v>5.7566057626713477E-3</v>
      </c>
      <c r="AF10" s="11">
        <f>AC10*AB18^2/14.22</f>
        <v>1.7158841492193617E-2</v>
      </c>
      <c r="AG10" s="11">
        <f>-AB10/12</f>
        <v>-1.1513211525342695E-2</v>
      </c>
      <c r="AH10" s="11">
        <f>-AC10*AB18^2/8</f>
        <v>-3.0499840752374153E-2</v>
      </c>
      <c r="AI10" s="11">
        <f>3*AC10*AB18/8</f>
        <v>0.17196447526293818</v>
      </c>
      <c r="AJ10" s="11">
        <v>0</v>
      </c>
      <c r="AK10" s="11">
        <f>5*AC10*AB18/8</f>
        <v>0.28660745877156368</v>
      </c>
      <c r="AL10" s="11">
        <f>AB10/2</f>
        <v>6.9079269152056172E-2</v>
      </c>
      <c r="AY10" s="11">
        <f>-AT11*AT12</f>
        <v>0</v>
      </c>
      <c r="BA10" s="11">
        <f>1000*(AY10-AY$15)/(AY$16-AY$15)</f>
        <v>142.85714285714286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25">
      <c r="B11" s="44"/>
      <c r="C11" s="1"/>
      <c r="D11" s="2" t="s">
        <v>47</v>
      </c>
      <c r="E11" s="4">
        <v>5.33</v>
      </c>
      <c r="F11" s="1"/>
      <c r="G11" s="40"/>
      <c r="H11" s="34"/>
      <c r="I11" s="35" t="s">
        <v>65</v>
      </c>
      <c r="J11" s="36">
        <v>2.5</v>
      </c>
      <c r="K11" s="34"/>
      <c r="M11" s="12" t="s">
        <v>42</v>
      </c>
      <c r="N11" s="23">
        <f>AB22*J5*E7^4/N8*1000+IF(E16=10,J11*E7^3/(3*N8)*1000,0)</f>
        <v>0.84510511212408557</v>
      </c>
      <c r="P11" s="12" t="s">
        <v>57</v>
      </c>
      <c r="Q11" s="24">
        <f>AB27*J6*E7</f>
        <v>11.639098544998287</v>
      </c>
      <c r="AA11" s="11" t="s">
        <v>64</v>
      </c>
      <c r="AB11" s="11">
        <f>2*AB18^-4/(1+2*AB18^-4)</f>
        <v>0.96146768966940532</v>
      </c>
      <c r="AC11" s="11">
        <f t="shared" si="1"/>
        <v>3.8532310330594677E-2</v>
      </c>
      <c r="AD11" s="11">
        <f>AB11/384*AB18^4</f>
        <v>2.0068911630518037E-4</v>
      </c>
      <c r="AE11" s="11">
        <f>AC11*AB18^2/14.22/AB18^2</f>
        <v>2.7097264648800758E-3</v>
      </c>
      <c r="AF11" s="11">
        <f>AB11/24*AB18^2</f>
        <v>1.1341842913028916E-2</v>
      </c>
      <c r="AG11" s="11">
        <f>-AC11*AB18^2/8/AB18^2</f>
        <v>-4.8165387913243346E-3</v>
      </c>
      <c r="AH11" s="11">
        <f>-AB11/12*AB18^2</f>
        <v>-2.2683685826057832E-2</v>
      </c>
      <c r="AI11" s="11">
        <v>0</v>
      </c>
      <c r="AJ11" s="11">
        <f>3*AC11*AB18/8/AB18</f>
        <v>1.4449616373973004E-2</v>
      </c>
      <c r="AK11" s="11">
        <f>AB11/2*AB18</f>
        <v>0.25579072112392853</v>
      </c>
      <c r="AL11" s="11">
        <f>5*AC11*AB18/8/AB18</f>
        <v>2.4082693956621673E-2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0.5</v>
      </c>
    </row>
    <row r="12" spans="2:57" x14ac:dyDescent="0.25">
      <c r="B12" s="44"/>
      <c r="C12" s="1"/>
      <c r="D12" s="2" t="s">
        <v>48</v>
      </c>
      <c r="E12" s="4">
        <v>1.5</v>
      </c>
      <c r="F12" s="1"/>
      <c r="G12" s="40"/>
      <c r="H12" s="34"/>
      <c r="I12" s="35" t="s">
        <v>66</v>
      </c>
      <c r="J12" s="36">
        <v>1</v>
      </c>
      <c r="K12" s="34"/>
      <c r="M12" s="12" t="s">
        <v>43</v>
      </c>
      <c r="N12" s="23">
        <f>N11*(1+E26)</f>
        <v>2.9578678924342996</v>
      </c>
      <c r="P12" s="17" t="s">
        <v>58</v>
      </c>
      <c r="Q12" s="25">
        <f>AB28*J6*E7</f>
        <v>0.93510060126996941</v>
      </c>
      <c r="AA12" s="11">
        <v>6</v>
      </c>
      <c r="AB12" s="11">
        <f>AB18^4/(1+AB18^4)</f>
        <v>7.4205318307966159E-2</v>
      </c>
      <c r="AC12" s="11">
        <f t="shared" si="1"/>
        <v>0.92579468169203383</v>
      </c>
      <c r="AD12" s="11">
        <f>AB12/384</f>
        <v>1.9324301642699521E-4</v>
      </c>
      <c r="AE12" s="11">
        <f>AB12/24</f>
        <v>3.0918882628319234E-3</v>
      </c>
      <c r="AF12" s="11">
        <f>AC12*AB18^2/24</f>
        <v>1.0921030381248786E-2</v>
      </c>
      <c r="AG12" s="11">
        <f>-AB12/12</f>
        <v>-6.1837765256638469E-3</v>
      </c>
      <c r="AH12" s="11">
        <f>-AC12*AB18^2/12</f>
        <v>-2.1842060762497572E-2</v>
      </c>
      <c r="AI12" s="11">
        <v>0</v>
      </c>
      <c r="AJ12" s="11">
        <v>0</v>
      </c>
      <c r="AK12" s="11">
        <f>AC12*AB18/2</f>
        <v>0.24630020518331588</v>
      </c>
      <c r="AL12" s="11">
        <f>AB12/2</f>
        <v>3.7102659153983079E-2</v>
      </c>
      <c r="AS12" s="11" t="s">
        <v>7</v>
      </c>
      <c r="AT12" s="11">
        <f>IF(OR(E16=1,E16=7,E16="2A",E16="3A",E16="5A"),0,1)</f>
        <v>0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0.5</v>
      </c>
    </row>
    <row r="13" spans="2:57" x14ac:dyDescent="0.25">
      <c r="B13" s="44"/>
      <c r="C13" s="1"/>
      <c r="D13" s="5" t="s">
        <v>61</v>
      </c>
      <c r="E13" s="6">
        <v>0.3</v>
      </c>
      <c r="F13" s="1"/>
      <c r="G13" s="40"/>
      <c r="H13" s="34"/>
      <c r="I13" s="35" t="s">
        <v>67</v>
      </c>
      <c r="J13" s="37">
        <v>1.2</v>
      </c>
      <c r="K13" s="34"/>
      <c r="M13" s="12" t="s">
        <v>44</v>
      </c>
      <c r="N13" s="23">
        <f>IF(E16=10,E7*1000/125,MIN(E7:E8)/250*1000)</f>
        <v>13.4</v>
      </c>
      <c r="P13" s="12" t="s">
        <v>59</v>
      </c>
      <c r="Q13" s="24">
        <f>AB29*J6*E7</f>
        <v>19.39849757499714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1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25">
      <c r="B14" s="44"/>
      <c r="C14" s="1"/>
      <c r="D14" s="1"/>
      <c r="E14" s="1"/>
      <c r="F14" s="1"/>
      <c r="G14" s="40"/>
      <c r="H14" s="34"/>
      <c r="I14" s="34"/>
      <c r="J14" s="34"/>
      <c r="K14" s="34"/>
      <c r="M14" s="59" t="str">
        <f>IF(N13&gt;=N12,"Ok!","Aumentar h!!!")</f>
        <v>Ok!</v>
      </c>
      <c r="N14" s="60"/>
      <c r="P14" s="20" t="s">
        <v>60</v>
      </c>
      <c r="Q14" s="26">
        <f>AB30*J6*E7</f>
        <v>0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25">
      <c r="B15" s="44"/>
      <c r="C15" s="1"/>
      <c r="D15" s="61" t="s">
        <v>35</v>
      </c>
      <c r="E15" s="62"/>
      <c r="F15" s="1"/>
      <c r="G15" s="40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25">
      <c r="B16" s="44"/>
      <c r="C16" s="1"/>
      <c r="D16" s="2" t="s">
        <v>19</v>
      </c>
      <c r="E16" s="9" t="s">
        <v>69</v>
      </c>
      <c r="F16" s="1"/>
      <c r="G16" s="40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25">
      <c r="B17" s="44"/>
      <c r="C17" s="1"/>
      <c r="D17" s="1"/>
      <c r="E17" s="1"/>
      <c r="F17" s="1"/>
      <c r="G17" s="40"/>
    </row>
    <row r="18" spans="2:46" x14ac:dyDescent="0.25">
      <c r="B18" s="44"/>
      <c r="C18" s="1"/>
      <c r="D18" s="61" t="s">
        <v>36</v>
      </c>
      <c r="E18" s="62"/>
      <c r="F18" s="1"/>
      <c r="G18" s="40"/>
      <c r="J18" s="27"/>
      <c r="AA18" s="28" t="s">
        <v>14</v>
      </c>
      <c r="AB18" s="11">
        <f>E8/E7</f>
        <v>0.53208386277001274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1.4718483463989318</v>
      </c>
      <c r="AL18" s="11">
        <v>0.8</v>
      </c>
    </row>
    <row r="19" spans="2:46" x14ac:dyDescent="0.25">
      <c r="B19" s="44"/>
      <c r="C19" s="1"/>
      <c r="D19" s="2" t="s">
        <v>28</v>
      </c>
      <c r="E19" s="7">
        <v>25</v>
      </c>
      <c r="F19" s="1"/>
      <c r="G19" s="40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25">
      <c r="B20" s="44"/>
      <c r="C20" s="1"/>
      <c r="D20" s="5" t="s">
        <v>70</v>
      </c>
      <c r="E20" s="8">
        <v>1.2</v>
      </c>
      <c r="F20" s="1"/>
      <c r="G20" s="40"/>
      <c r="AA20" s="11" t="s">
        <v>15</v>
      </c>
      <c r="AB20" s="11">
        <f>VLOOKUP(E$16,AA$4:AL$16,2,TRUE)</f>
        <v>0.96893474855367878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25">
      <c r="B21" s="44"/>
      <c r="C21" s="1"/>
      <c r="D21" s="1"/>
      <c r="E21" s="1"/>
      <c r="F21" s="1"/>
      <c r="G21" s="40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3.1065251446321218E-2</v>
      </c>
      <c r="AF21" s="29" t="str">
        <f>IF(AF22=0,"",Q7)</f>
        <v/>
      </c>
      <c r="AS21" s="11" t="s">
        <v>4</v>
      </c>
      <c r="AT21" s="11" t="s">
        <v>5</v>
      </c>
    </row>
    <row r="22" spans="2:46" x14ac:dyDescent="0.25">
      <c r="B22" s="44"/>
      <c r="C22" s="1"/>
      <c r="D22" s="61" t="s">
        <v>37</v>
      </c>
      <c r="E22" s="62"/>
      <c r="F22" s="1"/>
      <c r="G22" s="40"/>
      <c r="AA22" s="11" t="s">
        <v>20</v>
      </c>
      <c r="AB22" s="11">
        <f>VLOOKUP(E$16,AA$4:AL$16,4,TRUE)</f>
        <v>4.0449546154064099E-4</v>
      </c>
      <c r="AD22" s="11">
        <f>-(1-AG18)/2*AS8*AF22</f>
        <v>0</v>
      </c>
      <c r="AE22" s="11">
        <f>AE19</f>
        <v>3</v>
      </c>
      <c r="AF22" s="11">
        <f>IF(OR(E16=1,E16="2A",E16="3A",E16="5A",E16=7),0,1)</f>
        <v>0</v>
      </c>
      <c r="AI22" s="11" t="s">
        <v>4</v>
      </c>
      <c r="AJ22" s="11" t="s">
        <v>5</v>
      </c>
      <c r="AK22" s="29">
        <f>IF(OR(E16=7,E16=8,E16=9,E16=10),"",Q6)</f>
        <v>7.3119512659623549</v>
      </c>
      <c r="AL22" s="11">
        <v>0.8</v>
      </c>
      <c r="AS22" s="11">
        <v>0</v>
      </c>
      <c r="AT22" s="11">
        <v>0</v>
      </c>
    </row>
    <row r="23" spans="2:46" x14ac:dyDescent="0.25">
      <c r="B23" s="44"/>
      <c r="C23" s="1"/>
      <c r="D23" s="2" t="s">
        <v>31</v>
      </c>
      <c r="E23" s="3">
        <v>0.12</v>
      </c>
      <c r="F23" s="1"/>
      <c r="G23" s="40"/>
      <c r="AA23" s="11" t="s">
        <v>17</v>
      </c>
      <c r="AB23" s="11">
        <f>VLOOKUP(E$16,AA$4:AL$16,5,TRUE)</f>
        <v>3.8831564307901518E-3</v>
      </c>
      <c r="AC23" s="32"/>
      <c r="AD23" s="11">
        <f>-AD22</f>
        <v>0</v>
      </c>
      <c r="AE23" s="11">
        <f>AE20</f>
        <v>3</v>
      </c>
      <c r="AF23" s="11">
        <f>IF(OR(E16=1,E16="2A",E16="3A",E16="5A",E16=7),0,1)</f>
        <v>0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25">
      <c r="B24" s="44"/>
      <c r="C24" s="1"/>
      <c r="D24" s="1"/>
      <c r="E24" s="1"/>
      <c r="F24" s="1"/>
      <c r="G24" s="40"/>
      <c r="AA24" s="11" t="s">
        <v>18</v>
      </c>
      <c r="AB24" s="11">
        <f>VLOOKUP(E$16,AA$4:AL$16,6,TRUE)</f>
        <v>1.9291016394123874E-2</v>
      </c>
      <c r="AF24" s="29">
        <f>IF(AF26=0,"",Q8)</f>
        <v>-12.996993375248088</v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25">
      <c r="B25" s="44"/>
      <c r="C25" s="1"/>
      <c r="D25" s="52" t="s">
        <v>39</v>
      </c>
      <c r="E25" s="52"/>
      <c r="F25" s="1"/>
      <c r="G25" s="40"/>
      <c r="AA25" s="11" t="s">
        <v>21</v>
      </c>
      <c r="AB25" s="11">
        <f>VLOOKUP(E$16,AA$4:AL$16,7,TRUE)</f>
        <v>0</v>
      </c>
      <c r="AD25" s="11">
        <f>AS8/2</f>
        <v>2.5</v>
      </c>
      <c r="AE25" s="11">
        <f>(AT8+(1-AG24)/2*AT8)*AF25</f>
        <v>6.6</v>
      </c>
      <c r="AF25" s="11">
        <f>IF(OR(E16=6,E16="2A",E16="3A",E16="5A"),1,0)</f>
        <v>1</v>
      </c>
      <c r="AK25" s="29">
        <f>IF(OR(E16=1,E16=7,E16="2A",E16="3A",E16="5A"),Q12,Q14)</f>
        <v>0.93510060126996941</v>
      </c>
      <c r="AS25" s="11">
        <v>0</v>
      </c>
      <c r="AT25" s="11">
        <f>AT24</f>
        <v>6</v>
      </c>
    </row>
    <row r="26" spans="2:46" x14ac:dyDescent="0.25">
      <c r="B26" s="44"/>
      <c r="C26" s="1"/>
      <c r="D26" s="38" t="s">
        <v>40</v>
      </c>
      <c r="E26" s="6">
        <v>2.5</v>
      </c>
      <c r="F26" s="1"/>
      <c r="G26" s="40"/>
      <c r="AA26" s="11" t="s">
        <v>22</v>
      </c>
      <c r="AB26" s="11">
        <f>VLOOKUP(E$16,AA$4:AL$16,8,TRUE)</f>
        <v>-3.4289781640555191E-2</v>
      </c>
      <c r="AD26" s="11">
        <f>AD25</f>
        <v>2.5</v>
      </c>
      <c r="AE26" s="11">
        <f>(AT8-(AE25-AT8))*AF26</f>
        <v>5.4</v>
      </c>
      <c r="AF26" s="11">
        <f>IF(OR(E16=6,E16="2A",E16="3A",E16="5A"),1,0)</f>
        <v>1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.75" thickBot="1" x14ac:dyDescent="0.3">
      <c r="B27" s="45"/>
      <c r="C27" s="47"/>
      <c r="D27" s="47"/>
      <c r="E27" s="47"/>
      <c r="F27" s="47"/>
      <c r="G27" s="41"/>
      <c r="AA27" s="11" t="s">
        <v>23</v>
      </c>
      <c r="AB27" s="11">
        <f>VLOOKUP(E$16,AA$4:AL$16,9,TRUE)</f>
        <v>0.19333295391844968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25">
      <c r="AA28" s="11" t="s">
        <v>24</v>
      </c>
      <c r="AB28" s="11">
        <f>VLOOKUP(E$16,AA$4:AL$16,10,TRUE)</f>
        <v>1.5532625723160607E-2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11.639098544998287</v>
      </c>
      <c r="AS28" s="11">
        <f>-AT11*AT12</f>
        <v>0</v>
      </c>
      <c r="AT28" s="11">
        <v>0</v>
      </c>
    </row>
    <row r="29" spans="2:46" x14ac:dyDescent="0.25">
      <c r="AA29" s="11" t="s">
        <v>25</v>
      </c>
      <c r="AB29" s="11">
        <f>VLOOKUP(E$16,AA$4:AL$16,11,TRUE)</f>
        <v>0.32222158986408272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0</v>
      </c>
      <c r="AT29" s="11">
        <f>AT25</f>
        <v>6</v>
      </c>
    </row>
    <row r="30" spans="2:46" x14ac:dyDescent="0.25">
      <c r="AA30" s="11" t="s">
        <v>26</v>
      </c>
      <c r="AB30" s="11">
        <f>VLOOKUP(E$16,AA$4:AL$16,12,TRUE)</f>
        <v>0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25">
      <c r="AD31" s="11" t="s">
        <v>4</v>
      </c>
      <c r="AE31" s="11" t="s">
        <v>5</v>
      </c>
      <c r="AK31" s="29">
        <f>IF(OR(E16=3,E16=5,E16=6,E16=9,E16="5A"),Q14,Q12)</f>
        <v>0.93510060126996941</v>
      </c>
      <c r="AS31" s="11">
        <v>0</v>
      </c>
      <c r="AT31" s="11">
        <f>AT30+AT11*AT13</f>
        <v>6.5</v>
      </c>
    </row>
    <row r="32" spans="2:46" x14ac:dyDescent="0.2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6.5</v>
      </c>
    </row>
    <row r="33" spans="13:46" x14ac:dyDescent="0.2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25">
      <c r="M34" s="33"/>
      <c r="AD34" s="11">
        <v>0</v>
      </c>
      <c r="AE34" s="22">
        <f>AT8</f>
        <v>6</v>
      </c>
      <c r="AK34" s="29">
        <f>IF(OR(E16="2A",E16="3A",E16="5A",E16=6),Q13,Q11)</f>
        <v>19.39849757499714</v>
      </c>
      <c r="AS34" s="11">
        <f>AS33+AT14*AT11</f>
        <v>5</v>
      </c>
      <c r="AT34" s="11">
        <f>AT33</f>
        <v>6</v>
      </c>
    </row>
    <row r="35" spans="13:46" x14ac:dyDescent="0.2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2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2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25">
      <c r="AS38" s="11">
        <v>0</v>
      </c>
      <c r="AT38" s="11">
        <f>AT37</f>
        <v>0</v>
      </c>
    </row>
    <row r="39" spans="13:46" x14ac:dyDescent="0.25">
      <c r="AS39" s="11">
        <v>0</v>
      </c>
      <c r="AT39" s="11">
        <v>0</v>
      </c>
    </row>
    <row r="40" spans="13:46" x14ac:dyDescent="0.25">
      <c r="AS40" s="11">
        <v>-1</v>
      </c>
      <c r="AT40" s="11">
        <v>-2</v>
      </c>
    </row>
    <row r="41" spans="13:46" x14ac:dyDescent="0.2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P10:Q10"/>
    <mergeCell ref="I4:J4"/>
    <mergeCell ref="M4:N4"/>
    <mergeCell ref="D25:E25"/>
    <mergeCell ref="C3:F4"/>
    <mergeCell ref="M10:N10"/>
    <mergeCell ref="M14:N14"/>
    <mergeCell ref="P4:Q4"/>
    <mergeCell ref="D6:E6"/>
    <mergeCell ref="D10:E10"/>
    <mergeCell ref="D15:E15"/>
    <mergeCell ref="D18:E18"/>
    <mergeCell ref="D22:E22"/>
    <mergeCell ref="G2:G27"/>
    <mergeCell ref="I10:J10"/>
    <mergeCell ref="B2:B27"/>
    <mergeCell ref="C2:F2"/>
    <mergeCell ref="C27:F27"/>
  </mergeCells>
  <conditionalFormatting sqref="D8:E8">
    <cfRule type="expression" dxfId="11" priority="10">
      <formula>OR($E$16=7,$E$16=8,$E$16=9,$E$16=10)</formula>
    </cfRule>
  </conditionalFormatting>
  <conditionalFormatting sqref="H10:H13">
    <cfRule type="expression" dxfId="10" priority="6">
      <formula>OR($E$16=10)</formula>
    </cfRule>
  </conditionalFormatting>
  <conditionalFormatting sqref="H9:J9">
    <cfRule type="expression" dxfId="9" priority="5">
      <formula>OR($E$16=10)</formula>
    </cfRule>
  </conditionalFormatting>
  <conditionalFormatting sqref="H14:J14">
    <cfRule type="expression" dxfId="8" priority="4">
      <formula>OR($E$16=10)</formula>
    </cfRule>
  </conditionalFormatting>
  <conditionalFormatting sqref="I11:I13">
    <cfRule type="expression" dxfId="7" priority="8">
      <formula>OR($E$16=10)</formula>
    </cfRule>
  </conditionalFormatting>
  <conditionalFormatting sqref="I10:J10">
    <cfRule type="expression" dxfId="6" priority="9">
      <formula>OR($E$16=10)</formula>
    </cfRule>
  </conditionalFormatting>
  <conditionalFormatting sqref="J11:J13">
    <cfRule type="expression" dxfId="5" priority="7">
      <formula>OR($E$16=10)</formula>
    </cfRule>
  </conditionalFormatting>
  <conditionalFormatting sqref="K9">
    <cfRule type="expression" dxfId="4" priority="2">
      <formula>OR($E$16=10)</formula>
    </cfRule>
  </conditionalFormatting>
  <conditionalFormatting sqref="K10:K13">
    <cfRule type="expression" dxfId="3" priority="3">
      <formula>OR($E$16=10)</formula>
    </cfRule>
  </conditionalFormatting>
  <conditionalFormatting sqref="K14">
    <cfRule type="expression" dxfId="2" priority="1">
      <formula>OR($E$16=10)</formula>
    </cfRule>
  </conditionalFormatting>
  <conditionalFormatting sqref="M14:N14">
    <cfRule type="cellIs" dxfId="1" priority="11" operator="equal">
      <formula>"Aumentar h!!!"</formula>
    </cfRule>
    <cfRule type="cellIs" dxfId="0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2017-09-04T00:02:23Z</dcterms:created>
  <dcterms:modified xsi:type="dcterms:W3CDTF">2024-08-20T20:25:24Z</dcterms:modified>
</cp:coreProperties>
</file>