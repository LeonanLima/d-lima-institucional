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a22c8cd3f25119c/Waltner/Introdução ao CA/Planilhas/Bloqueadas/"/>
    </mc:Choice>
  </mc:AlternateContent>
  <xr:revisionPtr revIDLastSave="2718" documentId="6_{C46118B8-3A7B-443D-9A98-8D92265EF227}" xr6:coauthVersionLast="47" xr6:coauthVersionMax="47" xr10:uidLastSave="{D8E4252E-6459-4E4D-91AA-D5F8ED5C4997}"/>
  <bookViews>
    <workbookView xWindow="-120" yWindow="-120" windowWidth="38640" windowHeight="15720" activeTab="2" xr2:uid="{EEECBED8-7867-4A4A-88A6-C7221F0F9646}"/>
  </bookViews>
  <sheets>
    <sheet name="Normal" sheetId="2" r:id="rId1"/>
    <sheet name="Oblíqua" sheetId="3" r:id="rId2"/>
    <sheet name="Envoltória" sheetId="5" r:id="rId3"/>
  </sheets>
  <definedNames>
    <definedName name="Armação" localSheetId="2">Envoltória!$U$3:$V$3</definedName>
    <definedName name="Armação" localSheetId="1">Oblíqua!#REF!</definedName>
    <definedName name="Armação">Normal!$T$3:$U$3</definedName>
    <definedName name="Duas" localSheetId="2">Envoltória!#REF!</definedName>
    <definedName name="Duas" localSheetId="1">Oblíqua!#REF!</definedName>
    <definedName name="Duas">Normal!$L$16:$L$17</definedName>
    <definedName name="solver_adj" localSheetId="2" hidden="1">Envoltória!$K$20,Envoltória!#REF!</definedName>
    <definedName name="solver_adj" localSheetId="0" hidden="1">Normal!$J$15,Normal!$J$21</definedName>
    <definedName name="solver_adj" localSheetId="1" hidden="1">Oblíqua!$P$32,Oblíqua!$S$19</definedName>
    <definedName name="solver_cvg" localSheetId="2" hidden="1">0.0001</definedName>
    <definedName name="solver_cvg" localSheetId="0" hidden="1">0.0001</definedName>
    <definedName name="solver_cvg" localSheetId="1" hidden="1">0.0001</definedName>
    <definedName name="solver_drv" localSheetId="2" hidden="1">1</definedName>
    <definedName name="solver_drv" localSheetId="0" hidden="1">1</definedName>
    <definedName name="solver_drv" localSheetId="1" hidden="1">1</definedName>
    <definedName name="solver_eng" localSheetId="2" hidden="1">1</definedName>
    <definedName name="solver_eng" localSheetId="0" hidden="1">1</definedName>
    <definedName name="solver_eng" localSheetId="1" hidden="1">1</definedName>
    <definedName name="solver_est" localSheetId="2" hidden="1">1</definedName>
    <definedName name="solver_est" localSheetId="0" hidden="1">1</definedName>
    <definedName name="solver_est" localSheetId="1" hidden="1">1</definedName>
    <definedName name="solver_itr" localSheetId="2" hidden="1">2147483647</definedName>
    <definedName name="solver_itr" localSheetId="0" hidden="1">2147483647</definedName>
    <definedName name="solver_itr" localSheetId="1" hidden="1">2147483647</definedName>
    <definedName name="solver_lhs0" localSheetId="1" hidden="1">Oblíqua!$P$13</definedName>
    <definedName name="solver_lhs1" localSheetId="2" hidden="1">Envoltória!$K$20</definedName>
    <definedName name="solver_lhs1" localSheetId="0" hidden="1">Normal!$J$15</definedName>
    <definedName name="solver_lhs1" localSheetId="1" hidden="1">Oblíqua!$P$32</definedName>
    <definedName name="solver_lhs2" localSheetId="2" hidden="1">Envoltória!#REF!</definedName>
    <definedName name="solver_lhs2" localSheetId="0" hidden="1">Normal!$J$21</definedName>
    <definedName name="solver_lhs2" localSheetId="1" hidden="1">Oblíqua!$S$35</definedName>
    <definedName name="solver_lhs3" localSheetId="2" hidden="1">Envoltória!#REF!</definedName>
    <definedName name="solver_lhs3" localSheetId="0" hidden="1">Normal!$M$19</definedName>
    <definedName name="solver_lhs3" localSheetId="1" hidden="1">Oblíqua!#REF!</definedName>
    <definedName name="solver_lin" localSheetId="0" hidden="1">2</definedName>
    <definedName name="solver_mip" localSheetId="2" hidden="1">2147483647</definedName>
    <definedName name="solver_mip" localSheetId="0" hidden="1">2147483647</definedName>
    <definedName name="solver_mip" localSheetId="1" hidden="1">2147483647</definedName>
    <definedName name="solver_mni" localSheetId="2" hidden="1">30</definedName>
    <definedName name="solver_mni" localSheetId="0" hidden="1">30</definedName>
    <definedName name="solver_mni" localSheetId="1" hidden="1">30</definedName>
    <definedName name="solver_mrt" localSheetId="2" hidden="1">0.075</definedName>
    <definedName name="solver_mrt" localSheetId="0" hidden="1">0.075</definedName>
    <definedName name="solver_mrt" localSheetId="1" hidden="1">0.075</definedName>
    <definedName name="solver_msl" localSheetId="2" hidden="1">2</definedName>
    <definedName name="solver_msl" localSheetId="0" hidden="1">2</definedName>
    <definedName name="solver_msl" localSheetId="1" hidden="1">2</definedName>
    <definedName name="solver_neg" localSheetId="2" hidden="1">1</definedName>
    <definedName name="solver_neg" localSheetId="0" hidden="1">1</definedName>
    <definedName name="solver_neg" localSheetId="1" hidden="1">1</definedName>
    <definedName name="solver_nod" localSheetId="2" hidden="1">2147483647</definedName>
    <definedName name="solver_nod" localSheetId="0" hidden="1">2147483647</definedName>
    <definedName name="solver_nod" localSheetId="1" hidden="1">2147483647</definedName>
    <definedName name="solver_num" localSheetId="2" hidden="1">3</definedName>
    <definedName name="solver_num" localSheetId="0" hidden="1">3</definedName>
    <definedName name="solver_num" localSheetId="1" hidden="1">2</definedName>
    <definedName name="solver_nwt" localSheetId="2" hidden="1">1</definedName>
    <definedName name="solver_nwt" localSheetId="0" hidden="1">1</definedName>
    <definedName name="solver_nwt" localSheetId="1" hidden="1">1</definedName>
    <definedName name="solver_opt" localSheetId="2" hidden="1">Envoltória!#REF!</definedName>
    <definedName name="solver_opt" localSheetId="0" hidden="1">Normal!$M$18</definedName>
    <definedName name="solver_opt" localSheetId="1" hidden="1">Oblíqua!$S$34</definedName>
    <definedName name="solver_pre" localSheetId="2" hidden="1">0.000001</definedName>
    <definedName name="solver_pre" localSheetId="0" hidden="1">0.000001</definedName>
    <definedName name="solver_pre" localSheetId="1" hidden="1">0.000001</definedName>
    <definedName name="solver_rbv" localSheetId="2" hidden="1">1</definedName>
    <definedName name="solver_rbv" localSheetId="0" hidden="1">1</definedName>
    <definedName name="solver_rbv" localSheetId="1" hidden="1">1</definedName>
    <definedName name="solver_rel0" localSheetId="1" hidden="1">3</definedName>
    <definedName name="solver_rel1" localSheetId="2" hidden="1">3</definedName>
    <definedName name="solver_rel1" localSheetId="0" hidden="1">3</definedName>
    <definedName name="solver_rel1" localSheetId="1" hidden="1">3</definedName>
    <definedName name="solver_rel2" localSheetId="2" hidden="1">3</definedName>
    <definedName name="solver_rel2" localSheetId="0" hidden="1">3</definedName>
    <definedName name="solver_rel2" localSheetId="1" hidden="1">2</definedName>
    <definedName name="solver_rel3" localSheetId="2" hidden="1">2</definedName>
    <definedName name="solver_rel3" localSheetId="0" hidden="1">2</definedName>
    <definedName name="solver_rel3" localSheetId="1" hidden="1">2</definedName>
    <definedName name="solver_rhs0" localSheetId="1" hidden="1">0</definedName>
    <definedName name="solver_rhs1" localSheetId="2" hidden="1">0</definedName>
    <definedName name="solver_rhs1" localSheetId="0" hidden="1">0</definedName>
    <definedName name="solver_rhs1" localSheetId="1" hidden="1">0</definedName>
    <definedName name="solver_rhs2" localSheetId="2" hidden="1">0</definedName>
    <definedName name="solver_rhs2" localSheetId="0" hidden="1">0</definedName>
    <definedName name="solver_rhs2" localSheetId="1" hidden="1">0</definedName>
    <definedName name="solver_rhs3" localSheetId="2" hidden="1">0</definedName>
    <definedName name="solver_rhs3" localSheetId="0" hidden="1">0</definedName>
    <definedName name="solver_rhs3" localSheetId="1" hidden="1">0</definedName>
    <definedName name="solver_rlx" localSheetId="2" hidden="1">2</definedName>
    <definedName name="solver_rlx" localSheetId="0" hidden="1">2</definedName>
    <definedName name="solver_rlx" localSheetId="1" hidden="1">2</definedName>
    <definedName name="solver_rsd" localSheetId="2" hidden="1">0</definedName>
    <definedName name="solver_rsd" localSheetId="0" hidden="1">0</definedName>
    <definedName name="solver_rsd" localSheetId="1" hidden="1">0</definedName>
    <definedName name="solver_scl" localSheetId="2" hidden="1">1</definedName>
    <definedName name="solver_scl" localSheetId="0" hidden="1">1</definedName>
    <definedName name="solver_scl" localSheetId="1" hidden="1">1</definedName>
    <definedName name="solver_sho" localSheetId="2" hidden="1">2</definedName>
    <definedName name="solver_sho" localSheetId="0" hidden="1">2</definedName>
    <definedName name="solver_sho" localSheetId="1" hidden="1">2</definedName>
    <definedName name="solver_ssz" localSheetId="2" hidden="1">100</definedName>
    <definedName name="solver_ssz" localSheetId="0" hidden="1">100</definedName>
    <definedName name="solver_ssz" localSheetId="1" hidden="1">100</definedName>
    <definedName name="solver_tim" localSheetId="2" hidden="1">2147483647</definedName>
    <definedName name="solver_tim" localSheetId="0" hidden="1">2147483647</definedName>
    <definedName name="solver_tim" localSheetId="1" hidden="1">2147483647</definedName>
    <definedName name="solver_tol" localSheetId="2" hidden="1">0.01</definedName>
    <definedName name="solver_tol" localSheetId="0" hidden="1">0.01</definedName>
    <definedName name="solver_tol" localSheetId="1" hidden="1">0.01</definedName>
    <definedName name="solver_typ" localSheetId="2" hidden="1">3</definedName>
    <definedName name="solver_typ" localSheetId="0" hidden="1">3</definedName>
    <definedName name="solver_typ" localSheetId="1" hidden="1">3</definedName>
    <definedName name="solver_val" localSheetId="2" hidden="1">0</definedName>
    <definedName name="solver_val" localSheetId="0" hidden="1">0</definedName>
    <definedName name="solver_val" localSheetId="1" hidden="1">0</definedName>
    <definedName name="solver_ver" localSheetId="2" hidden="1">3</definedName>
    <definedName name="solver_ver" localSheetId="0" hidden="1">3</definedName>
    <definedName name="solver_ver" localSheetId="1" hidden="1">3</definedName>
    <definedName name="Uma" localSheetId="2">Envoltória!$U$4:$U$5</definedName>
    <definedName name="Uma" localSheetId="1">Oblíqua!#REF!</definedName>
    <definedName name="Uma">Normal!$T$4:$T$5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5" i="2" l="1"/>
  <c r="S38" i="3"/>
  <c r="M38" i="3"/>
  <c r="E40" i="3"/>
  <c r="J12" i="2"/>
  <c r="J11" i="2" l="1"/>
  <c r="J23" i="2" l="1"/>
  <c r="J22" i="2" l="1"/>
  <c r="Z4" i="5" l="1"/>
  <c r="Y4" i="5"/>
  <c r="V5" i="5" s="1"/>
  <c r="V6" i="5" s="1"/>
  <c r="V7" i="5" s="1"/>
  <c r="S49" i="3"/>
  <c r="S48" i="3"/>
  <c r="P41" i="3"/>
  <c r="P40" i="3"/>
  <c r="E39" i="3"/>
  <c r="E38" i="3"/>
  <c r="E33" i="3"/>
  <c r="E35" i="3" s="1"/>
  <c r="E32" i="3"/>
  <c r="Y6" i="5" l="1"/>
  <c r="Z6" i="5" s="1"/>
  <c r="P46" i="3"/>
  <c r="P47" i="3"/>
  <c r="V8" i="5"/>
  <c r="W7" i="5"/>
  <c r="W6" i="5"/>
  <c r="W5" i="5"/>
  <c r="W4" i="5"/>
  <c r="P10" i="3"/>
  <c r="M47" i="3" s="1"/>
  <c r="S15" i="3"/>
  <c r="S16" i="3"/>
  <c r="S13" i="3"/>
  <c r="S10" i="3"/>
  <c r="S47" i="3" s="1"/>
  <c r="S7" i="3"/>
  <c r="S8" i="3"/>
  <c r="P13" i="3"/>
  <c r="P14" i="3" s="1"/>
  <c r="P15" i="3"/>
  <c r="P16" i="3"/>
  <c r="P7" i="3"/>
  <c r="P8" i="3"/>
  <c r="AC13" i="3"/>
  <c r="AC17" i="3"/>
  <c r="AA19" i="3"/>
  <c r="AA18" i="3"/>
  <c r="AB17" i="3"/>
  <c r="AA14" i="3"/>
  <c r="AA15" i="3" s="1"/>
  <c r="AA16" i="3" s="1"/>
  <c r="AA38" i="3"/>
  <c r="Z38" i="3"/>
  <c r="AA33" i="3"/>
  <c r="AA35" i="3" s="1"/>
  <c r="AA32" i="3"/>
  <c r="Z31" i="3"/>
  <c r="Z32" i="3" s="1"/>
  <c r="Z33" i="3" s="1"/>
  <c r="Z30" i="3"/>
  <c r="Z35" i="3" s="1"/>
  <c r="Z29" i="3"/>
  <c r="Z34" i="3" s="1"/>
  <c r="Z25" i="3"/>
  <c r="Z24" i="3" s="1"/>
  <c r="AA23" i="3"/>
  <c r="AA24" i="3" s="1"/>
  <c r="AA22" i="3"/>
  <c r="AA27" i="3" s="1"/>
  <c r="AA21" i="3"/>
  <c r="AA26" i="3" s="1"/>
  <c r="AA12" i="3"/>
  <c r="AA13" i="3" s="1"/>
  <c r="Z12" i="3"/>
  <c r="Z13" i="3" s="1"/>
  <c r="Z15" i="3" s="1"/>
  <c r="Z16" i="3" s="1"/>
  <c r="Z18" i="3" s="1"/>
  <c r="Z10" i="3"/>
  <c r="AA10" i="3" s="1"/>
  <c r="AA6" i="3"/>
  <c r="AA7" i="3" s="1"/>
  <c r="Z5" i="3"/>
  <c r="Z6" i="3" s="1"/>
  <c r="S9" i="3" l="1"/>
  <c r="S45" i="3"/>
  <c r="P9" i="3"/>
  <c r="M46" i="3" s="1"/>
  <c r="M45" i="3"/>
  <c r="S42" i="3"/>
  <c r="S41" i="3"/>
  <c r="S14" i="3"/>
  <c r="V9" i="5"/>
  <c r="W8" i="5"/>
  <c r="J34" i="3"/>
  <c r="J33" i="3"/>
  <c r="M49" i="3"/>
  <c r="M48" i="3"/>
  <c r="AB12" i="3"/>
  <c r="AB13" i="3" s="1"/>
  <c r="AC12" i="3"/>
  <c r="AC15" i="3" s="1"/>
  <c r="AB15" i="3"/>
  <c r="AB14" i="3" s="1"/>
  <c r="AA17" i="3"/>
  <c r="AC14" i="3"/>
  <c r="AA25" i="3"/>
  <c r="Z26" i="3"/>
  <c r="Z27" i="3" s="1"/>
  <c r="Z14" i="3"/>
  <c r="AA34" i="3"/>
  <c r="V10" i="5" l="1"/>
  <c r="W9" i="5"/>
  <c r="P34" i="3"/>
  <c r="S46" i="3"/>
  <c r="P33" i="3"/>
  <c r="J39" i="3"/>
  <c r="J45" i="3" s="1"/>
  <c r="M40" i="3" s="1"/>
  <c r="I35" i="3"/>
  <c r="J38" i="3"/>
  <c r="Z17" i="3"/>
  <c r="Z19" i="3" s="1"/>
  <c r="AD38" i="2"/>
  <c r="AE38" i="2"/>
  <c r="J24" i="2"/>
  <c r="AE23" i="2"/>
  <c r="AE24" i="2" s="1"/>
  <c r="AE22" i="2"/>
  <c r="AE27" i="2" s="1"/>
  <c r="AE21" i="2"/>
  <c r="AE26" i="2" s="1"/>
  <c r="AD31" i="2"/>
  <c r="AD30" i="2"/>
  <c r="AD29" i="2"/>
  <c r="AD10" i="2"/>
  <c r="P39" i="3" l="1"/>
  <c r="P45" i="3" s="1"/>
  <c r="S40" i="3" s="1"/>
  <c r="P38" i="3"/>
  <c r="P44" i="3" s="1"/>
  <c r="S39" i="3" s="1"/>
  <c r="V11" i="5"/>
  <c r="W10" i="5"/>
  <c r="O35" i="3"/>
  <c r="J44" i="3"/>
  <c r="M39" i="3" s="1"/>
  <c r="J41" i="3"/>
  <c r="J47" i="3" s="1"/>
  <c r="M42" i="3" s="1"/>
  <c r="J40" i="3"/>
  <c r="J46" i="3" s="1"/>
  <c r="M41" i="3" s="1"/>
  <c r="AE25" i="2"/>
  <c r="AE33" i="2"/>
  <c r="AE35" i="2" s="1"/>
  <c r="AD35" i="2"/>
  <c r="AD34" i="2"/>
  <c r="AE32" i="2"/>
  <c r="AD32" i="2"/>
  <c r="AD33" i="2" s="1"/>
  <c r="E9" i="2"/>
  <c r="AE10" i="2"/>
  <c r="AD25" i="2"/>
  <c r="AD26" i="2" s="1"/>
  <c r="AD27" i="2" s="1"/>
  <c r="AE12" i="2"/>
  <c r="AE13" i="2" s="1"/>
  <c r="AD12" i="2"/>
  <c r="AE6" i="2"/>
  <c r="AE7" i="2" s="1"/>
  <c r="AD5" i="2"/>
  <c r="AD6" i="2" s="1"/>
  <c r="S33" i="3" l="1"/>
  <c r="S35" i="3" s="1"/>
  <c r="AD13" i="2"/>
  <c r="AD15" i="2" s="1"/>
  <c r="AD17" i="2" s="1"/>
  <c r="AD14" i="2"/>
  <c r="AD16" i="2" s="1"/>
  <c r="AD18" i="2" s="1"/>
  <c r="S32" i="3"/>
  <c r="S34" i="3" s="1"/>
  <c r="V12" i="5"/>
  <c r="W11" i="5"/>
  <c r="M33" i="3"/>
  <c r="M35" i="3" s="1"/>
  <c r="M32" i="3"/>
  <c r="M34" i="3" s="1"/>
  <c r="AE18" i="2"/>
  <c r="AE19" i="2"/>
  <c r="AE16" i="2"/>
  <c r="AE17" i="2" s="1"/>
  <c r="AE14" i="2"/>
  <c r="AE15" i="2" s="1"/>
  <c r="AE34" i="2"/>
  <c r="AD24" i="2"/>
  <c r="X13" i="2"/>
  <c r="R13" i="2"/>
  <c r="T6" i="2"/>
  <c r="S6" i="2"/>
  <c r="X3" i="2"/>
  <c r="Y11" i="2"/>
  <c r="Y10" i="2"/>
  <c r="Y9" i="2"/>
  <c r="Y8" i="2"/>
  <c r="Y7" i="2"/>
  <c r="Y6" i="2"/>
  <c r="V6" i="2"/>
  <c r="V7" i="2"/>
  <c r="V8" i="2"/>
  <c r="V9" i="2"/>
  <c r="V10" i="2"/>
  <c r="V11" i="2"/>
  <c r="U6" i="2"/>
  <c r="U7" i="2"/>
  <c r="U8" i="2"/>
  <c r="U9" i="2"/>
  <c r="U10" i="2"/>
  <c r="U11" i="2"/>
  <c r="T7" i="2"/>
  <c r="T8" i="2"/>
  <c r="T9" i="2"/>
  <c r="T10" i="2"/>
  <c r="T11" i="2"/>
  <c r="S7" i="2"/>
  <c r="S8" i="2"/>
  <c r="S9" i="2"/>
  <c r="S10" i="2"/>
  <c r="S11" i="2"/>
  <c r="AD19" i="2" l="1"/>
  <c r="V13" i="5"/>
  <c r="W12" i="5"/>
  <c r="P15" i="2"/>
  <c r="P14" i="2"/>
  <c r="P13" i="2"/>
  <c r="P12" i="2"/>
  <c r="V14" i="5" l="1"/>
  <c r="W13" i="5"/>
  <c r="J17" i="2"/>
  <c r="J16" i="2"/>
  <c r="V15" i="5" l="1"/>
  <c r="W14" i="5"/>
  <c r="M5" i="2"/>
  <c r="M4" i="2"/>
  <c r="I18" i="2"/>
  <c r="J5" i="2"/>
  <c r="J4" i="2"/>
  <c r="J10" i="2"/>
  <c r="P4" i="2" l="1"/>
  <c r="M6" i="2"/>
  <c r="M12" i="2" s="1"/>
  <c r="P7" i="2" s="1"/>
  <c r="J7" i="2"/>
  <c r="M10" i="2" s="1"/>
  <c r="P5" i="2" s="1"/>
  <c r="M22" i="2"/>
  <c r="M7" i="2"/>
  <c r="V16" i="5"/>
  <c r="W15" i="5"/>
  <c r="P11" i="2"/>
  <c r="M11" i="2" l="1"/>
  <c r="P6" i="2" s="1"/>
  <c r="M13" i="2"/>
  <c r="P8" i="2" s="1"/>
  <c r="V17" i="5"/>
  <c r="W16" i="5"/>
  <c r="M17" i="2" l="1"/>
  <c r="M19" i="2" s="1"/>
  <c r="M16" i="2"/>
  <c r="M18" i="2" s="1"/>
  <c r="V18" i="5"/>
  <c r="W17" i="5"/>
  <c r="V19" i="5" l="1"/>
  <c r="W18" i="5"/>
  <c r="V20" i="5" l="1"/>
  <c r="W19" i="5"/>
  <c r="V21" i="5" l="1"/>
  <c r="W20" i="5"/>
  <c r="V22" i="5" l="1"/>
  <c r="W21" i="5"/>
  <c r="V23" i="5" l="1"/>
  <c r="W22" i="5"/>
  <c r="V24" i="5" l="1"/>
  <c r="W23" i="5"/>
  <c r="V25" i="5" l="1"/>
  <c r="W24" i="5"/>
  <c r="V26" i="5" l="1"/>
  <c r="W25" i="5"/>
  <c r="V27" i="5" l="1"/>
  <c r="W26" i="5"/>
  <c r="V28" i="5" l="1"/>
  <c r="W27" i="5"/>
  <c r="V29" i="5" l="1"/>
  <c r="W28" i="5"/>
  <c r="V30" i="5" l="1"/>
  <c r="W29" i="5"/>
  <c r="V31" i="5" l="1"/>
  <c r="W30" i="5"/>
  <c r="V32" i="5" l="1"/>
  <c r="W31" i="5"/>
  <c r="V33" i="5" l="1"/>
  <c r="W32" i="5"/>
  <c r="V34" i="5" l="1"/>
  <c r="W33" i="5"/>
  <c r="V35" i="5" l="1"/>
  <c r="W34" i="5"/>
  <c r="V36" i="5" l="1"/>
  <c r="W35" i="5"/>
  <c r="V37" i="5" l="1"/>
  <c r="W36" i="5"/>
  <c r="V38" i="5" l="1"/>
  <c r="W37" i="5"/>
  <c r="V39" i="5" l="1"/>
  <c r="W38" i="5"/>
  <c r="V40" i="5" l="1"/>
  <c r="W39" i="5"/>
  <c r="V41" i="5" l="1"/>
  <c r="W40" i="5"/>
  <c r="V42" i="5" l="1"/>
  <c r="W41" i="5"/>
  <c r="V43" i="5" l="1"/>
  <c r="W42" i="5"/>
  <c r="V44" i="5" l="1"/>
  <c r="W43" i="5"/>
  <c r="V45" i="5" l="1"/>
  <c r="W44" i="5"/>
  <c r="V46" i="5" l="1"/>
  <c r="W45" i="5"/>
  <c r="V47" i="5" l="1"/>
  <c r="W46" i="5"/>
  <c r="V48" i="5" l="1"/>
  <c r="W47" i="5"/>
  <c r="V49" i="5" l="1"/>
  <c r="W48" i="5"/>
  <c r="V50" i="5" l="1"/>
  <c r="W49" i="5"/>
  <c r="V51" i="5" l="1"/>
  <c r="W50" i="5"/>
  <c r="V52" i="5" l="1"/>
  <c r="W51" i="5"/>
  <c r="V53" i="5" l="1"/>
  <c r="W52" i="5"/>
  <c r="V54" i="5" l="1"/>
  <c r="W54" i="5" s="1"/>
  <c r="W53" i="5"/>
</calcChain>
</file>

<file path=xl/sharedStrings.xml><?xml version="1.0" encoding="utf-8"?>
<sst xmlns="http://schemas.openxmlformats.org/spreadsheetml/2006/main" count="208" uniqueCount="86">
  <si>
    <t>Dados</t>
  </si>
  <si>
    <t>Parâmetros</t>
  </si>
  <si>
    <t>Deformações</t>
  </si>
  <si>
    <t>λ</t>
  </si>
  <si>
    <t>ε1</t>
  </si>
  <si>
    <t>ε2</t>
  </si>
  <si>
    <t>Geometria</t>
  </si>
  <si>
    <t>b</t>
  </si>
  <si>
    <t>h</t>
  </si>
  <si>
    <t>Linha Neutra</t>
  </si>
  <si>
    <t>d</t>
  </si>
  <si>
    <t>fcd</t>
  </si>
  <si>
    <t>x</t>
  </si>
  <si>
    <t>d'</t>
  </si>
  <si>
    <t>fyd</t>
  </si>
  <si>
    <t>Md</t>
  </si>
  <si>
    <t>Materiais</t>
  </si>
  <si>
    <t>fck</t>
  </si>
  <si>
    <t>fyk</t>
  </si>
  <si>
    <t>Nd</t>
  </si>
  <si>
    <t>Solicitações</t>
  </si>
  <si>
    <t>Es</t>
  </si>
  <si>
    <t>εyd</t>
  </si>
  <si>
    <t>x23</t>
  </si>
  <si>
    <t>xlim</t>
  </si>
  <si>
    <t>ε3</t>
  </si>
  <si>
    <t>Armaduras</t>
  </si>
  <si>
    <t>ny</t>
  </si>
  <si>
    <t>R</t>
  </si>
  <si>
    <t>ε4</t>
  </si>
  <si>
    <t>σ1</t>
  </si>
  <si>
    <t>σ2</t>
  </si>
  <si>
    <t>σ3</t>
  </si>
  <si>
    <t>σ4</t>
  </si>
  <si>
    <t>Tensões</t>
  </si>
  <si>
    <t>As1</t>
  </si>
  <si>
    <t>As3</t>
  </si>
  <si>
    <t>Forças</t>
  </si>
  <si>
    <t>C</t>
  </si>
  <si>
    <t>S1</t>
  </si>
  <si>
    <t>S2</t>
  </si>
  <si>
    <t>S3</t>
  </si>
  <si>
    <t>S4</t>
  </si>
  <si>
    <t>Equilíbro</t>
  </si>
  <si>
    <t>ΣF</t>
  </si>
  <si>
    <t>ΣM</t>
  </si>
  <si>
    <t>ΣF-Nd</t>
  </si>
  <si>
    <t>ΣM-Md</t>
  </si>
  <si>
    <t>As2</t>
  </si>
  <si>
    <t>As4</t>
  </si>
  <si>
    <t>Braços de Alavanca</t>
  </si>
  <si>
    <t>Bitola (mm)</t>
  </si>
  <si>
    <t>Número de Barras</t>
  </si>
  <si>
    <t>As1 = As2 (cm²)</t>
  </si>
  <si>
    <t>Barras</t>
  </si>
  <si>
    <t>y</t>
  </si>
  <si>
    <t>Armadura Total Mínima</t>
  </si>
  <si>
    <t>As,mín</t>
  </si>
  <si>
    <t>hx</t>
  </si>
  <si>
    <t>hy</t>
  </si>
  <si>
    <t>nx</t>
  </si>
  <si>
    <t>Esforço Normal</t>
  </si>
  <si>
    <t>V</t>
  </si>
  <si>
    <t>H</t>
  </si>
  <si>
    <t>rotulos verticais</t>
  </si>
  <si>
    <t>Direção x</t>
  </si>
  <si>
    <t>Direção y</t>
  </si>
  <si>
    <t>Resistência</t>
  </si>
  <si>
    <t>Mrdxx</t>
  </si>
  <si>
    <t>Mrdyy</t>
  </si>
  <si>
    <t>Resistências</t>
  </si>
  <si>
    <t>#</t>
  </si>
  <si>
    <t>ex (cm)</t>
  </si>
  <si>
    <t>ey (cm)</t>
  </si>
  <si>
    <t>erdxx</t>
  </si>
  <si>
    <t>erdyy</t>
  </si>
  <si>
    <t>1o.</t>
  </si>
  <si>
    <t>2o.</t>
  </si>
  <si>
    <t>3o.</t>
  </si>
  <si>
    <t>4o.</t>
  </si>
  <si>
    <t>5o.</t>
  </si>
  <si>
    <t>6o.</t>
  </si>
  <si>
    <t>Solicit. / Resist.</t>
  </si>
  <si>
    <r>
      <rPr>
        <sz val="11"/>
        <color theme="1"/>
        <rFont val="Calibri"/>
        <family val="2"/>
        <scheme val="minor"/>
      </rPr>
      <t>αc</t>
    </r>
  </si>
  <si>
    <r>
      <rPr>
        <sz val="11"/>
        <color theme="1"/>
        <rFont val="Calibri"/>
        <family val="2"/>
      </rPr>
      <t>η</t>
    </r>
    <r>
      <rPr>
        <sz val="11"/>
        <color theme="1"/>
        <rFont val="Calibri"/>
        <family val="2"/>
        <scheme val="minor"/>
      </rPr>
      <t>c</t>
    </r>
  </si>
  <si>
    <r>
      <rPr>
        <sz val="11"/>
        <color theme="1"/>
        <rFont val="Calibri"/>
        <family val="2"/>
        <scheme val="minor"/>
      </rPr>
      <t>αc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</si>
</sst>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-&quot;R$&quot;\ * #,##0.00_-;\-&quot;R$&quot;\ * #,##0.00_-;_-&quot;R$&quot;\ * &quot;-&quot;??_-;_-@_-"/>
    <numFmt numFmtId="164" formatCode="0.00&quot; ‰&quot;"/>
    <numFmt numFmtId="165" formatCode="0&quot; cm&quot;"/>
    <numFmt numFmtId="166" formatCode="0.0"/>
    <numFmt numFmtId="167" formatCode="0.000%"/>
    <numFmt numFmtId="168" formatCode="0.0&quot; cm&quot;"/>
    <numFmt numFmtId="169" formatCode="\Ø0.0"/>
    <numFmt numFmtId="170" formatCode="0.00&quot; kN/cm²&quot;"/>
    <numFmt numFmtId="171" formatCode="0.00&quot; cm&quot;"/>
    <numFmt numFmtId="172" formatCode="0&quot; kNcm&quot;"/>
    <numFmt numFmtId="173" formatCode="0.0&quot; cm³&quot;"/>
    <numFmt numFmtId="174" formatCode="0&quot; kNcm/m&quot;"/>
    <numFmt numFmtId="175" formatCode="0.0&quot; kN/cm²&quot;"/>
    <numFmt numFmtId="176" formatCode="0.00&quot; cm²&quot;"/>
    <numFmt numFmtId="177" formatCode="0.00&quot; cm²/m&quot;"/>
    <numFmt numFmtId="178" formatCode="0&quot; kN/cm²&quot;"/>
    <numFmt numFmtId="179" formatCode="0.00&quot; kN&quot;"/>
    <numFmt numFmtId="180" formatCode="0.0&quot; kN&quot;"/>
    <numFmt numFmtId="181" formatCode="&quot;+ &quot;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41">
    <xf numFmtId="0" fontId="0" fillId="0" borderId="0" xfId="0"/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1" fillId="3" borderId="3" xfId="0" applyFont="1" applyFill="1" applyBorder="1" applyAlignment="1" applyProtection="1">
      <alignment horizontal="center" vertical="center"/>
      <protection locked="0"/>
    </xf>
    <xf numFmtId="0" fontId="1" fillId="3" borderId="4" xfId="0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 applyProtection="1">
      <alignment horizontal="center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168" fontId="1" fillId="2" borderId="7" xfId="0" applyNumberFormat="1" applyFont="1" applyFill="1" applyBorder="1" applyAlignment="1" applyProtection="1">
      <alignment horizontal="right" vertical="center"/>
      <protection locked="0"/>
    </xf>
    <xf numFmtId="0" fontId="1" fillId="2" borderId="15" xfId="0" applyFont="1" applyFill="1" applyBorder="1" applyAlignment="1" applyProtection="1">
      <alignment horizontal="center" vertical="center"/>
      <protection locked="0"/>
    </xf>
    <xf numFmtId="168" fontId="1" fillId="2" borderId="16" xfId="0" applyNumberFormat="1" applyFont="1" applyFill="1" applyBorder="1" applyAlignment="1" applyProtection="1">
      <alignment horizontal="right" vertical="center"/>
      <protection locked="0"/>
    </xf>
    <xf numFmtId="175" fontId="0" fillId="2" borderId="7" xfId="0" applyNumberFormat="1" applyFill="1" applyBorder="1" applyAlignment="1" applyProtection="1">
      <alignment horizontal="right" vertical="center"/>
      <protection locked="0"/>
    </xf>
    <xf numFmtId="0" fontId="4" fillId="2" borderId="6" xfId="0" applyFont="1" applyFill="1" applyBorder="1" applyAlignment="1" applyProtection="1">
      <alignment horizontal="center" vertical="center"/>
      <protection locked="0"/>
    </xf>
    <xf numFmtId="175" fontId="1" fillId="2" borderId="7" xfId="0" applyNumberFormat="1" applyFont="1" applyFill="1" applyBorder="1" applyAlignment="1" applyProtection="1">
      <alignment horizontal="right" vertical="center"/>
      <protection locked="0"/>
    </xf>
    <xf numFmtId="0" fontId="1" fillId="3" borderId="10" xfId="0" applyFont="1" applyFill="1" applyBorder="1" applyAlignment="1" applyProtection="1">
      <alignment horizontal="center" vertical="center"/>
      <protection locked="0"/>
    </xf>
    <xf numFmtId="0" fontId="1" fillId="3" borderId="11" xfId="0" applyFont="1" applyFill="1" applyBorder="1" applyAlignment="1" applyProtection="1">
      <alignment horizontal="center" vertical="center"/>
      <protection locked="0"/>
    </xf>
    <xf numFmtId="0" fontId="1" fillId="3" borderId="12" xfId="0" applyFont="1" applyFill="1" applyBorder="1" applyAlignment="1" applyProtection="1">
      <alignment horizontal="center" vertic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72" fontId="0" fillId="3" borderId="0" xfId="0" applyNumberFormat="1" applyFill="1" applyAlignment="1" applyProtection="1">
      <alignment horizontal="right" vertical="center"/>
      <protection locked="0"/>
    </xf>
    <xf numFmtId="1" fontId="0" fillId="2" borderId="7" xfId="0" applyNumberFormat="1" applyFill="1" applyBorder="1" applyAlignment="1" applyProtection="1">
      <alignment horizontal="center" vertical="center"/>
      <protection locked="0"/>
    </xf>
    <xf numFmtId="2" fontId="0" fillId="2" borderId="7" xfId="0" applyNumberFormat="1" applyFill="1" applyBorder="1" applyAlignment="1" applyProtection="1">
      <alignment horizontal="center" vertical="center"/>
      <protection locked="0"/>
    </xf>
    <xf numFmtId="169" fontId="0" fillId="2" borderId="7" xfId="0" applyNumberFormat="1" applyFill="1" applyBorder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vertical="center"/>
    </xf>
    <xf numFmtId="170" fontId="1" fillId="2" borderId="0" xfId="0" applyNumberFormat="1" applyFont="1" applyFill="1" applyAlignment="1">
      <alignment horizontal="right" vertical="center"/>
    </xf>
    <xf numFmtId="168" fontId="1" fillId="2" borderId="0" xfId="0" applyNumberFormat="1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78" fontId="1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168" fontId="1" fillId="2" borderId="7" xfId="0" applyNumberFormat="1" applyFont="1" applyFill="1" applyBorder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164" fontId="1" fillId="2" borderId="0" xfId="0" applyNumberFormat="1" applyFont="1" applyFill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/>
    </xf>
    <xf numFmtId="176" fontId="1" fillId="2" borderId="0" xfId="0" applyNumberFormat="1" applyFont="1" applyFill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68" fontId="1" fillId="2" borderId="16" xfId="0" applyNumberFormat="1" applyFont="1" applyFill="1" applyBorder="1" applyAlignment="1">
      <alignment horizontal="right" vertical="center"/>
    </xf>
    <xf numFmtId="176" fontId="1" fillId="2" borderId="7" xfId="0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vertical="center" wrapText="1"/>
    </xf>
    <xf numFmtId="166" fontId="1" fillId="2" borderId="0" xfId="0" applyNumberFormat="1" applyFont="1" applyFill="1" applyAlignment="1">
      <alignment horizontal="center" vertical="center"/>
    </xf>
    <xf numFmtId="171" fontId="1" fillId="2" borderId="0" xfId="0" applyNumberFormat="1" applyFont="1" applyFill="1" applyAlignment="1">
      <alignment horizontal="right" vertical="center"/>
    </xf>
    <xf numFmtId="169" fontId="0" fillId="2" borderId="0" xfId="0" applyNumberFormat="1" applyFill="1" applyAlignment="1">
      <alignment horizontal="left" vertical="center"/>
    </xf>
    <xf numFmtId="169" fontId="1" fillId="2" borderId="0" xfId="0" applyNumberFormat="1" applyFont="1" applyFill="1" applyAlignment="1">
      <alignment horizontal="center" vertical="center"/>
    </xf>
    <xf numFmtId="172" fontId="1" fillId="2" borderId="0" xfId="0" applyNumberFormat="1" applyFont="1" applyFill="1" applyAlignment="1">
      <alignment horizontal="right" vertical="center"/>
    </xf>
    <xf numFmtId="0" fontId="1" fillId="2" borderId="0" xfId="0" applyFont="1" applyFill="1"/>
    <xf numFmtId="1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168" fontId="1" fillId="3" borderId="0" xfId="0" applyNumberFormat="1" applyFont="1" applyFill="1" applyAlignment="1" applyProtection="1">
      <alignment horizontal="right" vertical="center"/>
      <protection locked="0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2" fontId="1" fillId="2" borderId="17" xfId="0" applyNumberFormat="1" applyFont="1" applyFill="1" applyBorder="1" applyAlignment="1" applyProtection="1">
      <alignment horizontal="center" vertical="center"/>
      <protection locked="0"/>
    </xf>
    <xf numFmtId="2" fontId="1" fillId="2" borderId="7" xfId="0" applyNumberFormat="1" applyFont="1" applyFill="1" applyBorder="1" applyAlignment="1" applyProtection="1">
      <alignment horizontal="center" vertical="center"/>
      <protection locked="0"/>
    </xf>
    <xf numFmtId="0" fontId="0" fillId="2" borderId="15" xfId="0" applyFill="1" applyBorder="1" applyAlignment="1" applyProtection="1">
      <alignment horizontal="center" vertical="center"/>
      <protection locked="0"/>
    </xf>
    <xf numFmtId="176" fontId="1" fillId="3" borderId="0" xfId="0" applyNumberFormat="1" applyFont="1" applyFill="1" applyAlignment="1" applyProtection="1">
      <alignment horizontal="center" vertical="center"/>
      <protection locked="0"/>
    </xf>
    <xf numFmtId="0" fontId="2" fillId="2" borderId="8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180" fontId="0" fillId="2" borderId="7" xfId="0" applyNumberFormat="1" applyFill="1" applyBorder="1" applyAlignment="1" applyProtection="1">
      <alignment horizontal="right" vertical="center"/>
      <protection locked="0"/>
    </xf>
    <xf numFmtId="172" fontId="0" fillId="2" borderId="7" xfId="0" applyNumberFormat="1" applyFill="1" applyBorder="1" applyAlignment="1" applyProtection="1">
      <alignment horizontal="right" vertical="center"/>
      <protection locked="0"/>
    </xf>
    <xf numFmtId="170" fontId="1" fillId="2" borderId="7" xfId="0" applyNumberFormat="1" applyFont="1" applyFill="1" applyBorder="1" applyAlignment="1">
      <alignment horizontal="right" vertical="center"/>
    </xf>
    <xf numFmtId="0" fontId="4" fillId="2" borderId="6" xfId="0" applyFont="1" applyFill="1" applyBorder="1" applyAlignment="1">
      <alignment horizontal="center"/>
    </xf>
    <xf numFmtId="164" fontId="0" fillId="2" borderId="7" xfId="0" applyNumberFormat="1" applyFill="1" applyBorder="1" applyAlignment="1">
      <alignment horizontal="center" vertical="top" wrapText="1"/>
    </xf>
    <xf numFmtId="165" fontId="2" fillId="2" borderId="0" xfId="0" applyNumberFormat="1" applyFont="1" applyFill="1" applyAlignment="1">
      <alignment horizontal="center" vertical="center"/>
    </xf>
    <xf numFmtId="179" fontId="1" fillId="2" borderId="7" xfId="0" applyNumberFormat="1" applyFont="1" applyFill="1" applyBorder="1" applyAlignment="1">
      <alignment horizontal="right" vertical="center"/>
    </xf>
    <xf numFmtId="165" fontId="2" fillId="2" borderId="0" xfId="0" applyNumberFormat="1" applyFont="1" applyFill="1" applyAlignment="1">
      <alignment vertical="center"/>
    </xf>
    <xf numFmtId="0" fontId="2" fillId="2" borderId="17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/>
    </xf>
    <xf numFmtId="164" fontId="0" fillId="2" borderId="14" xfId="0" applyNumberFormat="1" applyFill="1" applyBorder="1" applyAlignment="1">
      <alignment horizontal="center" vertical="center" wrapText="1"/>
    </xf>
    <xf numFmtId="2" fontId="1" fillId="2" borderId="0" xfId="0" applyNumberFormat="1" applyFont="1" applyFill="1" applyAlignment="1">
      <alignment horizontal="center" vertical="center"/>
    </xf>
    <xf numFmtId="1" fontId="2" fillId="2" borderId="17" xfId="0" applyNumberFormat="1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 wrapText="1"/>
    </xf>
    <xf numFmtId="178" fontId="1" fillId="2" borderId="7" xfId="0" applyNumberFormat="1" applyFont="1" applyFill="1" applyBorder="1" applyAlignment="1">
      <alignment horizontal="right" vertical="center"/>
    </xf>
    <xf numFmtId="164" fontId="0" fillId="2" borderId="7" xfId="0" applyNumberFormat="1" applyFill="1" applyBorder="1" applyAlignment="1">
      <alignment horizontal="center" vertical="center"/>
    </xf>
    <xf numFmtId="169" fontId="2" fillId="2" borderId="17" xfId="0" applyNumberFormat="1" applyFont="1" applyFill="1" applyBorder="1" applyAlignment="1">
      <alignment horizontal="center" vertical="center"/>
    </xf>
    <xf numFmtId="2" fontId="1" fillId="2" borderId="17" xfId="0" applyNumberFormat="1" applyFont="1" applyFill="1" applyBorder="1" applyAlignment="1">
      <alignment horizontal="center" vertical="center"/>
    </xf>
    <xf numFmtId="164" fontId="1" fillId="2" borderId="7" xfId="0" applyNumberFormat="1" applyFont="1" applyFill="1" applyBorder="1" applyAlignment="1">
      <alignment horizontal="center" vertical="center" wrapText="1"/>
    </xf>
    <xf numFmtId="2" fontId="1" fillId="2" borderId="9" xfId="0" applyNumberFormat="1" applyFont="1" applyFill="1" applyBorder="1" applyAlignment="1">
      <alignment horizontal="center" vertical="center"/>
    </xf>
    <xf numFmtId="2" fontId="1" fillId="2" borderId="7" xfId="0" applyNumberFormat="1" applyFont="1" applyFill="1" applyBorder="1" applyAlignment="1">
      <alignment horizontal="center" vertical="center"/>
    </xf>
    <xf numFmtId="171" fontId="1" fillId="2" borderId="7" xfId="0" applyNumberFormat="1" applyFont="1" applyFill="1" applyBorder="1" applyAlignment="1">
      <alignment horizontal="right" vertical="center"/>
    </xf>
    <xf numFmtId="170" fontId="1" fillId="2" borderId="0" xfId="0" applyNumberFormat="1" applyFont="1" applyFill="1" applyAlignment="1">
      <alignment vertical="center"/>
    </xf>
    <xf numFmtId="0" fontId="1" fillId="2" borderId="8" xfId="0" applyFont="1" applyFill="1" applyBorder="1" applyAlignment="1">
      <alignment horizontal="center" vertical="center"/>
    </xf>
    <xf numFmtId="171" fontId="1" fillId="2" borderId="9" xfId="0" applyNumberFormat="1" applyFont="1" applyFill="1" applyBorder="1" applyAlignment="1">
      <alignment horizontal="right" vertical="center"/>
    </xf>
    <xf numFmtId="0" fontId="0" fillId="2" borderId="8" xfId="0" applyFill="1" applyBorder="1" applyAlignment="1">
      <alignment horizontal="center" vertical="center"/>
    </xf>
    <xf numFmtId="2" fontId="1" fillId="2" borderId="7" xfId="0" applyNumberFormat="1" applyFont="1" applyFill="1" applyBorder="1" applyAlignment="1">
      <alignment horizontal="right" vertical="center"/>
    </xf>
    <xf numFmtId="167" fontId="1" fillId="2" borderId="0" xfId="1" applyNumberFormat="1" applyFont="1" applyFill="1" applyBorder="1" applyAlignment="1" applyProtection="1">
      <alignment horizontal="center" vertical="center"/>
    </xf>
    <xf numFmtId="173" fontId="1" fillId="2" borderId="0" xfId="0" applyNumberFormat="1" applyFont="1" applyFill="1" applyAlignment="1">
      <alignment vertical="center"/>
    </xf>
    <xf numFmtId="174" fontId="1" fillId="2" borderId="0" xfId="0" applyNumberFormat="1" applyFont="1" applyFill="1" applyAlignment="1">
      <alignment vertical="center"/>
    </xf>
    <xf numFmtId="171" fontId="1" fillId="2" borderId="0" xfId="0" applyNumberFormat="1" applyFont="1" applyFill="1" applyAlignment="1">
      <alignment vertical="center"/>
    </xf>
    <xf numFmtId="169" fontId="0" fillId="2" borderId="6" xfId="0" applyNumberFormat="1" applyFill="1" applyBorder="1" applyAlignment="1">
      <alignment horizontal="center" vertical="center"/>
    </xf>
    <xf numFmtId="177" fontId="1" fillId="2" borderId="0" xfId="0" applyNumberFormat="1" applyFont="1" applyFill="1" applyAlignment="1">
      <alignment vertical="center"/>
    </xf>
    <xf numFmtId="0" fontId="1" fillId="2" borderId="2" xfId="0" applyFont="1" applyFill="1" applyBorder="1" applyAlignment="1">
      <alignment vertical="center"/>
    </xf>
    <xf numFmtId="171" fontId="1" fillId="2" borderId="9" xfId="0" applyNumberFormat="1" applyFont="1" applyFill="1" applyBorder="1" applyAlignment="1" applyProtection="1">
      <alignment horizontal="right" vertical="center"/>
      <protection locked="0"/>
    </xf>
    <xf numFmtId="176" fontId="1" fillId="2" borderId="7" xfId="0" applyNumberFormat="1" applyFont="1" applyFill="1" applyBorder="1" applyAlignment="1" applyProtection="1">
      <alignment horizontal="center" vertical="center"/>
      <protection locked="0"/>
    </xf>
    <xf numFmtId="172" fontId="1" fillId="2" borderId="7" xfId="0" applyNumberFormat="1" applyFont="1" applyFill="1" applyBorder="1" applyAlignment="1" applyProtection="1">
      <alignment horizontal="right" vertical="center"/>
      <protection locked="0"/>
    </xf>
    <xf numFmtId="2" fontId="2" fillId="2" borderId="0" xfId="0" applyNumberFormat="1" applyFont="1" applyFill="1" applyAlignment="1">
      <alignment horizontal="center" vertical="center"/>
    </xf>
    <xf numFmtId="1" fontId="0" fillId="2" borderId="6" xfId="0" applyNumberFormat="1" applyFill="1" applyBorder="1" applyAlignment="1" applyProtection="1">
      <alignment horizontal="right" vertical="center"/>
      <protection locked="0"/>
    </xf>
    <xf numFmtId="169" fontId="0" fillId="2" borderId="19" xfId="0" applyNumberFormat="1" applyFill="1" applyBorder="1" applyAlignment="1" applyProtection="1">
      <alignment horizontal="center" vertical="center"/>
      <protection locked="0"/>
    </xf>
    <xf numFmtId="181" fontId="0" fillId="2" borderId="19" xfId="0" applyNumberFormat="1" applyFill="1" applyBorder="1" applyAlignment="1" applyProtection="1">
      <alignment horizontal="center" vertical="center"/>
      <protection locked="0"/>
    </xf>
    <xf numFmtId="169" fontId="0" fillId="2" borderId="19" xfId="0" applyNumberFormat="1" applyFill="1" applyBorder="1" applyAlignment="1" applyProtection="1">
      <alignment horizontal="left" vertical="center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81" fontId="0" fillId="2" borderId="7" xfId="0" applyNumberFormat="1" applyFill="1" applyBorder="1" applyAlignment="1" applyProtection="1">
      <alignment horizontal="center" vertical="center"/>
      <protection locked="0"/>
    </xf>
    <xf numFmtId="170" fontId="0" fillId="2" borderId="7" xfId="0" applyNumberFormat="1" applyFill="1" applyBorder="1" applyAlignment="1">
      <alignment horizontal="right" vertical="center"/>
    </xf>
    <xf numFmtId="178" fontId="0" fillId="2" borderId="7" xfId="0" applyNumberFormat="1" applyFill="1" applyBorder="1" applyAlignment="1">
      <alignment horizontal="right" vertical="center"/>
    </xf>
    <xf numFmtId="164" fontId="0" fillId="2" borderId="7" xfId="0" applyNumberFormat="1" applyFill="1" applyBorder="1" applyAlignment="1">
      <alignment horizontal="center" vertical="center" wrapText="1"/>
    </xf>
    <xf numFmtId="2" fontId="0" fillId="2" borderId="9" xfId="0" applyNumberFormat="1" applyFill="1" applyBorder="1" applyAlignment="1">
      <alignment horizontal="center" vertical="center"/>
    </xf>
    <xf numFmtId="2" fontId="0" fillId="2" borderId="7" xfId="0" applyNumberForma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165" fontId="2" fillId="2" borderId="17" xfId="0" applyNumberFormat="1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44" fontId="2" fillId="2" borderId="8" xfId="2" applyFont="1" applyFill="1" applyBorder="1" applyAlignment="1" applyProtection="1">
      <alignment horizontal="center" vertical="center"/>
    </xf>
    <xf numFmtId="44" fontId="2" fillId="2" borderId="9" xfId="2" applyFont="1" applyFill="1" applyBorder="1" applyAlignment="1" applyProtection="1">
      <alignment horizontal="center" vertical="center"/>
    </xf>
    <xf numFmtId="165" fontId="2" fillId="2" borderId="17" xfId="0" applyNumberFormat="1" applyFont="1" applyFill="1" applyBorder="1" applyAlignment="1">
      <alignment horizontal="center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2" fillId="2" borderId="0" xfId="0" applyFont="1" applyFill="1" applyAlignment="1">
      <alignment horizontal="center" vertical="center"/>
    </xf>
    <xf numFmtId="0" fontId="2" fillId="2" borderId="8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  <protection locked="0"/>
    </xf>
    <xf numFmtId="0" fontId="3" fillId="2" borderId="10" xfId="0" applyFont="1" applyFill="1" applyBorder="1" applyAlignment="1" applyProtection="1">
      <alignment horizontal="center" vertical="center"/>
      <protection locked="0"/>
    </xf>
    <xf numFmtId="0" fontId="3" fillId="2" borderId="11" xfId="0" applyFont="1" applyFill="1" applyBorder="1" applyAlignment="1" applyProtection="1">
      <alignment horizontal="center" vertical="center"/>
      <protection locked="0"/>
    </xf>
    <xf numFmtId="0" fontId="3" fillId="2" borderId="12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0" applyFont="1" applyFill="1" applyBorder="1" applyAlignment="1" applyProtection="1">
      <alignment horizontal="center" vertical="center"/>
      <protection locked="0"/>
    </xf>
    <xf numFmtId="180" fontId="0" fillId="2" borderId="19" xfId="0" applyNumberFormat="1" applyFill="1" applyBorder="1" applyAlignment="1" applyProtection="1">
      <alignment horizontal="right" vertical="center"/>
      <protection locked="0"/>
    </xf>
    <xf numFmtId="180" fontId="0" fillId="2" borderId="7" xfId="0" applyNumberFormat="1" applyFill="1" applyBorder="1" applyAlignment="1" applyProtection="1">
      <alignment horizontal="right" vertical="center"/>
      <protection locked="0"/>
    </xf>
    <xf numFmtId="172" fontId="0" fillId="2" borderId="19" xfId="0" applyNumberFormat="1" applyFill="1" applyBorder="1" applyAlignment="1" applyProtection="1">
      <alignment horizontal="right" vertical="center"/>
      <protection locked="0"/>
    </xf>
    <xf numFmtId="172" fontId="0" fillId="2" borderId="7" xfId="0" applyNumberFormat="1" applyFill="1" applyBorder="1" applyAlignment="1" applyProtection="1">
      <alignment horizontal="right" vertical="center"/>
      <protection locked="0"/>
    </xf>
    <xf numFmtId="0" fontId="2" fillId="2" borderId="18" xfId="0" applyFont="1" applyFill="1" applyBorder="1" applyAlignment="1" applyProtection="1">
      <alignment horizontal="center" vertical="center"/>
      <protection locked="0"/>
    </xf>
  </cellXfs>
  <cellStyles count="3">
    <cellStyle name="Moeda 2" xfId="2" xr:uid="{C0DC35CD-D9D6-49AE-BC48-029A65578B67}"/>
    <cellStyle name="Normal" xfId="0" builtinId="0"/>
    <cellStyle name="Porcentagem" xfId="1" builtinId="5"/>
  </cellStyles>
  <dxfs count="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rgb="FFFFC7CE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rgb="FFFFC7CE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014502068150558E-2"/>
          <c:y val="5.1014502068150558E-2"/>
          <c:w val="0.92115940589467626"/>
          <c:h val="0.90724635987608993"/>
        </c:manualLayout>
      </c:layout>
      <c:scatterChart>
        <c:scatterStyle val="lineMarker"/>
        <c:varyColors val="0"/>
        <c:ser>
          <c:idx val="9"/>
          <c:order val="0"/>
          <c:spPr>
            <a:ln>
              <a:solidFill>
                <a:schemeClr val="accent1">
                  <a:alpha val="0"/>
                </a:schemeClr>
              </a:solidFill>
            </a:ln>
          </c:spPr>
          <c:marker>
            <c:symbol val="none"/>
          </c:marker>
          <c:xVal>
            <c:numRef>
              <c:f>Normal!$AD$9:$AD$10</c:f>
              <c:numCache>
                <c:formatCode>0.0" cm"</c:formatCode>
                <c:ptCount val="2"/>
                <c:pt idx="0">
                  <c:v>-5</c:v>
                </c:pt>
                <c:pt idx="1">
                  <c:v>60</c:v>
                </c:pt>
              </c:numCache>
            </c:numRef>
          </c:xVal>
          <c:yVal>
            <c:numRef>
              <c:f>Normal!$AE$9:$AE$10</c:f>
              <c:numCache>
                <c:formatCode>0.0" cm"</c:formatCode>
                <c:ptCount val="2"/>
                <c:pt idx="0">
                  <c:v>-5</c:v>
                </c:pt>
                <c:pt idx="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2995-4052-B546-6F39C6CBA29D}"/>
            </c:ext>
          </c:extLst>
        </c:ser>
        <c:ser>
          <c:idx val="10"/>
          <c:order val="1"/>
          <c:spPr>
            <a:ln w="19050">
              <a:noFill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2995-4052-B546-6F39C6CBA29D}"/>
                </c:ext>
              </c:extLst>
            </c:dLbl>
            <c:dLbl>
              <c:idx val="1"/>
              <c:layout>
                <c:manualLayout>
                  <c:x val="6.607675033521071E-2"/>
                  <c:y val="-1.6304314913650019E-5"/>
                </c:manualLayout>
              </c:layout>
              <c:tx>
                <c:rich>
                  <a:bodyPr/>
                  <a:lstStyle/>
                  <a:p>
                    <a:fld id="{BEDDE694-E875-44D0-8DA1-095175C06BD0}" type="CELLREF">
                      <a:rPr lang="en-US"/>
                      <a:pPr/>
                      <a:t>[CELLREF]</a:t>
                    </a:fld>
                    <a:endParaRPr lang="pt-BR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{BEDDE694-E875-44D0-8DA1-095175C06BD0}</c15:txfldGUID>
                      <c15:f>Normal!$J$21</c15:f>
                      <c15:dlblFieldTableCache>
                        <c:ptCount val="1"/>
                        <c:pt idx="0">
                          <c:v>13,62 cm²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2995-4052-B546-6F39C6CBA29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Normal!$AD$12:$AD$13</c:f>
              <c:numCache>
                <c:formatCode>0.0</c:formatCode>
                <c:ptCount val="2"/>
                <c:pt idx="0" formatCode="0.0&quot; cm&quot;">
                  <c:v>4</c:v>
                </c:pt>
                <c:pt idx="1">
                  <c:v>56</c:v>
                </c:pt>
              </c:numCache>
            </c:numRef>
          </c:xVal>
          <c:yVal>
            <c:numRef>
              <c:f>Normal!$AE$12:$AE$13</c:f>
              <c:numCache>
                <c:formatCode>0.0" cm"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2995-4052-B546-6F39C6CBA29D}"/>
            </c:ext>
          </c:extLst>
        </c:ser>
        <c:ser>
          <c:idx val="11"/>
          <c:order val="2"/>
          <c:spPr>
            <a:ln>
              <a:solidFill>
                <a:schemeClr val="accent1">
                  <a:shade val="50000"/>
                  <a:alpha val="0"/>
                </a:schemeClr>
              </a:solidFill>
            </a:ln>
          </c:spPr>
          <c:marker>
            <c:symbol val="none"/>
          </c:marker>
          <c:xVal>
            <c:numRef>
              <c:f>Normal!$AD$37:$AD$38</c:f>
              <c:numCache>
                <c:formatCode>0.0" cm"</c:formatCode>
                <c:ptCount val="2"/>
                <c:pt idx="0" formatCode="General">
                  <c:v>0</c:v>
                </c:pt>
                <c:pt idx="1">
                  <c:v>80</c:v>
                </c:pt>
              </c:numCache>
            </c:numRef>
          </c:xVal>
          <c:yVal>
            <c:numRef>
              <c:f>Normal!$AE$37:$AE$38</c:f>
              <c:numCache>
                <c:formatCode>0.0" cm"</c:formatCode>
                <c:ptCount val="2"/>
                <c:pt idx="0" formatCode="General">
                  <c:v>0</c:v>
                </c:pt>
                <c:pt idx="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2995-4052-B546-6F39C6CBA29D}"/>
            </c:ext>
          </c:extLst>
        </c:ser>
        <c:ser>
          <c:idx val="12"/>
          <c:order val="3"/>
          <c:spPr>
            <a:ln w="63500" cap="sq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Normal!$AD$12:$AD$13</c:f>
              <c:numCache>
                <c:formatCode>0.0</c:formatCode>
                <c:ptCount val="2"/>
                <c:pt idx="0" formatCode="0.0&quot; cm&quot;">
                  <c:v>4</c:v>
                </c:pt>
                <c:pt idx="1">
                  <c:v>56</c:v>
                </c:pt>
              </c:numCache>
            </c:numRef>
          </c:xVal>
          <c:yVal>
            <c:numRef>
              <c:f>Normal!$AE$12:$AE$13</c:f>
              <c:numCache>
                <c:formatCode>0.0" cm"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2995-4052-B546-6F39C6CBA29D}"/>
            </c:ext>
          </c:extLst>
        </c:ser>
        <c:ser>
          <c:idx val="13"/>
          <c:order val="4"/>
          <c:spPr>
            <a:ln w="63500" cap="sq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2995-4052-B546-6F39C6CBA29D}"/>
                </c:ext>
              </c:extLst>
            </c:dLbl>
            <c:dLbl>
              <c:idx val="1"/>
              <c:layout>
                <c:manualLayout>
                  <c:x val="6.6076806669223609E-2"/>
                  <c:y val="-5.8997077554213432E-3"/>
                </c:manualLayout>
              </c:layout>
              <c:tx>
                <c:rich>
                  <a:bodyPr/>
                  <a:lstStyle/>
                  <a:p>
                    <a:fld id="{9F699D6F-DFE8-42A9-864D-54616C147075}" type="CELLREF">
                      <a:rPr lang="en-US"/>
                      <a:pPr/>
                      <a:t>[CELLREF]</a:t>
                    </a:fld>
                    <a:endParaRPr lang="pt-BR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{9F699D6F-DFE8-42A9-864D-54616C147075}</c15:txfldGUID>
                      <c15:f>Normal!$J$21</c15:f>
                      <c15:dlblFieldTableCache>
                        <c:ptCount val="1"/>
                        <c:pt idx="0">
                          <c:v>13,62 cm²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2995-4052-B546-6F39C6CBA29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Normal!$AD$14:$AD$15</c:f>
              <c:numCache>
                <c:formatCode>0.0" cm"</c:formatCode>
                <c:ptCount val="2"/>
                <c:pt idx="0">
                  <c:v>4</c:v>
                </c:pt>
                <c:pt idx="1">
                  <c:v>56</c:v>
                </c:pt>
              </c:numCache>
            </c:numRef>
          </c:xVal>
          <c:yVal>
            <c:numRef>
              <c:f>Normal!$AE$14:$AE$15</c:f>
              <c:numCache>
                <c:formatCode>0.0" cm"</c:formatCode>
                <c:ptCount val="2"/>
                <c:pt idx="0">
                  <c:v>16</c:v>
                </c:pt>
                <c:pt idx="1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2995-4052-B546-6F39C6CBA29D}"/>
            </c:ext>
          </c:extLst>
        </c:ser>
        <c:ser>
          <c:idx val="14"/>
          <c:order val="5"/>
          <c:spPr>
            <a:ln w="63500" cap="sq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2995-4052-B546-6F39C6CBA29D}"/>
                </c:ext>
              </c:extLst>
            </c:dLbl>
            <c:dLbl>
              <c:idx val="1"/>
              <c:layout>
                <c:manualLayout>
                  <c:x val="6.1357034764278985E-2"/>
                  <c:y val="0"/>
                </c:manualLayout>
              </c:layout>
              <c:tx>
                <c:rich>
                  <a:bodyPr/>
                  <a:lstStyle/>
                  <a:p>
                    <a:fld id="{8FD57C02-61AF-4177-BC07-A77837442E58}" type="CELLREF">
                      <a:rPr lang="en-US"/>
                      <a:pPr/>
                      <a:t>[CELLREF]</a:t>
                    </a:fld>
                    <a:endParaRPr lang="pt-BR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{8FD57C02-61AF-4177-BC07-A77837442E58}</c15:txfldGUID>
                      <c15:f>Normal!$J$23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2995-4052-B546-6F39C6CBA29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Normal!$AD$16:$AD$17</c:f>
              <c:numCache>
                <c:formatCode>0.0" cm"</c:formatCode>
                <c:ptCount val="2"/>
                <c:pt idx="0" formatCode="General">
                  <c:v>4</c:v>
                </c:pt>
                <c:pt idx="1">
                  <c:v>56</c:v>
                </c:pt>
              </c:numCache>
            </c:numRef>
          </c:xVal>
          <c:yVal>
            <c:numRef>
              <c:f>Normal!$AE$16:$AE$17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2995-4052-B546-6F39C6CBA29D}"/>
            </c:ext>
          </c:extLst>
        </c:ser>
        <c:ser>
          <c:idx val="15"/>
          <c:order val="6"/>
          <c:spPr>
            <a:ln w="63500" cap="sq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2995-4052-B546-6F39C6CBA29D}"/>
                </c:ext>
              </c:extLst>
            </c:dLbl>
            <c:dLbl>
              <c:idx val="1"/>
              <c:layout>
                <c:manualLayout>
                  <c:x val="6.6094221811167544E-2"/>
                  <c:y val="0"/>
                </c:manualLayout>
              </c:layout>
              <c:tx>
                <c:rich>
                  <a:bodyPr/>
                  <a:lstStyle/>
                  <a:p>
                    <a:fld id="{5D798ACA-5B71-45FD-933B-C0BB0B9E6BAC}" type="CELLREF">
                      <a:rPr lang="en-US"/>
                      <a:pPr/>
                      <a:t>[CELLREF]</a:t>
                    </a:fld>
                    <a:endParaRPr lang="pt-BR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{5D798ACA-5B71-45FD-933B-C0BB0B9E6BAC}</c15:txfldGUID>
                      <c15:f>Normal!$J$24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2995-4052-B546-6F39C6CBA29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Normal!$AD$18:$AD$19</c:f>
              <c:numCache>
                <c:formatCode>0.0" cm"</c:formatCode>
                <c:ptCount val="2"/>
                <c:pt idx="0" formatCode="General">
                  <c:v>4</c:v>
                </c:pt>
                <c:pt idx="1">
                  <c:v>56</c:v>
                </c:pt>
              </c:numCache>
            </c:numRef>
          </c:xVal>
          <c:yVal>
            <c:numRef>
              <c:f>Normal!$AE$18:$AE$19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2995-4052-B546-6F39C6CBA29D}"/>
            </c:ext>
          </c:extLst>
        </c:ser>
        <c:ser>
          <c:idx val="0"/>
          <c:order val="7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Normal!$AD$4:$AD$8</c:f>
              <c:numCache>
                <c:formatCode>0.0" cm"</c:formatCode>
                <c:ptCount val="5"/>
                <c:pt idx="0" formatCode="General">
                  <c:v>0</c:v>
                </c:pt>
                <c:pt idx="1">
                  <c:v>60</c:v>
                </c:pt>
                <c:pt idx="2">
                  <c:v>60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Normal!$AE$4:$AE$8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 formatCode="0.0&quot; cm&quot;">
                  <c:v>20</c:v>
                </c:pt>
                <c:pt idx="3" formatCode="0.0&quot; cm&quot;">
                  <c:v>20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2995-4052-B546-6F39C6CBA29D}"/>
            </c:ext>
          </c:extLst>
        </c:ser>
        <c:ser>
          <c:idx val="1"/>
          <c:order val="8"/>
          <c:spPr>
            <a:ln w="19050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Normal!$AD$9:$AD$10</c:f>
              <c:numCache>
                <c:formatCode>0.0" cm"</c:formatCode>
                <c:ptCount val="2"/>
                <c:pt idx="0">
                  <c:v>-5</c:v>
                </c:pt>
                <c:pt idx="1">
                  <c:v>60</c:v>
                </c:pt>
              </c:numCache>
            </c:numRef>
          </c:xVal>
          <c:yVal>
            <c:numRef>
              <c:f>Normal!$AE$9:$AE$10</c:f>
              <c:numCache>
                <c:formatCode>0.0" cm"</c:formatCode>
                <c:ptCount val="2"/>
                <c:pt idx="0">
                  <c:v>-5</c:v>
                </c:pt>
                <c:pt idx="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2995-4052-B546-6F39C6CBA29D}"/>
            </c:ext>
          </c:extLst>
        </c:ser>
        <c:ser>
          <c:idx val="3"/>
          <c:order val="9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Normal!$AD$21:$AD$22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Normal!$AE$21:$AE$22</c:f>
              <c:numCache>
                <c:formatCode>General</c:formatCode>
                <c:ptCount val="2"/>
                <c:pt idx="0">
                  <c:v>-2</c:v>
                </c:pt>
                <c:pt idx="1">
                  <c:v>-10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Traço vertical cota inferior</c:v>
                </c15:tx>
              </c15:filteredSeriesTitle>
            </c:ext>
            <c:ext xmlns:c16="http://schemas.microsoft.com/office/drawing/2014/chart" uri="{C3380CC4-5D6E-409C-BE32-E72D297353CC}">
              <c16:uniqueId val="{00000018-2995-4052-B546-6F39C6CBA29D}"/>
            </c:ext>
          </c:extLst>
        </c:ser>
        <c:ser>
          <c:idx val="4"/>
          <c:order val="10"/>
          <c:spPr>
            <a:ln w="19050" cap="rnd">
              <a:solidFill>
                <a:schemeClr val="tx1"/>
              </a:solidFill>
              <a:round/>
              <a:headEnd type="triangle"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2995-4052-B546-6F39C6CBA29D}"/>
                </c:ext>
              </c:extLst>
            </c:dLbl>
            <c:dLbl>
              <c:idx val="1"/>
              <c:layout>
                <c:manualLayout>
                  <c:x val="-8.5213066213986235E-2"/>
                  <c:y val="-3.508773314693559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27B0B82-404E-4560-ACAD-CC20CE9D4519}" type="CELLREF">
                      <a:rPr lang="en-US" sz="1100"/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[CELLREF]</a:t>
                    </a:fld>
                    <a:endParaRPr lang="pt-BR"/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764415670836804"/>
                      <c:h val="9.9548911471162738E-2"/>
                    </c:manualLayout>
                  </c15:layout>
                  <c15:dlblFieldTable>
                    <c15:dlblFTEntry>
                      <c15:txfldGUID>{B27B0B82-404E-4560-ACAD-CC20CE9D4519}</c15:txfldGUID>
                      <c15:f>Normal!$AD$25</c15:f>
                      <c15:dlblFieldTableCache>
                        <c:ptCount val="1"/>
                        <c:pt idx="0">
                          <c:v>60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2995-4052-B546-6F39C6CBA29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2995-4052-B546-6F39C6CBA2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Normal!$AD$23:$AD$25</c:f>
              <c:numCache>
                <c:formatCode>General</c:formatCode>
                <c:ptCount val="3"/>
                <c:pt idx="0">
                  <c:v>0</c:v>
                </c:pt>
                <c:pt idx="1">
                  <c:v>30</c:v>
                </c:pt>
                <c:pt idx="2" formatCode="0">
                  <c:v>60</c:v>
                </c:pt>
              </c:numCache>
            </c:numRef>
          </c:xVal>
          <c:yVal>
            <c:numRef>
              <c:f>Normal!$AE$23:$AE$25</c:f>
              <c:numCache>
                <c:formatCode>General</c:formatCode>
                <c:ptCount val="3"/>
                <c:pt idx="0">
                  <c:v>-7.5</c:v>
                </c:pt>
                <c:pt idx="1">
                  <c:v>-7.5</c:v>
                </c:pt>
                <c:pt idx="2">
                  <c:v>-7.5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Traço horizontal cota inferior</c:v>
                </c15:tx>
              </c15:filteredSeriesTitle>
            </c:ext>
            <c:ext xmlns:c16="http://schemas.microsoft.com/office/drawing/2014/chart" uri="{C3380CC4-5D6E-409C-BE32-E72D297353CC}">
              <c16:uniqueId val="{0000001D-2995-4052-B546-6F39C6CBA29D}"/>
            </c:ext>
          </c:extLst>
        </c:ser>
        <c:ser>
          <c:idx val="5"/>
          <c:order val="11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Normal!$AD$26:$AD$27</c:f>
              <c:numCache>
                <c:formatCode>0.0" cm"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xVal>
          <c:yVal>
            <c:numRef>
              <c:f>Normal!$AE$26:$AE$27</c:f>
              <c:numCache>
                <c:formatCode>General</c:formatCode>
                <c:ptCount val="2"/>
                <c:pt idx="0">
                  <c:v>-2</c:v>
                </c:pt>
                <c:pt idx="1">
                  <c:v>-10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Traço vertical cota inferior 2</c:v>
                </c15:tx>
              </c15:filteredSeriesTitle>
            </c:ext>
            <c:ext xmlns:c16="http://schemas.microsoft.com/office/drawing/2014/chart" uri="{C3380CC4-5D6E-409C-BE32-E72D297353CC}">
              <c16:uniqueId val="{0000001F-2995-4052-B546-6F39C6CBA29D}"/>
            </c:ext>
          </c:extLst>
        </c:ser>
        <c:ser>
          <c:idx val="6"/>
          <c:order val="1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Normal!$AD$29:$AD$30</c:f>
              <c:numCache>
                <c:formatCode>General</c:formatCode>
                <c:ptCount val="2"/>
                <c:pt idx="0">
                  <c:v>-2</c:v>
                </c:pt>
                <c:pt idx="1">
                  <c:v>-8</c:v>
                </c:pt>
              </c:numCache>
            </c:numRef>
          </c:xVal>
          <c:yVal>
            <c:numRef>
              <c:f>Normal!$AE$29:$AE$30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Linha horizontal cota vertical</c:v>
                </c15:tx>
              </c15:filteredSeriesTitle>
            </c:ext>
            <c:ext xmlns:c16="http://schemas.microsoft.com/office/drawing/2014/chart" uri="{C3380CC4-5D6E-409C-BE32-E72D297353CC}">
              <c16:uniqueId val="{00000021-2995-4052-B546-6F39C6CBA29D}"/>
            </c:ext>
          </c:extLst>
        </c:ser>
        <c:ser>
          <c:idx val="7"/>
          <c:order val="13"/>
          <c:spPr>
            <a:ln w="19050" cap="rnd">
              <a:solidFill>
                <a:schemeClr val="tx1"/>
              </a:solidFill>
              <a:round/>
              <a:headEnd type="triangle"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2995-4052-B546-6F39C6CBA29D}"/>
                </c:ext>
              </c:extLst>
            </c:dLbl>
            <c:dLbl>
              <c:idx val="1"/>
              <c:layout>
                <c:manualLayout>
                  <c:x val="-0.12531333266762681"/>
                  <c:y val="-1.503759992011521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D8D83C6-7DD9-4080-83BD-54397C4A851C}" type="CELLREF">
                      <a:rPr lang="en-US" sz="1100"/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[CELLREF]</a:t>
                    </a:fld>
                    <a:endParaRPr lang="pt-BR"/>
                  </a:p>
                </c:rich>
              </c:tx>
              <c:numFmt formatCode="#,##0" sourceLinked="0"/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{4D8D83C6-7DD9-4080-83BD-54397C4A851C}</c15:txfldGUID>
                      <c15:f>Normal!$AE$35</c15:f>
                      <c15:dlblFieldTableCache>
                        <c:ptCount val="1"/>
                        <c:pt idx="0">
                          <c:v>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2995-4052-B546-6F39C6CBA29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2995-4052-B546-6F39C6CBA29D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Normal!$AD$31:$AD$33</c:f>
              <c:numCache>
                <c:formatCode>General</c:formatCode>
                <c:ptCount val="3"/>
                <c:pt idx="0">
                  <c:v>-4.5</c:v>
                </c:pt>
                <c:pt idx="1">
                  <c:v>-4.5</c:v>
                </c:pt>
                <c:pt idx="2">
                  <c:v>-4.5</c:v>
                </c:pt>
              </c:numCache>
            </c:numRef>
          </c:xVal>
          <c:yVal>
            <c:numRef>
              <c:f>Normal!$AE$31:$AE$33</c:f>
              <c:numCache>
                <c:formatCode>General</c:formatCode>
                <c:ptCount val="3"/>
                <c:pt idx="0">
                  <c:v>0</c:v>
                </c:pt>
                <c:pt idx="1">
                  <c:v>10</c:v>
                </c:pt>
                <c:pt idx="2" formatCode="0.0&quot; cm&quot;">
                  <c:v>20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Linha vertical cota vertical</c:v>
                </c15:tx>
              </c15:filteredSeriesTitle>
            </c:ext>
            <c:ext xmlns:c16="http://schemas.microsoft.com/office/drawing/2014/chart" uri="{C3380CC4-5D6E-409C-BE32-E72D297353CC}">
              <c16:uniqueId val="{00000026-2995-4052-B546-6F39C6CBA29D}"/>
            </c:ext>
          </c:extLst>
        </c:ser>
        <c:ser>
          <c:idx val="8"/>
          <c:order val="14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Normal!$AD$34:$AD$35</c:f>
              <c:numCache>
                <c:formatCode>General</c:formatCode>
                <c:ptCount val="2"/>
                <c:pt idx="0">
                  <c:v>-2</c:v>
                </c:pt>
                <c:pt idx="1">
                  <c:v>-8</c:v>
                </c:pt>
              </c:numCache>
            </c:numRef>
          </c:xVal>
          <c:yVal>
            <c:numRef>
              <c:f>Normal!$AE$34:$AE$35</c:f>
              <c:numCache>
                <c:formatCode>General</c:formatCode>
                <c:ptCount val="2"/>
                <c:pt idx="0" formatCode="0.0&quot; cm&quot;">
                  <c:v>20</c:v>
                </c:pt>
                <c:pt idx="1">
                  <c:v>20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Linha horizontal 2 cota vertical</c:v>
                </c15:tx>
              </c15:filteredSeriesTitle>
            </c:ext>
            <c:ext xmlns:c16="http://schemas.microsoft.com/office/drawing/2014/chart" uri="{C3380CC4-5D6E-409C-BE32-E72D297353CC}">
              <c16:uniqueId val="{00000028-2995-4052-B546-6F39C6CBA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2410544"/>
        <c:axId val="852410872"/>
      </c:scatterChart>
      <c:valAx>
        <c:axId val="852410544"/>
        <c:scaling>
          <c:orientation val="minMax"/>
          <c:min val="-10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&quot; cm&quot;" sourceLinked="1"/>
        <c:majorTickMark val="out"/>
        <c:minorTickMark val="none"/>
        <c:tickLblPos val="nextTo"/>
        <c:crossAx val="852410872"/>
        <c:crosses val="autoZero"/>
        <c:crossBetween val="midCat"/>
        <c:majorUnit val="10"/>
        <c:minorUnit val="5"/>
      </c:valAx>
      <c:valAx>
        <c:axId val="852410872"/>
        <c:scaling>
          <c:orientation val="minMax"/>
          <c:min val="-10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&quot; cm&quot;" sourceLinked="1"/>
        <c:majorTickMark val="out"/>
        <c:minorTickMark val="none"/>
        <c:tickLblPos val="nextTo"/>
        <c:crossAx val="852410544"/>
        <c:crosses val="autoZero"/>
        <c:crossBetween val="midCat"/>
        <c:majorUnit val="10"/>
        <c:minorUnit val="5"/>
      </c:valAx>
    </c:plotArea>
    <c:plotVisOnly val="0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014502068150558E-2"/>
          <c:y val="2.1740920044229988E-2"/>
          <c:w val="0.94898559126055548"/>
          <c:h val="0.93652016198342103"/>
        </c:manualLayout>
      </c:layout>
      <c:scatterChart>
        <c:scatterStyle val="lineMarker"/>
        <c:varyColors val="0"/>
        <c:ser>
          <c:idx val="9"/>
          <c:order val="0"/>
          <c:spPr>
            <a:ln>
              <a:solidFill>
                <a:schemeClr val="accent1">
                  <a:alpha val="0"/>
                </a:schemeClr>
              </a:solidFill>
            </a:ln>
          </c:spPr>
          <c:marker>
            <c:symbol val="none"/>
          </c:marker>
          <c:xVal>
            <c:numRef>
              <c:f>Oblíqua!$Z$9:$Z$10</c:f>
              <c:numCache>
                <c:formatCode>0.0" cm"</c:formatCode>
                <c:ptCount val="2"/>
                <c:pt idx="0">
                  <c:v>-5</c:v>
                </c:pt>
                <c:pt idx="1">
                  <c:v>40</c:v>
                </c:pt>
              </c:numCache>
            </c:numRef>
          </c:xVal>
          <c:yVal>
            <c:numRef>
              <c:f>Oblíqua!$AA$9:$AA$10</c:f>
              <c:numCache>
                <c:formatCode>0.0" cm"</c:formatCode>
                <c:ptCount val="2"/>
                <c:pt idx="0">
                  <c:v>-5</c:v>
                </c:pt>
                <c:pt idx="1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48-46AC-9C5A-37431270504C}"/>
            </c:ext>
          </c:extLst>
        </c:ser>
        <c:ser>
          <c:idx val="10"/>
          <c:order val="1"/>
          <c:spPr>
            <a:ln w="19050">
              <a:noFill/>
            </a:ln>
          </c:spPr>
          <c:marker>
            <c:symbol val="none"/>
          </c:marker>
          <c:xVal>
            <c:numRef>
              <c:f>Oblíqua!$Z$12:$Z$13</c:f>
              <c:numCache>
                <c:formatCode>0.0</c:formatCode>
                <c:ptCount val="2"/>
                <c:pt idx="0" formatCode="0.0&quot; cm&quot;">
                  <c:v>4</c:v>
                </c:pt>
                <c:pt idx="1">
                  <c:v>16</c:v>
                </c:pt>
              </c:numCache>
            </c:numRef>
          </c:xVal>
          <c:yVal>
            <c:numRef>
              <c:f>Oblíqua!$AA$12:$AA$13</c:f>
              <c:numCache>
                <c:formatCode>0.0" cm"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48-46AC-9C5A-37431270504C}"/>
            </c:ext>
          </c:extLst>
        </c:ser>
        <c:ser>
          <c:idx val="11"/>
          <c:order val="2"/>
          <c:spPr>
            <a:ln>
              <a:solidFill>
                <a:schemeClr val="accent1">
                  <a:shade val="50000"/>
                  <a:alpha val="0"/>
                </a:schemeClr>
              </a:solidFill>
            </a:ln>
          </c:spPr>
          <c:marker>
            <c:symbol val="none"/>
          </c:marker>
          <c:xVal>
            <c:numRef>
              <c:f>Oblíqua!$Z$37:$Z$38</c:f>
              <c:numCache>
                <c:formatCode>0.0" cm"</c:formatCode>
                <c:ptCount val="2"/>
                <c:pt idx="0" formatCode="General">
                  <c:v>0</c:v>
                </c:pt>
                <c:pt idx="1">
                  <c:v>60</c:v>
                </c:pt>
              </c:numCache>
            </c:numRef>
          </c:xVal>
          <c:yVal>
            <c:numRef>
              <c:f>Oblíqua!$AA$37:$AA$38</c:f>
              <c:numCache>
                <c:formatCode>0.0" cm"</c:formatCode>
                <c:ptCount val="2"/>
                <c:pt idx="0" formatCode="General">
                  <c:v>0</c:v>
                </c:pt>
                <c:pt idx="1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F48-46AC-9C5A-37431270504C}"/>
            </c:ext>
          </c:extLst>
        </c:ser>
        <c:ser>
          <c:idx val="12"/>
          <c:order val="3"/>
          <c:spPr>
            <a:ln w="25400">
              <a:noFill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Oblíqua!$Z$12:$Z$13</c:f>
              <c:numCache>
                <c:formatCode>0.0</c:formatCode>
                <c:ptCount val="2"/>
                <c:pt idx="0" formatCode="0.0&quot; cm&quot;">
                  <c:v>4</c:v>
                </c:pt>
                <c:pt idx="1">
                  <c:v>16</c:v>
                </c:pt>
              </c:numCache>
            </c:numRef>
          </c:xVal>
          <c:yVal>
            <c:numRef>
              <c:f>Oblíqua!$AA$12:$AA$13</c:f>
              <c:numCache>
                <c:formatCode>0.0" cm"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F48-46AC-9C5A-37431270504C}"/>
            </c:ext>
          </c:extLst>
        </c:ser>
        <c:ser>
          <c:idx val="13"/>
          <c:order val="4"/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7.0843516472405443E-2"/>
                  <c:y val="-0.10284147205968264"/>
                </c:manualLayout>
              </c:layout>
              <c:tx>
                <c:rich>
                  <a:bodyPr/>
                  <a:lstStyle/>
                  <a:p>
                    <a:fld id="{369567F3-4744-48AA-804E-00B9D23EEF10}" type="CELLREF">
                      <a:rPr lang="en-US"/>
                      <a:pPr/>
                      <a:t>[CELLREF]</a:t>
                    </a:fld>
                    <a:endParaRPr lang="pt-BR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{369567F3-4744-48AA-804E-00B9D23EEF10}</c15:txfldGUID>
                      <c15:f>Oblíqua!$E$19</c15:f>
                      <c15:dlblFieldTableCache>
                        <c:ptCount val="1"/>
                        <c:pt idx="0">
                          <c:v>Ø20,0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CF48-46AC-9C5A-37431270504C}"/>
                </c:ext>
              </c:extLst>
            </c:dLbl>
            <c:dLbl>
              <c:idx val="1"/>
              <c:layout>
                <c:manualLayout>
                  <c:x val="3.0361509150289408E-2"/>
                  <c:y val="0"/>
                </c:manualLayout>
              </c:layout>
              <c:tx>
                <c:rich>
                  <a:bodyPr/>
                  <a:lstStyle/>
                  <a:p>
                    <a:fld id="{3A91D8EE-1685-4C72-874F-9BEF5458A37A}" type="CELLREF">
                      <a:rPr lang="en-US"/>
                      <a:pPr/>
                      <a:t>[CELLREF]</a:t>
                    </a:fld>
                    <a:endParaRPr lang="pt-BR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{3A91D8EE-1685-4C72-874F-9BEF5458A37A}</c15:txfldGUID>
                      <c15:f>Oblíqua!$E$19</c15:f>
                      <c15:dlblFieldTableCache>
                        <c:ptCount val="1"/>
                        <c:pt idx="0">
                          <c:v>Ø20,0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CF48-46AC-9C5A-37431270504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Oblíqua!$Z$14:$Z$15</c:f>
              <c:numCache>
                <c:formatCode>0.0" cm"</c:formatCode>
                <c:ptCount val="2"/>
                <c:pt idx="0">
                  <c:v>4</c:v>
                </c:pt>
                <c:pt idx="1">
                  <c:v>16</c:v>
                </c:pt>
              </c:numCache>
            </c:numRef>
          </c:xVal>
          <c:yVal>
            <c:numRef>
              <c:f>Oblíqua!$AA$14:$AA$15</c:f>
              <c:numCache>
                <c:formatCode>0.0" cm"</c:formatCode>
                <c:ptCount val="2"/>
                <c:pt idx="0">
                  <c:v>36</c:v>
                </c:pt>
                <c:pt idx="1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F48-46AC-9C5A-37431270504C}"/>
            </c:ext>
          </c:extLst>
        </c:ser>
        <c:ser>
          <c:idx val="14"/>
          <c:order val="5"/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F48-46AC-9C5A-37431270504C}"/>
                </c:ext>
              </c:extLst>
            </c:dLbl>
            <c:dLbl>
              <c:idx val="1"/>
              <c:layout>
                <c:manualLayout>
                  <c:x val="3.7086538173347949E-2"/>
                  <c:y val="1.5293986098786235E-5"/>
                </c:manualLayout>
              </c:layout>
              <c:tx>
                <c:rich>
                  <a:bodyPr/>
                  <a:lstStyle/>
                  <a:p>
                    <a:fld id="{2FE944E6-D927-48D6-AFCF-E572A572A2AF}" type="CELLREF">
                      <a:rPr lang="en-US"/>
                      <a:pPr/>
                      <a:t>[CELLREF]</a:t>
                    </a:fld>
                    <a:endParaRPr lang="pt-BR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{2FE944E6-D927-48D6-AFCF-E572A572A2AF}</c15:txfldGUID>
                      <c15:f>Oblíqua!$AB$17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CF48-46AC-9C5A-37431270504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Oblíqua!$Z$16:$Z$17</c:f>
              <c:numCache>
                <c:formatCode>General</c:formatCode>
                <c:ptCount val="2"/>
                <c:pt idx="0">
                  <c:v>16</c:v>
                </c:pt>
                <c:pt idx="1">
                  <c:v>16</c:v>
                </c:pt>
              </c:numCache>
            </c:numRef>
          </c:xVal>
          <c:yVal>
            <c:numRef>
              <c:f>Oblíqua!$AA$16:$AA$17</c:f>
              <c:numCache>
                <c:formatCode>General</c:formatCode>
                <c:ptCount val="2"/>
                <c:pt idx="0">
                  <c:v>36</c:v>
                </c:pt>
                <c:pt idx="1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F48-46AC-9C5A-37431270504C}"/>
            </c:ext>
          </c:extLst>
        </c:ser>
        <c:ser>
          <c:idx val="15"/>
          <c:order val="6"/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F48-46AC-9C5A-37431270504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F48-46AC-9C5A-37431270504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Oblíqua!$Z$18:$Z$19</c:f>
              <c:numCache>
                <c:formatCode>General</c:formatCode>
                <c:ptCount val="2"/>
                <c:pt idx="0">
                  <c:v>16</c:v>
                </c:pt>
                <c:pt idx="1">
                  <c:v>16</c:v>
                </c:pt>
              </c:numCache>
            </c:numRef>
          </c:xVal>
          <c:yVal>
            <c:numRef>
              <c:f>Oblíqua!$AA$18:$AA$19</c:f>
              <c:numCache>
                <c:formatCode>General</c:formatCode>
                <c:ptCount val="2"/>
                <c:pt idx="0">
                  <c:v>36</c:v>
                </c:pt>
                <c:pt idx="1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F48-46AC-9C5A-37431270504C}"/>
            </c:ext>
          </c:extLst>
        </c:ser>
        <c:ser>
          <c:idx val="0"/>
          <c:order val="7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Oblíqua!$Z$4:$Z$8</c:f>
              <c:numCache>
                <c:formatCode>0.0" cm"</c:formatCode>
                <c:ptCount val="5"/>
                <c:pt idx="0" formatCode="General">
                  <c:v>0</c:v>
                </c:pt>
                <c:pt idx="1">
                  <c:v>20</c:v>
                </c:pt>
                <c:pt idx="2">
                  <c:v>20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Oblíqua!$AA$4:$AA$8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 formatCode="0.0&quot; cm&quot;">
                  <c:v>40</c:v>
                </c:pt>
                <c:pt idx="3" formatCode="0.0&quot; cm&quot;">
                  <c:v>40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F48-46AC-9C5A-37431270504C}"/>
            </c:ext>
          </c:extLst>
        </c:ser>
        <c:ser>
          <c:idx val="1"/>
          <c:order val="8"/>
          <c:spPr>
            <a:ln w="19050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Oblíqua!$Z$9:$Z$10</c:f>
              <c:numCache>
                <c:formatCode>0.0" cm"</c:formatCode>
                <c:ptCount val="2"/>
                <c:pt idx="0">
                  <c:v>-5</c:v>
                </c:pt>
                <c:pt idx="1">
                  <c:v>40</c:v>
                </c:pt>
              </c:numCache>
            </c:numRef>
          </c:xVal>
          <c:yVal>
            <c:numRef>
              <c:f>Oblíqua!$AA$9:$AA$10</c:f>
              <c:numCache>
                <c:formatCode>0.0" cm"</c:formatCode>
                <c:ptCount val="2"/>
                <c:pt idx="0">
                  <c:v>-5</c:v>
                </c:pt>
                <c:pt idx="1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F48-46AC-9C5A-37431270504C}"/>
            </c:ext>
          </c:extLst>
        </c:ser>
        <c:ser>
          <c:idx val="3"/>
          <c:order val="9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Oblíqua!$Z$21:$Z$22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Oblíqua!$AA$21:$AA$22</c:f>
              <c:numCache>
                <c:formatCode>General</c:formatCode>
                <c:ptCount val="2"/>
                <c:pt idx="0">
                  <c:v>-2</c:v>
                </c:pt>
                <c:pt idx="1">
                  <c:v>-10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Traço vertical cota inferior</c:v>
                </c15:tx>
              </c15:filteredSeriesTitle>
            </c:ext>
            <c:ext xmlns:c16="http://schemas.microsoft.com/office/drawing/2014/chart" uri="{C3380CC4-5D6E-409C-BE32-E72D297353CC}">
              <c16:uniqueId val="{00000011-CF48-46AC-9C5A-37431270504C}"/>
            </c:ext>
          </c:extLst>
        </c:ser>
        <c:ser>
          <c:idx val="4"/>
          <c:order val="10"/>
          <c:spPr>
            <a:ln w="19050" cap="rnd">
              <a:solidFill>
                <a:schemeClr val="tx1"/>
              </a:solidFill>
              <a:round/>
              <a:headEnd type="triangle"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F48-46AC-9C5A-37431270504C}"/>
                </c:ext>
              </c:extLst>
            </c:dLbl>
            <c:dLbl>
              <c:idx val="1"/>
              <c:layout>
                <c:manualLayout>
                  <c:x val="-8.5213066213986235E-2"/>
                  <c:y val="-3.508773314693559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27B0B82-404E-4560-ACAD-CC20CE9D4519}" type="CELLREF">
                      <a:rPr lang="en-US" sz="1100"/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[CELLREF]</a:t>
                    </a:fld>
                    <a:endParaRPr lang="pt-BR"/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764415670836804"/>
                      <c:h val="9.9548911471162738E-2"/>
                    </c:manualLayout>
                  </c15:layout>
                  <c15:dlblFieldTable>
                    <c15:dlblFTEntry>
                      <c15:txfldGUID>{B27B0B82-404E-4560-ACAD-CC20CE9D4519}</c15:txfldGUID>
                      <c15:f>Oblíqua!$Z$25</c15:f>
                      <c15:dlblFieldTableCache>
                        <c:ptCount val="1"/>
                        <c:pt idx="0">
                          <c:v>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CF48-46AC-9C5A-37431270504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F48-46AC-9C5A-3743127050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Oblíqua!$Z$23:$Z$25</c:f>
              <c:numCache>
                <c:formatCode>General</c:formatCode>
                <c:ptCount val="3"/>
                <c:pt idx="0">
                  <c:v>0</c:v>
                </c:pt>
                <c:pt idx="1">
                  <c:v>10</c:v>
                </c:pt>
                <c:pt idx="2" formatCode="0">
                  <c:v>20</c:v>
                </c:pt>
              </c:numCache>
            </c:numRef>
          </c:xVal>
          <c:yVal>
            <c:numRef>
              <c:f>Oblíqua!$AA$23:$AA$25</c:f>
              <c:numCache>
                <c:formatCode>General</c:formatCode>
                <c:ptCount val="3"/>
                <c:pt idx="0">
                  <c:v>-7.5</c:v>
                </c:pt>
                <c:pt idx="1">
                  <c:v>-7.5</c:v>
                </c:pt>
                <c:pt idx="2">
                  <c:v>-7.5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Traço horizontal cota inferior</c:v>
                </c15:tx>
              </c15:filteredSeriesTitle>
            </c:ext>
            <c:ext xmlns:c16="http://schemas.microsoft.com/office/drawing/2014/chart" uri="{C3380CC4-5D6E-409C-BE32-E72D297353CC}">
              <c16:uniqueId val="{00000015-CF48-46AC-9C5A-37431270504C}"/>
            </c:ext>
          </c:extLst>
        </c:ser>
        <c:ser>
          <c:idx val="5"/>
          <c:order val="11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Oblíqua!$Z$26:$Z$27</c:f>
              <c:numCache>
                <c:formatCode>0.0" cm"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Oblíqua!$AA$26:$AA$27</c:f>
              <c:numCache>
                <c:formatCode>General</c:formatCode>
                <c:ptCount val="2"/>
                <c:pt idx="0">
                  <c:v>-2</c:v>
                </c:pt>
                <c:pt idx="1">
                  <c:v>-10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Traço vertical cota inferior 2</c:v>
                </c15:tx>
              </c15:filteredSeriesTitle>
            </c:ext>
            <c:ext xmlns:c16="http://schemas.microsoft.com/office/drawing/2014/chart" uri="{C3380CC4-5D6E-409C-BE32-E72D297353CC}">
              <c16:uniqueId val="{00000016-CF48-46AC-9C5A-37431270504C}"/>
            </c:ext>
          </c:extLst>
        </c:ser>
        <c:ser>
          <c:idx val="6"/>
          <c:order val="1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Oblíqua!$Z$29:$Z$30</c:f>
              <c:numCache>
                <c:formatCode>General</c:formatCode>
                <c:ptCount val="2"/>
                <c:pt idx="0">
                  <c:v>-2</c:v>
                </c:pt>
                <c:pt idx="1">
                  <c:v>-8</c:v>
                </c:pt>
              </c:numCache>
            </c:numRef>
          </c:xVal>
          <c:yVal>
            <c:numRef>
              <c:f>Oblíqua!$AA$29:$AA$30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Linha horizontal cota vertical</c:v>
                </c15:tx>
              </c15:filteredSeriesTitle>
            </c:ext>
            <c:ext xmlns:c16="http://schemas.microsoft.com/office/drawing/2014/chart" uri="{C3380CC4-5D6E-409C-BE32-E72D297353CC}">
              <c16:uniqueId val="{00000017-CF48-46AC-9C5A-37431270504C}"/>
            </c:ext>
          </c:extLst>
        </c:ser>
        <c:ser>
          <c:idx val="7"/>
          <c:order val="13"/>
          <c:spPr>
            <a:ln w="19050" cap="rnd">
              <a:solidFill>
                <a:schemeClr val="tx1"/>
              </a:solidFill>
              <a:round/>
              <a:headEnd type="triangle"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F48-46AC-9C5A-37431270504C}"/>
                </c:ext>
              </c:extLst>
            </c:dLbl>
            <c:dLbl>
              <c:idx val="1"/>
              <c:layout>
                <c:manualLayout>
                  <c:x val="-0.10171459030314517"/>
                  <c:y val="-1.5037517593780438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D8D83C6-7DD9-4080-83BD-54397C4A851C}" type="CELLREF">
                      <a:rPr lang="en-US" sz="1100"/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[CELLREF]</a:t>
                    </a:fld>
                    <a:endParaRPr lang="pt-BR"/>
                  </a:p>
                </c:rich>
              </c:tx>
              <c:numFmt formatCode="#,##0" sourceLinked="0"/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{4D8D83C6-7DD9-4080-83BD-54397C4A851C}</c15:txfldGUID>
                      <c15:f>Oblíqua!$AA$35</c15:f>
                      <c15:dlblFieldTableCache>
                        <c:ptCount val="1"/>
                        <c:pt idx="0">
                          <c:v>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CF48-46AC-9C5A-37431270504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F48-46AC-9C5A-37431270504C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Oblíqua!$Z$31:$Z$33</c:f>
              <c:numCache>
                <c:formatCode>General</c:formatCode>
                <c:ptCount val="3"/>
                <c:pt idx="0">
                  <c:v>-4.5</c:v>
                </c:pt>
                <c:pt idx="1">
                  <c:v>-4.5</c:v>
                </c:pt>
                <c:pt idx="2">
                  <c:v>-4.5</c:v>
                </c:pt>
              </c:numCache>
            </c:numRef>
          </c:xVal>
          <c:yVal>
            <c:numRef>
              <c:f>Oblíqua!$AA$31:$AA$33</c:f>
              <c:numCache>
                <c:formatCode>General</c:formatCode>
                <c:ptCount val="3"/>
                <c:pt idx="0">
                  <c:v>0</c:v>
                </c:pt>
                <c:pt idx="1">
                  <c:v>20</c:v>
                </c:pt>
                <c:pt idx="2" formatCode="0.0&quot; cm&quot;">
                  <c:v>40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Linha vertical cota vertical</c:v>
                </c15:tx>
              </c15:filteredSeriesTitle>
            </c:ext>
            <c:ext xmlns:c16="http://schemas.microsoft.com/office/drawing/2014/chart" uri="{C3380CC4-5D6E-409C-BE32-E72D297353CC}">
              <c16:uniqueId val="{0000001B-CF48-46AC-9C5A-37431270504C}"/>
            </c:ext>
          </c:extLst>
        </c:ser>
        <c:ser>
          <c:idx val="8"/>
          <c:order val="14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Oblíqua!$Z$34:$Z$35</c:f>
              <c:numCache>
                <c:formatCode>General</c:formatCode>
                <c:ptCount val="2"/>
                <c:pt idx="0">
                  <c:v>-2</c:v>
                </c:pt>
                <c:pt idx="1">
                  <c:v>-8</c:v>
                </c:pt>
              </c:numCache>
            </c:numRef>
          </c:xVal>
          <c:yVal>
            <c:numRef>
              <c:f>Oblíqua!$AA$34:$AA$35</c:f>
              <c:numCache>
                <c:formatCode>General</c:formatCode>
                <c:ptCount val="2"/>
                <c:pt idx="0" formatCode="0.0&quot; cm&quot;">
                  <c:v>40</c:v>
                </c:pt>
                <c:pt idx="1">
                  <c:v>40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Linha horizontal 2 cota vertical</c:v>
                </c15:tx>
              </c15:filteredSeriesTitle>
            </c:ext>
            <c:ext xmlns:c16="http://schemas.microsoft.com/office/drawing/2014/chart" uri="{C3380CC4-5D6E-409C-BE32-E72D297353CC}">
              <c16:uniqueId val="{0000001C-CF48-46AC-9C5A-37431270504C}"/>
            </c:ext>
          </c:extLst>
        </c:ser>
        <c:ser>
          <c:idx val="2"/>
          <c:order val="1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F48-46AC-9C5A-37431270504C}"/>
                </c:ext>
              </c:extLst>
            </c:dLbl>
            <c:dLbl>
              <c:idx val="1"/>
              <c:layout>
                <c:manualLayout>
                  <c:x val="-3.3735010166988301E-2"/>
                  <c:y val="-0.10282238680850848"/>
                </c:manualLayout>
              </c:layout>
              <c:tx>
                <c:rich>
                  <a:bodyPr/>
                  <a:lstStyle/>
                  <a:p>
                    <a:fld id="{6D2A8556-6A4C-48E3-9135-C9DECAE9C93E}" type="CELLREF">
                      <a:rPr lang="en-US"/>
                      <a:pPr/>
                      <a:t>[CELLREF]</a:t>
                    </a:fld>
                    <a:endParaRPr lang="pt-BR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{6D2A8556-6A4C-48E3-9135-C9DECAE9C93E}</c15:txfldGUID>
                      <c15:f>Oblíqua!$AC$17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CF48-46AC-9C5A-37431270504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Oblíqua!$AB$12:$AB$13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Oblíqua!$AC$12:$AC$13</c:f>
              <c:numCache>
                <c:formatCode>General</c:formatCode>
                <c:ptCount val="2"/>
                <c:pt idx="0" formatCode="0.0&quot; cm&quot;">
                  <c:v>4</c:v>
                </c:pt>
                <c:pt idx="1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CF48-46AC-9C5A-37431270504C}"/>
            </c:ext>
          </c:extLst>
        </c:ser>
        <c:ser>
          <c:idx val="16"/>
          <c:order val="16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Oblíqua!$AB$14:$AB$15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Oblíqua!$AC$14:$AC$15</c:f>
              <c:numCache>
                <c:formatCode>0.0" cm"</c:formatCode>
                <c:ptCount val="2"/>
                <c:pt idx="0" formatCode="General">
                  <c:v>4</c:v>
                </c:pt>
                <c:pt idx="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CF48-46AC-9C5A-374312705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2410544"/>
        <c:axId val="852410872"/>
      </c:scatterChart>
      <c:valAx>
        <c:axId val="852410544"/>
        <c:scaling>
          <c:orientation val="minMax"/>
          <c:min val="-10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&quot; cm&quot;" sourceLinked="1"/>
        <c:majorTickMark val="out"/>
        <c:minorTickMark val="none"/>
        <c:tickLblPos val="nextTo"/>
        <c:crossAx val="852410872"/>
        <c:crosses val="autoZero"/>
        <c:crossBetween val="midCat"/>
        <c:majorUnit val="10"/>
        <c:minorUnit val="5"/>
      </c:valAx>
      <c:valAx>
        <c:axId val="852410872"/>
        <c:scaling>
          <c:orientation val="minMax"/>
          <c:min val="-10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&quot; cm&quot;" sourceLinked="1"/>
        <c:majorTickMark val="out"/>
        <c:minorTickMark val="none"/>
        <c:tickLblPos val="nextTo"/>
        <c:crossAx val="852410544"/>
        <c:crosses val="autoZero"/>
        <c:crossBetween val="midCat"/>
        <c:majorUnit val="10"/>
        <c:minorUnit val="5"/>
      </c:valAx>
    </c:plotArea>
    <c:plotVisOnly val="0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150481189851271E-2"/>
          <c:y val="0.10085026526687954"/>
          <c:w val="0.74321641418975648"/>
          <c:h val="0.79175028717842943"/>
        </c:manualLayout>
      </c:layout>
      <c:scatterChart>
        <c:scatterStyle val="lineMarker"/>
        <c:varyColors val="0"/>
        <c:ser>
          <c:idx val="0"/>
          <c:order val="0"/>
          <c:tx>
            <c:v>Solicitações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A0B0406-81DB-4477-9744-14784DEE8B23}" type="CELLREF">
                      <a:rPr lang="en-US"/>
                      <a:pPr/>
                      <a:t>[CELLREF]</a:t>
                    </a:fld>
                    <a:endParaRPr lang="pt-BR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{3A0B0406-81DB-4477-9744-14784DEE8B23}</c15:txfldGUID>
                      <c15:f>Envoltória!$D$8</c15:f>
                      <c15:dlblFieldTableCache>
                        <c:ptCount val="1"/>
                        <c:pt idx="0">
                          <c:v>1o.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20C2-4E6C-BD41-D8A1F38E8B2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EFA1A05-F934-417E-BC00-C95EFD5740F1}" type="CELLREF">
                      <a:rPr lang="en-US"/>
                      <a:pPr/>
                      <a:t>[CELLREF]</a:t>
                    </a:fld>
                    <a:endParaRPr lang="pt-BR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{BEFA1A05-F934-417E-BC00-C95EFD5740F1}</c15:txfldGUID>
                      <c15:f>Envoltória!$D$9</c15:f>
                      <c15:dlblFieldTableCache>
                        <c:ptCount val="1"/>
                        <c:pt idx="0">
                          <c:v>2o.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20C2-4E6C-BD41-D8A1F38E8B2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D8E90FF-50FE-4EC6-8691-1DC1C1277DE4}" type="CELLREF">
                      <a:rPr lang="en-US"/>
                      <a:pPr/>
                      <a:t>[CELLREF]</a:t>
                    </a:fld>
                    <a:endParaRPr lang="pt-BR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{9D8E90FF-50FE-4EC6-8691-1DC1C1277DE4}</c15:txfldGUID>
                      <c15:f>Envoltória!$D$10</c15:f>
                      <c15:dlblFieldTableCache>
                        <c:ptCount val="1"/>
                        <c:pt idx="0">
                          <c:v>3o.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20C2-4E6C-BD41-D8A1F38E8B2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D11B3A-2AFB-4E73-93E5-02DBE879465D}" type="CELLREF">
                      <a:rPr lang="en-US"/>
                      <a:pPr/>
                      <a:t>[CELLREF]</a:t>
                    </a:fld>
                    <a:endParaRPr lang="pt-BR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{5BD11B3A-2AFB-4E73-93E5-02DBE879465D}</c15:txfldGUID>
                      <c15:f>Envoltória!$D$11</c15:f>
                      <c15:dlblFieldTableCache>
                        <c:ptCount val="1"/>
                        <c:pt idx="0">
                          <c:v>4o.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20C2-4E6C-BD41-D8A1F38E8B2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056FE43-E3FE-4F70-8576-6830C73A3981}" type="CELLREF">
                      <a:rPr lang="en-US"/>
                      <a:pPr/>
                      <a:t>[CELLREF]</a:t>
                    </a:fld>
                    <a:endParaRPr lang="pt-BR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{4056FE43-E3FE-4F70-8576-6830C73A3981}</c15:txfldGUID>
                      <c15:f>Envoltória!$D$12</c15:f>
                      <c15:dlblFieldTableCache>
                        <c:ptCount val="1"/>
                        <c:pt idx="0">
                          <c:v>5o.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20C2-4E6C-BD41-D8A1F38E8B2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E2085AF-4B61-49CE-AC8C-E981C3EC1BE7}" type="CELLREF">
                      <a:rPr lang="en-US"/>
                      <a:pPr/>
                      <a:t>[CELLREF]</a:t>
                    </a:fld>
                    <a:endParaRPr lang="pt-BR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{AE2085AF-4B61-49CE-AC8C-E981C3EC1BE7}</c15:txfldGUID>
                      <c15:f>Envoltória!$D$13</c15:f>
                      <c15:dlblFieldTableCache>
                        <c:ptCount val="1"/>
                        <c:pt idx="0">
                          <c:v>6o.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20C2-4E6C-BD41-D8A1F38E8B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Envoltória!$E$8:$E$13</c:f>
              <c:numCache>
                <c:formatCode>0.00</c:formatCode>
                <c:ptCount val="6"/>
                <c:pt idx="0">
                  <c:v>2.1</c:v>
                </c:pt>
                <c:pt idx="1">
                  <c:v>0.39</c:v>
                </c:pt>
                <c:pt idx="2">
                  <c:v>2.1</c:v>
                </c:pt>
                <c:pt idx="3">
                  <c:v>0.49</c:v>
                </c:pt>
                <c:pt idx="4">
                  <c:v>3.57</c:v>
                </c:pt>
                <c:pt idx="5">
                  <c:v>0.2</c:v>
                </c:pt>
              </c:numCache>
            </c:numRef>
          </c:xVal>
          <c:yVal>
            <c:numRef>
              <c:f>Envoltória!$F$8:$F$13</c:f>
              <c:numCache>
                <c:formatCode>0.00</c:formatCode>
                <c:ptCount val="6"/>
                <c:pt idx="0">
                  <c:v>0</c:v>
                </c:pt>
                <c:pt idx="1">
                  <c:v>2.4</c:v>
                </c:pt>
                <c:pt idx="2">
                  <c:v>0</c:v>
                </c:pt>
                <c:pt idx="3">
                  <c:v>2.4</c:v>
                </c:pt>
                <c:pt idx="4">
                  <c:v>0</c:v>
                </c:pt>
                <c:pt idx="5">
                  <c:v>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C2-4E6C-BD41-D8A1F38E8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686640"/>
        <c:axId val="746498968"/>
      </c:scatterChart>
      <c:scatterChart>
        <c:scatterStyle val="smoothMarker"/>
        <c:varyColors val="0"/>
        <c:ser>
          <c:idx val="1"/>
          <c:order val="1"/>
          <c:tx>
            <c:v>Resistência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Envoltória!$V$4:$V$54</c:f>
              <c:numCache>
                <c:formatCode>General</c:formatCode>
                <c:ptCount val="51"/>
                <c:pt idx="0">
                  <c:v>0</c:v>
                </c:pt>
                <c:pt idx="1">
                  <c:v>0.35955056179775285</c:v>
                </c:pt>
                <c:pt idx="2">
                  <c:v>0.71910112359550571</c:v>
                </c:pt>
                <c:pt idx="3">
                  <c:v>1.0786516853932586</c:v>
                </c:pt>
                <c:pt idx="4">
                  <c:v>1.4382022471910114</c:v>
                </c:pt>
                <c:pt idx="5">
                  <c:v>1.7977528089887642</c:v>
                </c:pt>
                <c:pt idx="6">
                  <c:v>2.1573033707865172</c:v>
                </c:pt>
                <c:pt idx="7">
                  <c:v>2.51685393258427</c:v>
                </c:pt>
                <c:pt idx="8">
                  <c:v>2.8764044943820228</c:v>
                </c:pt>
                <c:pt idx="9">
                  <c:v>3.2359550561797756</c:v>
                </c:pt>
                <c:pt idx="10">
                  <c:v>3.5955056179775284</c:v>
                </c:pt>
                <c:pt idx="11">
                  <c:v>3.9550561797752812</c:v>
                </c:pt>
                <c:pt idx="12">
                  <c:v>4.3146067415730345</c:v>
                </c:pt>
                <c:pt idx="13">
                  <c:v>4.6741573033707873</c:v>
                </c:pt>
                <c:pt idx="14">
                  <c:v>5.0337078651685401</c:v>
                </c:pt>
                <c:pt idx="15">
                  <c:v>5.3932584269662929</c:v>
                </c:pt>
                <c:pt idx="16">
                  <c:v>5.7528089887640457</c:v>
                </c:pt>
                <c:pt idx="17">
                  <c:v>6.1123595505617985</c:v>
                </c:pt>
                <c:pt idx="18">
                  <c:v>6.4719101123595513</c:v>
                </c:pt>
                <c:pt idx="19">
                  <c:v>6.8314606741573041</c:v>
                </c:pt>
                <c:pt idx="20">
                  <c:v>7.1910112359550569</c:v>
                </c:pt>
                <c:pt idx="21">
                  <c:v>7.5505617977528097</c:v>
                </c:pt>
                <c:pt idx="22">
                  <c:v>7.9101123595505625</c:v>
                </c:pt>
                <c:pt idx="23">
                  <c:v>8.2696629213483153</c:v>
                </c:pt>
                <c:pt idx="24">
                  <c:v>8.629213483146069</c:v>
                </c:pt>
                <c:pt idx="25">
                  <c:v>8.9887640449438226</c:v>
                </c:pt>
                <c:pt idx="26">
                  <c:v>9.3483146067415763</c:v>
                </c:pt>
                <c:pt idx="27">
                  <c:v>9.70786516853933</c:v>
                </c:pt>
                <c:pt idx="28">
                  <c:v>10.067415730337084</c:v>
                </c:pt>
                <c:pt idx="29">
                  <c:v>10.426966292134837</c:v>
                </c:pt>
                <c:pt idx="30">
                  <c:v>10.786516853932591</c:v>
                </c:pt>
                <c:pt idx="31">
                  <c:v>11.146067415730345</c:v>
                </c:pt>
                <c:pt idx="32">
                  <c:v>11.505617977528098</c:v>
                </c:pt>
                <c:pt idx="33">
                  <c:v>11.865168539325852</c:v>
                </c:pt>
                <c:pt idx="34">
                  <c:v>12.224719101123606</c:v>
                </c:pt>
                <c:pt idx="35">
                  <c:v>12.58426966292136</c:v>
                </c:pt>
                <c:pt idx="36">
                  <c:v>12.943820224719113</c:v>
                </c:pt>
                <c:pt idx="37">
                  <c:v>13.303370786516867</c:v>
                </c:pt>
                <c:pt idx="38">
                  <c:v>13.662921348314621</c:v>
                </c:pt>
                <c:pt idx="39">
                  <c:v>14.022471910112374</c:v>
                </c:pt>
                <c:pt idx="40">
                  <c:v>14.382022471910128</c:v>
                </c:pt>
                <c:pt idx="41">
                  <c:v>14.741573033707882</c:v>
                </c:pt>
                <c:pt idx="42">
                  <c:v>15.101123595505635</c:v>
                </c:pt>
                <c:pt idx="43">
                  <c:v>15.460674157303389</c:v>
                </c:pt>
                <c:pt idx="44">
                  <c:v>15.820224719101143</c:v>
                </c:pt>
                <c:pt idx="45">
                  <c:v>16.179775280898895</c:v>
                </c:pt>
                <c:pt idx="46">
                  <c:v>16.539325842696648</c:v>
                </c:pt>
                <c:pt idx="47">
                  <c:v>16.898876404494402</c:v>
                </c:pt>
                <c:pt idx="48">
                  <c:v>17.258426966292156</c:v>
                </c:pt>
                <c:pt idx="49">
                  <c:v>17.617977528089909</c:v>
                </c:pt>
                <c:pt idx="50">
                  <c:v>17.977528089887663</c:v>
                </c:pt>
              </c:numCache>
            </c:numRef>
          </c:xVal>
          <c:yVal>
            <c:numRef>
              <c:f>Envoltória!$W$4:$W$54</c:f>
              <c:numCache>
                <c:formatCode>General</c:formatCode>
                <c:ptCount val="51"/>
                <c:pt idx="0">
                  <c:v>13.48314606741573</c:v>
                </c:pt>
                <c:pt idx="1">
                  <c:v>13.380302282171103</c:v>
                </c:pt>
                <c:pt idx="2">
                  <c:v>13.246636861307488</c:v>
                </c:pt>
                <c:pt idx="3">
                  <c:v>13.097984021988481</c:v>
                </c:pt>
                <c:pt idx="4">
                  <c:v>12.938524178180852</c:v>
                </c:pt>
                <c:pt idx="5">
                  <c:v>12.770382914190533</c:v>
                </c:pt>
                <c:pt idx="6">
                  <c:v>12.594865251233697</c:v>
                </c:pt>
                <c:pt idx="7">
                  <c:v>12.41285690512083</c:v>
                </c:pt>
                <c:pt idx="8">
                  <c:v>12.224997779516064</c:v>
                </c:pt>
                <c:pt idx="9">
                  <c:v>12.03177011505942</c:v>
                </c:pt>
                <c:pt idx="10">
                  <c:v>11.833548299258934</c:v>
                </c:pt>
                <c:pt idx="11">
                  <c:v>11.630629229363189</c:v>
                </c:pt>
                <c:pt idx="12">
                  <c:v>11.423251902083113</c:v>
                </c:pt>
                <c:pt idx="13">
                  <c:v>11.211610618719902</c:v>
                </c:pt>
                <c:pt idx="14">
                  <c:v>10.995864197630576</c:v>
                </c:pt>
                <c:pt idx="15">
                  <c:v>10.776142576837664</c:v>
                </c:pt>
                <c:pt idx="16">
                  <c:v>10.552551645223456</c:v>
                </c:pt>
                <c:pt idx="17">
                  <c:v>10.325176830899423</c:v>
                </c:pt>
                <c:pt idx="18">
                  <c:v>10.094085790787828</c:v>
                </c:pt>
                <c:pt idx="19">
                  <c:v>9.859330431105116</c:v>
                </c:pt>
                <c:pt idx="20">
                  <c:v>9.6209484150246283</c:v>
                </c:pt>
                <c:pt idx="21">
                  <c:v>9.3789642650530496</c:v>
                </c:pt>
                <c:pt idx="22">
                  <c:v>9.1333901341675681</c:v>
                </c:pt>
                <c:pt idx="23">
                  <c:v>8.884226295872617</c:v>
                </c:pt>
                <c:pt idx="24">
                  <c:v>8.6314613855107396</c:v>
                </c:pt>
                <c:pt idx="25">
                  <c:v>8.3750724110904553</c:v>
                </c:pt>
                <c:pt idx="26">
                  <c:v>8.115024539969248</c:v>
                </c:pt>
                <c:pt idx="27">
                  <c:v>7.8512706567374106</c:v>
                </c:pt>
                <c:pt idx="28">
                  <c:v>7.5837506765547333</c:v>
                </c:pt>
                <c:pt idx="29">
                  <c:v>7.3123905859810359</c:v>
                </c:pt>
                <c:pt idx="30">
                  <c:v>7.0371011688649512</c:v>
                </c:pt>
                <c:pt idx="31">
                  <c:v>6.75777635665548</c:v>
                </c:pt>
                <c:pt idx="32">
                  <c:v>6.4742911185696332</c:v>
                </c:pt>
                <c:pt idx="33">
                  <c:v>6.1864987744652149</c:v>
                </c:pt>
                <c:pt idx="34">
                  <c:v>5.894227567606082</c:v>
                </c:pt>
                <c:pt idx="35">
                  <c:v>5.5972762688502646</c:v>
                </c:pt>
                <c:pt idx="36">
                  <c:v>5.2954084870011906</c:v>
                </c:pt>
                <c:pt idx="37">
                  <c:v>4.9883452136644664</c:v>
                </c:pt>
                <c:pt idx="38">
                  <c:v>4.6757549033103309</c:v>
                </c:pt>
                <c:pt idx="39">
                  <c:v>4.3572400242276057</c:v>
                </c:pt>
                <c:pt idx="40">
                  <c:v>4.0323184100166989</c:v>
                </c:pt>
                <c:pt idx="41">
                  <c:v>3.7003966937428658</c:v>
                </c:pt>
                <c:pt idx="42">
                  <c:v>3.3607312086483643</c:v>
                </c:pt>
                <c:pt idx="43">
                  <c:v>3.0123680997286146</c:v>
                </c:pt>
                <c:pt idx="44">
                  <c:v>2.6540469140754652</c:v>
                </c:pt>
                <c:pt idx="45">
                  <c:v>2.2840351943900727</c:v>
                </c:pt>
                <c:pt idx="46">
                  <c:v>1.899819653891702</c:v>
                </c:pt>
                <c:pt idx="47">
                  <c:v>1.497457050583074</c:v>
                </c:pt>
                <c:pt idx="48">
                  <c:v>1.0699396036244881</c:v>
                </c:pt>
                <c:pt idx="49">
                  <c:v>0.60150441845689184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C2-4E6C-BD41-D8A1F38E8B2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Envoltória!$Y$6</c:f>
              <c:numCache>
                <c:formatCode>0.00</c:formatCode>
                <c:ptCount val="1"/>
                <c:pt idx="0">
                  <c:v>17.977528089887642</c:v>
                </c:pt>
              </c:numCache>
            </c:numRef>
          </c:xVal>
          <c:yVal>
            <c:numRef>
              <c:f>Envoltória!$Z$6</c:f>
              <c:numCache>
                <c:formatCode>0.00</c:formatCode>
                <c:ptCount val="1"/>
                <c:pt idx="0">
                  <c:v>17.977528089887642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C2-4E6C-BD41-D8A1F38E8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686640"/>
        <c:axId val="746498968"/>
      </c:scatterChart>
      <c:valAx>
        <c:axId val="509686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6498968"/>
        <c:crosses val="autoZero"/>
        <c:crossBetween val="midCat"/>
      </c:valAx>
      <c:valAx>
        <c:axId val="746498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09686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19402051703805695"/>
          <c:y val="1.0031625299090305E-2"/>
          <c:w val="0.65803687537446764"/>
          <c:h val="7.88886048388718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1.png"/><Relationship Id="rId7" Type="http://schemas.openxmlformats.org/officeDocument/2006/relationships/image" Target="../media/image3.png"/><Relationship Id="rId2" Type="http://schemas.openxmlformats.org/officeDocument/2006/relationships/hyperlink" Target="https://www.instagram.com/professordeestruturas/" TargetMode="External"/><Relationship Id="rId1" Type="http://schemas.openxmlformats.org/officeDocument/2006/relationships/chart" Target="../charts/chart1.xml"/><Relationship Id="rId6" Type="http://schemas.openxmlformats.org/officeDocument/2006/relationships/hyperlink" Target="https://linktr.ee/professordeestruturas" TargetMode="External"/><Relationship Id="rId5" Type="http://schemas.openxmlformats.org/officeDocument/2006/relationships/image" Target="../media/image2.png"/><Relationship Id="rId4" Type="http://schemas.openxmlformats.org/officeDocument/2006/relationships/hyperlink" Target="mailto:matheuscarini@gmail.com" TargetMode="External"/><Relationship Id="rId9" Type="http://schemas.openxmlformats.org/officeDocument/2006/relationships/hyperlink" Target="https://professordeestruturas.com.br/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1.png"/><Relationship Id="rId7" Type="http://schemas.openxmlformats.org/officeDocument/2006/relationships/image" Target="../media/image3.png"/><Relationship Id="rId2" Type="http://schemas.openxmlformats.org/officeDocument/2006/relationships/hyperlink" Target="https://www.instagram.com/professordeestruturas/" TargetMode="External"/><Relationship Id="rId1" Type="http://schemas.openxmlformats.org/officeDocument/2006/relationships/chart" Target="../charts/chart2.xml"/><Relationship Id="rId6" Type="http://schemas.openxmlformats.org/officeDocument/2006/relationships/hyperlink" Target="https://linktr.ee/professordeestruturas" TargetMode="External"/><Relationship Id="rId5" Type="http://schemas.openxmlformats.org/officeDocument/2006/relationships/image" Target="../media/image2.png"/><Relationship Id="rId4" Type="http://schemas.openxmlformats.org/officeDocument/2006/relationships/hyperlink" Target="mailto:matheuscarini@gmail.com" TargetMode="External"/><Relationship Id="rId9" Type="http://schemas.openxmlformats.org/officeDocument/2006/relationships/hyperlink" Target="https://professordeestruturas.com.br/" TargetMode="Externa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1.png"/><Relationship Id="rId7" Type="http://schemas.openxmlformats.org/officeDocument/2006/relationships/image" Target="../media/image3.png"/><Relationship Id="rId2" Type="http://schemas.openxmlformats.org/officeDocument/2006/relationships/hyperlink" Target="https://www.instagram.com/professordeestruturas/" TargetMode="External"/><Relationship Id="rId1" Type="http://schemas.openxmlformats.org/officeDocument/2006/relationships/chart" Target="../charts/chart3.xml"/><Relationship Id="rId6" Type="http://schemas.openxmlformats.org/officeDocument/2006/relationships/hyperlink" Target="https://linktr.ee/professordeestruturas" TargetMode="External"/><Relationship Id="rId5" Type="http://schemas.openxmlformats.org/officeDocument/2006/relationships/image" Target="../media/image2.png"/><Relationship Id="rId4" Type="http://schemas.openxmlformats.org/officeDocument/2006/relationships/hyperlink" Target="mailto:matheuscarini@gmail.com" TargetMode="External"/><Relationship Id="rId9" Type="http://schemas.openxmlformats.org/officeDocument/2006/relationships/hyperlink" Target="https://professordeestruturas.com.br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4763</xdr:colOff>
      <xdr:row>15</xdr:row>
      <xdr:rowOff>33338</xdr:rowOff>
    </xdr:from>
    <xdr:to>
      <xdr:col>19</xdr:col>
      <xdr:colOff>214309</xdr:colOff>
      <xdr:row>27</xdr:row>
      <xdr:rowOff>9525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24</xdr:row>
          <xdr:rowOff>123825</xdr:rowOff>
        </xdr:from>
        <xdr:to>
          <xdr:col>4</xdr:col>
          <xdr:colOff>295275</xdr:colOff>
          <xdr:row>27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Dimensionamento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495300</xdr:colOff>
          <xdr:row>24</xdr:row>
          <xdr:rowOff>133350</xdr:rowOff>
        </xdr:from>
        <xdr:to>
          <xdr:col>6</xdr:col>
          <xdr:colOff>276225</xdr:colOff>
          <xdr:row>27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Verificação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101311</xdr:colOff>
      <xdr:row>28</xdr:row>
      <xdr:rowOff>108071</xdr:rowOff>
    </xdr:from>
    <xdr:to>
      <xdr:col>21</xdr:col>
      <xdr:colOff>301336</xdr:colOff>
      <xdr:row>30</xdr:row>
      <xdr:rowOff>12821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9597736" y="5480171"/>
          <a:ext cx="100012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20231020</a:t>
          </a:r>
        </a:p>
      </xdr:txBody>
    </xdr:sp>
    <xdr:clientData/>
  </xdr:twoCellAnchor>
  <xdr:twoCellAnchor>
    <xdr:from>
      <xdr:col>14</xdr:col>
      <xdr:colOff>247650</xdr:colOff>
      <xdr:row>28</xdr:row>
      <xdr:rowOff>76200</xdr:rowOff>
    </xdr:from>
    <xdr:to>
      <xdr:col>16</xdr:col>
      <xdr:colOff>164493</xdr:colOff>
      <xdr:row>29</xdr:row>
      <xdr:rowOff>187176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7429500" y="5448300"/>
          <a:ext cx="1050318" cy="301476"/>
          <a:chOff x="7894308" y="3609975"/>
          <a:chExt cx="1050318" cy="301476"/>
        </a:xfrm>
      </xdr:grpSpPr>
      <xdr:pic>
        <xdr:nvPicPr>
          <xdr:cNvPr id="3" name="Imagem 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894308" y="3670392"/>
            <a:ext cx="204404" cy="203388"/>
          </a:xfrm>
          <a:prstGeom prst="rect">
            <a:avLst/>
          </a:prstGeom>
        </xdr:spPr>
      </xdr:pic>
      <xdr:pic>
        <xdr:nvPicPr>
          <xdr:cNvPr id="4" name="Imagem 3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41014" y="3609975"/>
            <a:ext cx="303612" cy="301476"/>
          </a:xfrm>
          <a:prstGeom prst="rect">
            <a:avLst/>
          </a:prstGeom>
        </xdr:spPr>
      </xdr:pic>
      <xdr:pic>
        <xdr:nvPicPr>
          <xdr:cNvPr id="5" name="Imagem 4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52348" y="3672478"/>
            <a:ext cx="228600" cy="19921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38100</xdr:colOff>
      <xdr:row>28</xdr:row>
      <xdr:rowOff>85725</xdr:rowOff>
    </xdr:from>
    <xdr:to>
      <xdr:col>21</xdr:col>
      <xdr:colOff>310861</xdr:colOff>
      <xdr:row>30</xdr:row>
      <xdr:rowOff>31871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D8491D1B-0C5B-4C8F-9BBB-2BA3BD04F803}"/>
            </a:ext>
          </a:extLst>
        </xdr:cNvPr>
        <xdr:cNvGrpSpPr/>
      </xdr:nvGrpSpPr>
      <xdr:grpSpPr>
        <a:xfrm>
          <a:off x="342900" y="5457825"/>
          <a:ext cx="10264486" cy="327146"/>
          <a:chOff x="323850" y="6010275"/>
          <a:chExt cx="10264486" cy="327146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F2E43724-65F3-A04C-B9EA-7C1CC243A6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3850" y="6029324"/>
            <a:ext cx="10077450" cy="299173"/>
          </a:xfrm>
          <a:prstGeom prst="rect">
            <a:avLst/>
          </a:prstGeom>
        </xdr:spPr>
      </xdr:pic>
      <xdr:grpSp>
        <xdr:nvGrpSpPr>
          <xdr:cNvPr id="9" name="Agrupar 8">
            <a:extLst>
              <a:ext uri="{FF2B5EF4-FFF2-40B4-BE49-F238E27FC236}">
                <a16:creationId xmlns:a16="http://schemas.microsoft.com/office/drawing/2014/main" id="{BA1238AA-B52A-2192-6004-317921AE87D7}"/>
              </a:ext>
            </a:extLst>
          </xdr:cNvPr>
          <xdr:cNvGrpSpPr/>
        </xdr:nvGrpSpPr>
        <xdr:grpSpPr>
          <a:xfrm>
            <a:off x="7286625" y="6010275"/>
            <a:ext cx="1050318" cy="301476"/>
            <a:chOff x="7286625" y="6010275"/>
            <a:chExt cx="1050318" cy="301476"/>
          </a:xfrm>
        </xdr:grpSpPr>
        <xdr:pic>
          <xdr:nvPicPr>
            <xdr:cNvPr id="13" name="Imagem 12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1E7CC57C-CD62-4B77-BE54-F8DB2E345D4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86625" y="6070692"/>
              <a:ext cx="204404" cy="203388"/>
            </a:xfrm>
            <a:prstGeom prst="rect">
              <a:avLst/>
            </a:prstGeom>
          </xdr:spPr>
        </xdr:pic>
        <xdr:pic>
          <xdr:nvPicPr>
            <xdr:cNvPr id="14" name="Imagem 13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F4DC80FE-89D2-43A6-197D-1DB8E4CD650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033331" y="6010275"/>
              <a:ext cx="303612" cy="301476"/>
            </a:xfrm>
            <a:prstGeom prst="rect">
              <a:avLst/>
            </a:prstGeom>
          </xdr:spPr>
        </xdr:pic>
        <xdr:pic>
          <xdr:nvPicPr>
            <xdr:cNvPr id="15" name="Imagem 14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F629A360-C005-25EB-7E2B-E67AB37BC6C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644665" y="6072778"/>
              <a:ext cx="228600" cy="199215"/>
            </a:xfrm>
            <a:prstGeom prst="rect">
              <a:avLst/>
            </a:prstGeom>
          </xdr:spPr>
        </xdr:pic>
      </xdr:grp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C8775798-1801-8184-7C9E-EB3D7603226E}"/>
              </a:ext>
            </a:extLst>
          </xdr:cNvPr>
          <xdr:cNvSpPr txBox="1"/>
        </xdr:nvSpPr>
        <xdr:spPr>
          <a:xfrm>
            <a:off x="9588211" y="6051671"/>
            <a:ext cx="10001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0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20231020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24365</xdr:colOff>
      <xdr:row>2</xdr:row>
      <xdr:rowOff>64214</xdr:rowOff>
    </xdr:from>
    <xdr:to>
      <xdr:col>13</xdr:col>
      <xdr:colOff>325987</xdr:colOff>
      <xdr:row>19</xdr:row>
      <xdr:rowOff>10205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26</xdr:row>
          <xdr:rowOff>180975</xdr:rowOff>
        </xdr:from>
        <xdr:to>
          <xdr:col>5</xdr:col>
          <xdr:colOff>142875</xdr:colOff>
          <xdr:row>29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Verificação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227365</xdr:colOff>
      <xdr:row>24</xdr:row>
      <xdr:rowOff>89021</xdr:rowOff>
    </xdr:from>
    <xdr:to>
      <xdr:col>29</xdr:col>
      <xdr:colOff>215611</xdr:colOff>
      <xdr:row>25</xdr:row>
      <xdr:rowOff>184271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2906198" y="4692771"/>
          <a:ext cx="1004246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20231012</a:t>
          </a:r>
        </a:p>
      </xdr:txBody>
    </xdr:sp>
    <xdr:clientData/>
  </xdr:twoCellAnchor>
  <xdr:twoCellAnchor>
    <xdr:from>
      <xdr:col>19</xdr:col>
      <xdr:colOff>127000</xdr:colOff>
      <xdr:row>24</xdr:row>
      <xdr:rowOff>52916</xdr:rowOff>
    </xdr:from>
    <xdr:to>
      <xdr:col>21</xdr:col>
      <xdr:colOff>457652</xdr:colOff>
      <xdr:row>25</xdr:row>
      <xdr:rowOff>163892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10556875" y="4653491"/>
          <a:ext cx="1045027" cy="301476"/>
          <a:chOff x="7894308" y="3609975"/>
          <a:chExt cx="1050318" cy="301476"/>
        </a:xfrm>
      </xdr:grpSpPr>
      <xdr:pic>
        <xdr:nvPicPr>
          <xdr:cNvPr id="4" name="Imagem 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894308" y="3670392"/>
            <a:ext cx="204404" cy="203388"/>
          </a:xfrm>
          <a:prstGeom prst="rect">
            <a:avLst/>
          </a:prstGeom>
        </xdr:spPr>
      </xdr:pic>
      <xdr:pic>
        <xdr:nvPicPr>
          <xdr:cNvPr id="5" name="Imagem 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41014" y="3609975"/>
            <a:ext cx="303612" cy="301476"/>
          </a:xfrm>
          <a:prstGeom prst="rect">
            <a:avLst/>
          </a:prstGeom>
        </xdr:spPr>
      </xdr:pic>
      <xdr:pic>
        <xdr:nvPicPr>
          <xdr:cNvPr id="13" name="Imagem 12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52348" y="3672478"/>
            <a:ext cx="228600" cy="199215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243416</xdr:colOff>
      <xdr:row>24</xdr:row>
      <xdr:rowOff>31750</xdr:rowOff>
    </xdr:from>
    <xdr:to>
      <xdr:col>29</xdr:col>
      <xdr:colOff>178569</xdr:colOff>
      <xdr:row>25</xdr:row>
      <xdr:rowOff>168396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4CCD6C84-BD0C-4144-B6C4-811FBA35354A}"/>
            </a:ext>
          </a:extLst>
        </xdr:cNvPr>
        <xdr:cNvGrpSpPr/>
      </xdr:nvGrpSpPr>
      <xdr:grpSpPr>
        <a:xfrm>
          <a:off x="3596216" y="4632325"/>
          <a:ext cx="10222153" cy="327146"/>
          <a:chOff x="323850" y="6010275"/>
          <a:chExt cx="10264486" cy="327146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B05DEB9A-1CFC-C506-58F8-77DB81DC69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3850" y="6029324"/>
            <a:ext cx="10077450" cy="299173"/>
          </a:xfrm>
          <a:prstGeom prst="rect">
            <a:avLst/>
          </a:prstGeom>
        </xdr:spPr>
      </xdr:pic>
      <xdr:grpSp>
        <xdr:nvGrpSpPr>
          <xdr:cNvPr id="10" name="Agrupar 9">
            <a:extLst>
              <a:ext uri="{FF2B5EF4-FFF2-40B4-BE49-F238E27FC236}">
                <a16:creationId xmlns:a16="http://schemas.microsoft.com/office/drawing/2014/main" id="{44163380-C45C-5A40-39B9-BFBC385E9523}"/>
              </a:ext>
            </a:extLst>
          </xdr:cNvPr>
          <xdr:cNvGrpSpPr/>
        </xdr:nvGrpSpPr>
        <xdr:grpSpPr>
          <a:xfrm>
            <a:off x="7286625" y="6010275"/>
            <a:ext cx="1050318" cy="301476"/>
            <a:chOff x="7286625" y="6010275"/>
            <a:chExt cx="1050318" cy="301476"/>
          </a:xfrm>
        </xdr:grpSpPr>
        <xdr:pic>
          <xdr:nvPicPr>
            <xdr:cNvPr id="12" name="Imagem 11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ECB39D71-1E3C-FEA1-CB37-61A21B70FFA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86625" y="6070692"/>
              <a:ext cx="204404" cy="203388"/>
            </a:xfrm>
            <a:prstGeom prst="rect">
              <a:avLst/>
            </a:prstGeom>
          </xdr:spPr>
        </xdr:pic>
        <xdr:pic>
          <xdr:nvPicPr>
            <xdr:cNvPr id="14" name="Imagem 13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C6722506-2081-85C8-1851-5A57B8C6AEF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033331" y="6010275"/>
              <a:ext cx="303612" cy="301476"/>
            </a:xfrm>
            <a:prstGeom prst="rect">
              <a:avLst/>
            </a:prstGeom>
          </xdr:spPr>
        </xdr:pic>
        <xdr:pic>
          <xdr:nvPicPr>
            <xdr:cNvPr id="15" name="Imagem 14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37B02DDA-12F9-08FE-2B28-EC547FCE5AB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644665" y="6072778"/>
              <a:ext cx="228600" cy="199215"/>
            </a:xfrm>
            <a:prstGeom prst="rect">
              <a:avLst/>
            </a:prstGeom>
          </xdr:spPr>
        </xdr:pic>
      </xdr:grp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356B2792-7BC2-C4A0-E6D3-11EFE9567EF5}"/>
              </a:ext>
            </a:extLst>
          </xdr:cNvPr>
          <xdr:cNvSpPr txBox="1"/>
        </xdr:nvSpPr>
        <xdr:spPr>
          <a:xfrm>
            <a:off x="9588211" y="6051671"/>
            <a:ext cx="10001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0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20231012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326230</xdr:colOff>
      <xdr:row>1</xdr:row>
      <xdr:rowOff>104775</xdr:rowOff>
    </xdr:from>
    <xdr:to>
      <xdr:col>16</xdr:col>
      <xdr:colOff>714374</xdr:colOff>
      <xdr:row>20</xdr:row>
      <xdr:rowOff>147637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329911</xdr:colOff>
      <xdr:row>22</xdr:row>
      <xdr:rowOff>50921</xdr:rowOff>
    </xdr:from>
    <xdr:to>
      <xdr:col>27</xdr:col>
      <xdr:colOff>148936</xdr:colOff>
      <xdr:row>23</xdr:row>
      <xdr:rowOff>146171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9540586" y="4280021"/>
          <a:ext cx="100012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20190127</a:t>
          </a:r>
        </a:p>
      </xdr:txBody>
    </xdr:sp>
    <xdr:clientData/>
  </xdr:twoCellAnchor>
  <xdr:twoCellAnchor>
    <xdr:from>
      <xdr:col>15</xdr:col>
      <xdr:colOff>47625</xdr:colOff>
      <xdr:row>22</xdr:row>
      <xdr:rowOff>19050</xdr:rowOff>
    </xdr:from>
    <xdr:to>
      <xdr:col>16</xdr:col>
      <xdr:colOff>764568</xdr:colOff>
      <xdr:row>23</xdr:row>
      <xdr:rowOff>130026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7324725" y="4248150"/>
          <a:ext cx="1050318" cy="301476"/>
          <a:chOff x="7894308" y="3609975"/>
          <a:chExt cx="1050318" cy="301476"/>
        </a:xfrm>
      </xdr:grpSpPr>
      <xdr:pic>
        <xdr:nvPicPr>
          <xdr:cNvPr id="4" name="Imagem 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894308" y="3670392"/>
            <a:ext cx="204404" cy="203388"/>
          </a:xfrm>
          <a:prstGeom prst="rect">
            <a:avLst/>
          </a:prstGeom>
        </xdr:spPr>
      </xdr:pic>
      <xdr:pic>
        <xdr:nvPicPr>
          <xdr:cNvPr id="5" name="Imagem 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41014" y="3609975"/>
            <a:ext cx="303612" cy="301476"/>
          </a:xfrm>
          <a:prstGeom prst="rect">
            <a:avLst/>
          </a:prstGeom>
        </xdr:spPr>
      </xdr:pic>
      <xdr:pic>
        <xdr:nvPicPr>
          <xdr:cNvPr id="13" name="Imagem 12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52348" y="3672478"/>
            <a:ext cx="228600" cy="19921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266700</xdr:colOff>
      <xdr:row>22</xdr:row>
      <xdr:rowOff>19050</xdr:rowOff>
    </xdr:from>
    <xdr:to>
      <xdr:col>27</xdr:col>
      <xdr:colOff>139411</xdr:colOff>
      <xdr:row>23</xdr:row>
      <xdr:rowOff>155696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80F630AE-2F38-4FF8-AC14-9591CD3A7807}"/>
            </a:ext>
          </a:extLst>
        </xdr:cNvPr>
        <xdr:cNvGrpSpPr/>
      </xdr:nvGrpSpPr>
      <xdr:grpSpPr>
        <a:xfrm>
          <a:off x="266700" y="4248150"/>
          <a:ext cx="10264486" cy="327146"/>
          <a:chOff x="323850" y="6010275"/>
          <a:chExt cx="10264486" cy="327146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C56DFD80-D68B-F762-CE31-C0625FA14E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3850" y="6029324"/>
            <a:ext cx="10077450" cy="299173"/>
          </a:xfrm>
          <a:prstGeom prst="rect">
            <a:avLst/>
          </a:prstGeom>
        </xdr:spPr>
      </xdr:pic>
      <xdr:grpSp>
        <xdr:nvGrpSpPr>
          <xdr:cNvPr id="10" name="Agrupar 9">
            <a:extLst>
              <a:ext uri="{FF2B5EF4-FFF2-40B4-BE49-F238E27FC236}">
                <a16:creationId xmlns:a16="http://schemas.microsoft.com/office/drawing/2014/main" id="{79E0A1B3-FAB0-47A3-8132-48446AB7E3C7}"/>
              </a:ext>
            </a:extLst>
          </xdr:cNvPr>
          <xdr:cNvGrpSpPr/>
        </xdr:nvGrpSpPr>
        <xdr:grpSpPr>
          <a:xfrm>
            <a:off x="7286625" y="6010275"/>
            <a:ext cx="1050318" cy="301476"/>
            <a:chOff x="7286625" y="6010275"/>
            <a:chExt cx="1050318" cy="301476"/>
          </a:xfrm>
        </xdr:grpSpPr>
        <xdr:pic>
          <xdr:nvPicPr>
            <xdr:cNvPr id="12" name="Imagem 11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6F4C4BCB-AEF8-FB00-8EBD-F365C8A5D60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86625" y="6070692"/>
              <a:ext cx="204404" cy="203388"/>
            </a:xfrm>
            <a:prstGeom prst="rect">
              <a:avLst/>
            </a:prstGeom>
          </xdr:spPr>
        </xdr:pic>
        <xdr:pic>
          <xdr:nvPicPr>
            <xdr:cNvPr id="14" name="Imagem 13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A9349CDC-E7E1-16BE-23FC-F49C94068AA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033331" y="6010275"/>
              <a:ext cx="303612" cy="301476"/>
            </a:xfrm>
            <a:prstGeom prst="rect">
              <a:avLst/>
            </a:prstGeom>
          </xdr:spPr>
        </xdr:pic>
        <xdr:pic>
          <xdr:nvPicPr>
            <xdr:cNvPr id="15" name="Imagem 14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ECC901A7-73CA-FDA8-DC07-BB18479B468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644665" y="6072778"/>
              <a:ext cx="228600" cy="199215"/>
            </a:xfrm>
            <a:prstGeom prst="rect">
              <a:avLst/>
            </a:prstGeom>
          </xdr:spPr>
        </xdr:pic>
      </xdr:grp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BA0D19EC-2243-EEAD-0106-7D1E987B367E}"/>
              </a:ext>
            </a:extLst>
          </xdr:cNvPr>
          <xdr:cNvSpPr txBox="1"/>
        </xdr:nvSpPr>
        <xdr:spPr>
          <a:xfrm>
            <a:off x="9588211" y="6051671"/>
            <a:ext cx="10001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0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20190127</a:t>
            </a:r>
          </a:p>
        </xdr:txBody>
      </xdr:sp>
    </xdr:grp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0.83594</cdr:x>
      <cdr:y>0.8449</cdr:y>
    </cdr:from>
    <cdr:to>
      <cdr:x>0.99624</cdr:x>
      <cdr:y>0.98367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FB3842C8-312D-4344-88D3-0543DEE05ED7}"/>
            </a:ext>
          </a:extLst>
        </cdr:cNvPr>
        <cdr:cNvSpPr txBox="1"/>
      </cdr:nvSpPr>
      <cdr:spPr>
        <a:xfrm xmlns:a="http://schemas.openxmlformats.org/drawingml/2006/main">
          <a:off x="3178968" y="2957511"/>
          <a:ext cx="609600" cy="485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100" b="1"/>
            <a:t>ex (cm)</a:t>
          </a:r>
        </a:p>
      </cdr:txBody>
    </cdr:sp>
  </cdr:relSizeAnchor>
  <cdr:relSizeAnchor xmlns:cdr="http://schemas.openxmlformats.org/drawingml/2006/chartDrawing">
    <cdr:from>
      <cdr:x>0.02192</cdr:x>
      <cdr:y>0.00952</cdr:y>
    </cdr:from>
    <cdr:to>
      <cdr:x>0.20476</cdr:x>
      <cdr:y>0.1483</cdr:y>
    </cdr:to>
    <cdr:sp macro="" textlink="">
      <cdr:nvSpPr>
        <cdr:cNvPr id="3" name="CaixaDeTexto 2">
          <a:extLst xmlns:a="http://schemas.openxmlformats.org/drawingml/2006/main">
            <a:ext uri="{FF2B5EF4-FFF2-40B4-BE49-F238E27FC236}">
              <a16:creationId xmlns:a16="http://schemas.microsoft.com/office/drawing/2014/main" id="{9EED7008-EF60-4AF0-8A96-06F562986340}"/>
            </a:ext>
          </a:extLst>
        </cdr:cNvPr>
        <cdr:cNvSpPr txBox="1"/>
      </cdr:nvSpPr>
      <cdr:spPr>
        <a:xfrm xmlns:a="http://schemas.openxmlformats.org/drawingml/2006/main">
          <a:off x="83343" y="33336"/>
          <a:ext cx="695326" cy="485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100" b="1"/>
            <a:t>ey (cm)</a:t>
          </a:r>
        </a:p>
      </cdr:txBody>
    </cdr:sp>
  </cdr:relSizeAnchor>
</c:userShape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B59D2-6B86-4A3E-AA2A-DAA2C7466364}">
  <sheetPr codeName="Planilha1"/>
  <dimension ref="B1:AH38"/>
  <sheetViews>
    <sheetView zoomScaleNormal="100" workbookViewId="0">
      <selection activeCell="S15" sqref="S15"/>
    </sheetView>
  </sheetViews>
  <sheetFormatPr defaultColWidth="9.140625" defaultRowHeight="15" x14ac:dyDescent="0.25"/>
  <cols>
    <col min="1" max="2" width="4.5703125" style="23" customWidth="1"/>
    <col min="3" max="3" width="9.140625" style="23"/>
    <col min="4" max="4" width="4.5703125" style="23" customWidth="1"/>
    <col min="5" max="5" width="13.7109375" style="23" customWidth="1"/>
    <col min="6" max="6" width="9.140625" style="23"/>
    <col min="7" max="8" width="4.5703125" style="23" customWidth="1"/>
    <col min="9" max="9" width="7.140625" style="27" bestFit="1" customWidth="1"/>
    <col min="10" max="10" width="13.5703125" style="23" customWidth="1"/>
    <col min="11" max="11" width="5.7109375" style="23" customWidth="1"/>
    <col min="12" max="12" width="7.140625" style="23" customWidth="1"/>
    <col min="13" max="13" width="13.5703125" style="23" customWidth="1"/>
    <col min="14" max="14" width="5.7109375" style="23" customWidth="1"/>
    <col min="15" max="15" width="5" style="23" customWidth="1"/>
    <col min="16" max="16" width="12" style="23" customWidth="1"/>
    <col min="17" max="17" width="5.7109375" style="23" customWidth="1"/>
    <col min="18" max="18" width="6.28515625" style="23" customWidth="1"/>
    <col min="19" max="19" width="5.7109375" style="23" customWidth="1"/>
    <col min="20" max="22" width="6" style="23" customWidth="1"/>
    <col min="23" max="23" width="5.7109375" style="23" customWidth="1"/>
    <col min="24" max="25" width="6.85546875" style="23" customWidth="1"/>
    <col min="26" max="28" width="6" style="23" customWidth="1"/>
    <col min="29" max="29" width="9.140625" style="23"/>
    <col min="30" max="31" width="0" style="23" hidden="1" customWidth="1"/>
    <col min="32" max="16384" width="9.140625" style="23"/>
  </cols>
  <sheetData>
    <row r="1" spans="2:34" ht="15.75" thickBot="1" x14ac:dyDescent="0.3"/>
    <row r="2" spans="2:34" ht="15.75" thickBot="1" x14ac:dyDescent="0.3">
      <c r="B2" s="1"/>
      <c r="C2" s="2"/>
      <c r="D2" s="2"/>
      <c r="E2" s="2"/>
      <c r="F2" s="2"/>
      <c r="G2" s="3"/>
      <c r="T2" s="47"/>
      <c r="U2" s="47"/>
    </row>
    <row r="3" spans="2:34" x14ac:dyDescent="0.25">
      <c r="B3" s="4"/>
      <c r="C3" s="125" t="s">
        <v>0</v>
      </c>
      <c r="D3" s="126"/>
      <c r="E3" s="126"/>
      <c r="F3" s="127"/>
      <c r="G3" s="5"/>
      <c r="I3" s="107" t="s">
        <v>16</v>
      </c>
      <c r="J3" s="108"/>
      <c r="L3" s="117" t="s">
        <v>2</v>
      </c>
      <c r="M3" s="118"/>
      <c r="N3" s="24"/>
      <c r="O3" s="117" t="s">
        <v>37</v>
      </c>
      <c r="P3" s="118"/>
      <c r="Q3" s="29"/>
      <c r="R3" s="110" t="s">
        <v>53</v>
      </c>
      <c r="S3" s="110"/>
      <c r="T3" s="110"/>
      <c r="U3" s="110"/>
      <c r="V3" s="110"/>
      <c r="W3" s="24"/>
      <c r="X3" s="110" t="str">
        <f>IF(E17=3,"As3 (cm²)",IF(E17=4,"As3 = As4 (cm²)",""))</f>
        <v/>
      </c>
      <c r="Y3" s="110"/>
      <c r="AD3" s="27" t="s">
        <v>12</v>
      </c>
      <c r="AE3" s="27" t="s">
        <v>55</v>
      </c>
      <c r="AG3" s="27"/>
      <c r="AH3" s="27"/>
    </row>
    <row r="4" spans="2:34" ht="15.75" thickBot="1" x14ac:dyDescent="0.3">
      <c r="B4" s="4"/>
      <c r="C4" s="128"/>
      <c r="D4" s="129"/>
      <c r="E4" s="129"/>
      <c r="F4" s="130"/>
      <c r="G4" s="5"/>
      <c r="I4" s="30" t="s">
        <v>11</v>
      </c>
      <c r="J4" s="58">
        <f>E21/1.4</f>
        <v>6.4285714285714288</v>
      </c>
      <c r="L4" s="59" t="s">
        <v>4</v>
      </c>
      <c r="M4" s="60">
        <f>IF(J15&lt;0,10/1000,IF(J15&lt;J16,10/1000,IF(J15&lt;J17,3.5/1000*(E9-J15)/J15,IF(J15&lt;E9,3.5/1000*(E9-J15)/J15,IF(J15&lt;E8,-3.5/1000*(J15-E9)/J15,-2/1000*(J15-E9)/(J15-3/7*E8))))))*1000</f>
        <v>-0.90349149541660778</v>
      </c>
      <c r="N4" s="61"/>
      <c r="O4" s="59" t="s">
        <v>38</v>
      </c>
      <c r="P4" s="62">
        <f>IF(J15&lt;0,0,IF(J15&lt;E8/J10,-J10*J11*J12*J4*E7*J15,-J11*J12*J4*E7*E8))</f>
        <v>-3099.430291810163</v>
      </c>
      <c r="Q4" s="40"/>
      <c r="R4" s="109" t="s">
        <v>51</v>
      </c>
      <c r="S4" s="119" t="s">
        <v>52</v>
      </c>
      <c r="T4" s="119"/>
      <c r="U4" s="119"/>
      <c r="V4" s="119"/>
      <c r="W4" s="63"/>
      <c r="X4" s="109" t="s">
        <v>51</v>
      </c>
      <c r="Y4" s="64" t="s">
        <v>54</v>
      </c>
      <c r="AD4" s="23">
        <v>0</v>
      </c>
      <c r="AE4" s="23">
        <v>0</v>
      </c>
    </row>
    <row r="5" spans="2:34" x14ac:dyDescent="0.25">
      <c r="B5" s="4"/>
      <c r="C5" s="6"/>
      <c r="D5" s="6"/>
      <c r="E5" s="6"/>
      <c r="F5" s="6"/>
      <c r="G5" s="5"/>
      <c r="I5" s="30" t="s">
        <v>14</v>
      </c>
      <c r="J5" s="58">
        <f>E22/1.15</f>
        <v>43.478260869565219</v>
      </c>
      <c r="L5" s="65" t="s">
        <v>5</v>
      </c>
      <c r="M5" s="66">
        <f>IF(J15&lt;0,10/1000*(E10-J15)/(E9-J15),IF(J15&lt;J16,10/1000*(E10-J15)/(E9-J15),IF(J15&lt;J17,-3.5/1000*(J15-E10)/J15,IF(J15&lt;E9,3.5/1000*(E10-J15)/J15,IF(J15&lt;E8,-3.5/1000*(J15-E10)/J15,-2/1000*(J15-E10)/(J15-3/7*E8))))))*1000</f>
        <v>-2.674774464359011</v>
      </c>
      <c r="N5" s="67"/>
      <c r="O5" s="59" t="s">
        <v>39</v>
      </c>
      <c r="P5" s="62">
        <f>J21*M10</f>
        <v>-258.41030522575153</v>
      </c>
      <c r="Q5" s="40"/>
      <c r="R5" s="109"/>
      <c r="S5" s="68">
        <v>2</v>
      </c>
      <c r="T5" s="68">
        <v>3</v>
      </c>
      <c r="U5" s="68">
        <v>4</v>
      </c>
      <c r="V5" s="68">
        <v>5</v>
      </c>
      <c r="X5" s="109"/>
      <c r="Y5" s="69">
        <v>2</v>
      </c>
      <c r="AD5" s="26">
        <f>E7</f>
        <v>60</v>
      </c>
      <c r="AE5" s="23">
        <v>0</v>
      </c>
    </row>
    <row r="6" spans="2:34" x14ac:dyDescent="0.25">
      <c r="B6" s="4"/>
      <c r="C6" s="6"/>
      <c r="D6" s="123" t="s">
        <v>6</v>
      </c>
      <c r="E6" s="124"/>
      <c r="F6" s="6"/>
      <c r="G6" s="5"/>
      <c r="I6" s="30" t="s">
        <v>21</v>
      </c>
      <c r="J6" s="70">
        <v>21000</v>
      </c>
      <c r="L6" s="59" t="s">
        <v>25</v>
      </c>
      <c r="M6" s="71">
        <f>IF(E17=2,0,IF(E17=3,(M4+M5)/2,IF(E17=4,2/3*M4+1/3*M5,0)))</f>
        <v>0</v>
      </c>
      <c r="N6" s="67"/>
      <c r="O6" s="59" t="s">
        <v>40</v>
      </c>
      <c r="P6" s="62">
        <f>M11*J21</f>
        <v>-592.15940229470482</v>
      </c>
      <c r="Q6" s="40"/>
      <c r="R6" s="72">
        <v>10</v>
      </c>
      <c r="S6" s="73">
        <f t="shared" ref="S6:V11" si="0">S$5*PI()*($R6/20)^2</f>
        <v>1.5707963267948966</v>
      </c>
      <c r="T6" s="73">
        <f t="shared" si="0"/>
        <v>2.3561944901923448</v>
      </c>
      <c r="U6" s="73">
        <f t="shared" si="0"/>
        <v>3.1415926535897931</v>
      </c>
      <c r="V6" s="73">
        <f t="shared" si="0"/>
        <v>3.9269908169872414</v>
      </c>
      <c r="X6" s="72">
        <v>10</v>
      </c>
      <c r="Y6" s="73">
        <f t="shared" ref="Y6:Y11" si="1">Y$5*PI()*($R6/20)^2</f>
        <v>1.5707963267948966</v>
      </c>
      <c r="AD6" s="26">
        <f>AD5</f>
        <v>60</v>
      </c>
      <c r="AE6" s="26">
        <f>E8</f>
        <v>20</v>
      </c>
    </row>
    <row r="7" spans="2:34" x14ac:dyDescent="0.25">
      <c r="B7" s="4"/>
      <c r="C7" s="6"/>
      <c r="D7" s="7" t="s">
        <v>7</v>
      </c>
      <c r="E7" s="8">
        <v>60</v>
      </c>
      <c r="F7" s="6"/>
      <c r="G7" s="5"/>
      <c r="I7" s="30" t="s">
        <v>22</v>
      </c>
      <c r="J7" s="74">
        <f>J5/J6*1000</f>
        <v>2.0703933747412009</v>
      </c>
      <c r="L7" s="59" t="s">
        <v>29</v>
      </c>
      <c r="M7" s="71">
        <f>IF(E17=2,0,IF(E17=3,0,IF(E17=4,1/3*M4+2/3*M5,0)))</f>
        <v>0</v>
      </c>
      <c r="N7" s="67"/>
      <c r="O7" s="59" t="s">
        <v>41</v>
      </c>
      <c r="P7" s="62">
        <f>IF(E17=2,0,M12*J23)</f>
        <v>0</v>
      </c>
      <c r="Q7" s="40"/>
      <c r="R7" s="72">
        <v>12.5</v>
      </c>
      <c r="S7" s="73">
        <f t="shared" si="0"/>
        <v>2.454369260617026</v>
      </c>
      <c r="T7" s="73">
        <f t="shared" si="0"/>
        <v>3.6815538909255388</v>
      </c>
      <c r="U7" s="73">
        <f t="shared" si="0"/>
        <v>4.908738521234052</v>
      </c>
      <c r="V7" s="73">
        <f t="shared" si="0"/>
        <v>6.1359231515425643</v>
      </c>
      <c r="X7" s="72">
        <v>12.5</v>
      </c>
      <c r="Y7" s="73">
        <f t="shared" si="1"/>
        <v>2.454369260617026</v>
      </c>
      <c r="AD7" s="23">
        <v>0</v>
      </c>
      <c r="AE7" s="26">
        <f>AE6</f>
        <v>20</v>
      </c>
    </row>
    <row r="8" spans="2:34" x14ac:dyDescent="0.25">
      <c r="B8" s="4"/>
      <c r="C8" s="6"/>
      <c r="D8" s="7" t="s">
        <v>8</v>
      </c>
      <c r="E8" s="8">
        <v>20</v>
      </c>
      <c r="F8" s="6"/>
      <c r="G8" s="5"/>
      <c r="N8" s="67"/>
      <c r="O8" s="59" t="s">
        <v>42</v>
      </c>
      <c r="P8" s="62">
        <f>IF(E17=4,M13*J23,0)</f>
        <v>0</v>
      </c>
      <c r="Q8" s="40"/>
      <c r="R8" s="72">
        <v>16</v>
      </c>
      <c r="S8" s="73">
        <f t="shared" si="0"/>
        <v>4.0212385965949355</v>
      </c>
      <c r="T8" s="73">
        <f t="shared" si="0"/>
        <v>6.0318578948924042</v>
      </c>
      <c r="U8" s="73">
        <f t="shared" si="0"/>
        <v>8.0424771931898711</v>
      </c>
      <c r="V8" s="73">
        <f t="shared" si="0"/>
        <v>10.05309649148734</v>
      </c>
      <c r="X8" s="72">
        <v>16</v>
      </c>
      <c r="Y8" s="73">
        <f t="shared" si="1"/>
        <v>4.0212385965949355</v>
      </c>
      <c r="AD8" s="23">
        <v>0</v>
      </c>
      <c r="AE8" s="23">
        <v>0</v>
      </c>
    </row>
    <row r="9" spans="2:34" x14ac:dyDescent="0.25">
      <c r="B9" s="4"/>
      <c r="C9" s="6"/>
      <c r="D9" s="9" t="s">
        <v>10</v>
      </c>
      <c r="E9" s="10">
        <f>E8-E10</f>
        <v>16</v>
      </c>
      <c r="F9" s="6"/>
      <c r="G9" s="5"/>
      <c r="I9" s="107" t="s">
        <v>1</v>
      </c>
      <c r="J9" s="108"/>
      <c r="L9" s="117" t="s">
        <v>34</v>
      </c>
      <c r="M9" s="118"/>
      <c r="N9" s="67"/>
      <c r="O9" s="67"/>
      <c r="Q9" s="40"/>
      <c r="R9" s="72">
        <v>20</v>
      </c>
      <c r="S9" s="73">
        <f t="shared" si="0"/>
        <v>6.2831853071795862</v>
      </c>
      <c r="T9" s="73">
        <f t="shared" si="0"/>
        <v>9.4247779607693793</v>
      </c>
      <c r="U9" s="73">
        <f t="shared" si="0"/>
        <v>12.566370614359172</v>
      </c>
      <c r="V9" s="73">
        <f t="shared" si="0"/>
        <v>15.707963267948966</v>
      </c>
      <c r="X9" s="72">
        <v>20</v>
      </c>
      <c r="Y9" s="73">
        <f t="shared" si="1"/>
        <v>6.2831853071795862</v>
      </c>
      <c r="AD9" s="26">
        <v>-5</v>
      </c>
      <c r="AE9" s="26">
        <v>-5</v>
      </c>
    </row>
    <row r="10" spans="2:34" x14ac:dyDescent="0.25">
      <c r="B10" s="4"/>
      <c r="C10" s="6"/>
      <c r="D10" s="7" t="s">
        <v>13</v>
      </c>
      <c r="E10" s="8">
        <v>4</v>
      </c>
      <c r="F10" s="6"/>
      <c r="G10" s="5"/>
      <c r="I10" s="81" t="s">
        <v>3</v>
      </c>
      <c r="J10" s="75">
        <f>IF(E21&lt;=5,0.8,0.8-(E21*10-50)/400)</f>
        <v>0.70000000000000007</v>
      </c>
      <c r="L10" s="59" t="s">
        <v>30</v>
      </c>
      <c r="M10" s="58">
        <f>IF(M4&lt;-J$7,-J$5,IF(M4&lt;J$7,J$6*M4/1000,J$5))</f>
        <v>-18.973321403748763</v>
      </c>
      <c r="N10" s="67"/>
      <c r="O10" s="117" t="s">
        <v>50</v>
      </c>
      <c r="P10" s="118"/>
      <c r="Q10" s="40"/>
      <c r="R10" s="72">
        <v>22</v>
      </c>
      <c r="S10" s="73">
        <f t="shared" si="0"/>
        <v>7.6026542216873008</v>
      </c>
      <c r="T10" s="73">
        <f t="shared" si="0"/>
        <v>11.40398133253095</v>
      </c>
      <c r="U10" s="73">
        <f t="shared" si="0"/>
        <v>15.205308443374602</v>
      </c>
      <c r="V10" s="73">
        <f t="shared" si="0"/>
        <v>19.006635554218253</v>
      </c>
      <c r="X10" s="72">
        <v>22</v>
      </c>
      <c r="Y10" s="73">
        <f t="shared" si="1"/>
        <v>7.6026542216873008</v>
      </c>
      <c r="AD10" s="26">
        <f>MAX(E7:E8)</f>
        <v>60</v>
      </c>
      <c r="AE10" s="26">
        <f>AD10</f>
        <v>60</v>
      </c>
    </row>
    <row r="11" spans="2:34" x14ac:dyDescent="0.25">
      <c r="B11" s="4"/>
      <c r="C11" s="6"/>
      <c r="D11" s="6"/>
      <c r="E11" s="6"/>
      <c r="F11" s="6"/>
      <c r="G11" s="5"/>
      <c r="I11" s="30" t="s">
        <v>83</v>
      </c>
      <c r="J11" s="76">
        <f>IF(E21&lt;=5,0.85,0.85*(1-(E21*10-50)/200))</f>
        <v>0.68</v>
      </c>
      <c r="L11" s="59" t="s">
        <v>31</v>
      </c>
      <c r="M11" s="58">
        <f>IF(M5&lt;-J$7,-J$5,IF(M5&lt;J$7,J$6*M5/1000,J$5))</f>
        <v>-43.478260869565219</v>
      </c>
      <c r="O11" s="59" t="s">
        <v>38</v>
      </c>
      <c r="P11" s="77">
        <f>IF(J15&lt;0,0,IF(J15&lt;E8/J10,J10*J15/2,E8/2))</f>
        <v>7.7423252790690302</v>
      </c>
      <c r="Q11" s="40"/>
      <c r="R11" s="72">
        <v>25</v>
      </c>
      <c r="S11" s="73">
        <f t="shared" si="0"/>
        <v>9.8174770424681039</v>
      </c>
      <c r="T11" s="73">
        <f t="shared" si="0"/>
        <v>14.726215563702155</v>
      </c>
      <c r="U11" s="73">
        <f t="shared" si="0"/>
        <v>19.634954084936208</v>
      </c>
      <c r="V11" s="73">
        <f t="shared" si="0"/>
        <v>24.543692606170257</v>
      </c>
      <c r="X11" s="72">
        <v>25</v>
      </c>
      <c r="Y11" s="73">
        <f t="shared" si="1"/>
        <v>9.8174770424681039</v>
      </c>
    </row>
    <row r="12" spans="2:34" x14ac:dyDescent="0.25">
      <c r="B12" s="4"/>
      <c r="C12" s="6"/>
      <c r="D12" s="120" t="s">
        <v>82</v>
      </c>
      <c r="E12" s="121"/>
      <c r="F12" s="6"/>
      <c r="G12" s="5"/>
      <c r="I12" s="30" t="s">
        <v>84</v>
      </c>
      <c r="J12" s="76">
        <f>IF(E21&lt;=4,1,(4/E21)^(1/3))</f>
        <v>0.76314282836888792</v>
      </c>
      <c r="L12" s="59" t="s">
        <v>32</v>
      </c>
      <c r="M12" s="58">
        <f>IF(M6&lt;-J$7,-J$5,IF(M6&lt;J$7,J$6*M6/1000,J$5))</f>
        <v>0</v>
      </c>
      <c r="N12" s="24"/>
      <c r="O12" s="59" t="s">
        <v>39</v>
      </c>
      <c r="P12" s="77">
        <f>E9</f>
        <v>16</v>
      </c>
      <c r="Q12" s="40"/>
      <c r="AD12" s="26">
        <f>E10</f>
        <v>4</v>
      </c>
      <c r="AE12" s="26">
        <f>E10</f>
        <v>4</v>
      </c>
    </row>
    <row r="13" spans="2:34" ht="15" customHeight="1" x14ac:dyDescent="0.25">
      <c r="B13" s="4"/>
      <c r="C13" s="6"/>
      <c r="D13" s="17" t="s">
        <v>19</v>
      </c>
      <c r="E13" s="56">
        <v>3950</v>
      </c>
      <c r="F13" s="6"/>
      <c r="G13" s="5"/>
      <c r="L13" s="59" t="s">
        <v>33</v>
      </c>
      <c r="M13" s="58">
        <f>IF(M7&lt;-J$7,-J$5,IF(M7&lt;J$7,J$6*M7/1000,J$5))</f>
        <v>0</v>
      </c>
      <c r="N13" s="78"/>
      <c r="O13" s="59" t="s">
        <v>40</v>
      </c>
      <c r="P13" s="77">
        <f>E10</f>
        <v>4</v>
      </c>
      <c r="Q13" s="40"/>
      <c r="R13" s="111" t="str">
        <f>"As1 e As2 Adotadas ("&amp;TEXT(R15*PI()*(S15/20)^2+T15*PI()*(U15/20)^2,"0,00")&amp;" cm²)"</f>
        <v>As1 e As2 Adotadas (4,03 cm²)</v>
      </c>
      <c r="S13" s="112"/>
      <c r="T13" s="112"/>
      <c r="U13" s="112"/>
      <c r="V13" s="113"/>
      <c r="W13" s="24"/>
      <c r="X13" s="111" t="str">
        <f>IF(E17=3,"As3 Adotada",IF(E17=4,"As3 e As4 Adotadas",""))&amp;"            ("&amp;TEXT(X15*PI()*(Y15/20)^2,"0,00")&amp;" cm²)"</f>
        <v xml:space="preserve">            (1,57 cm²)</v>
      </c>
      <c r="Y13" s="112"/>
      <c r="Z13" s="113"/>
      <c r="AA13" s="39"/>
      <c r="AB13" s="24"/>
      <c r="AD13" s="40">
        <f>E7-AD12</f>
        <v>56</v>
      </c>
      <c r="AE13" s="26">
        <f>AE12</f>
        <v>4</v>
      </c>
    </row>
    <row r="14" spans="2:34" x14ac:dyDescent="0.25">
      <c r="B14" s="4"/>
      <c r="C14" s="6"/>
      <c r="D14" s="17" t="s">
        <v>15</v>
      </c>
      <c r="E14" s="57">
        <v>9000</v>
      </c>
      <c r="F14" s="6"/>
      <c r="G14" s="5"/>
      <c r="I14" s="107" t="s">
        <v>9</v>
      </c>
      <c r="J14" s="108"/>
      <c r="N14" s="78"/>
      <c r="O14" s="59" t="s">
        <v>41</v>
      </c>
      <c r="P14" s="77">
        <f>IF(E17=2,0,IF(E17=3,E8/2,IF(E17=4,E9-(E9-E10)/3,0)))</f>
        <v>0</v>
      </c>
      <c r="Q14" s="40"/>
      <c r="R14" s="114"/>
      <c r="S14" s="115"/>
      <c r="T14" s="115"/>
      <c r="U14" s="115"/>
      <c r="V14" s="116"/>
      <c r="W14" s="27"/>
      <c r="X14" s="114"/>
      <c r="Y14" s="115"/>
      <c r="Z14" s="116"/>
      <c r="AA14" s="39"/>
      <c r="AD14" s="26">
        <f>AD12</f>
        <v>4</v>
      </c>
      <c r="AE14" s="26">
        <f>E9</f>
        <v>16</v>
      </c>
    </row>
    <row r="15" spans="2:34" x14ac:dyDescent="0.25">
      <c r="B15" s="4"/>
      <c r="C15" s="6"/>
      <c r="D15" s="18"/>
      <c r="E15" s="19"/>
      <c r="F15" s="6"/>
      <c r="G15" s="5"/>
      <c r="I15" s="81" t="s">
        <v>12</v>
      </c>
      <c r="J15" s="90">
        <v>22.120929368768657</v>
      </c>
      <c r="L15" s="117" t="s">
        <v>43</v>
      </c>
      <c r="M15" s="118"/>
      <c r="N15" s="78"/>
      <c r="O15" s="59" t="s">
        <v>42</v>
      </c>
      <c r="P15" s="77">
        <f>IF(E17=2,0,IF(E17=3,0,IF(E17=4,E9-2*(E9-E10)/3,0)))</f>
        <v>0</v>
      </c>
      <c r="Q15" s="40"/>
      <c r="R15" s="94">
        <v>2</v>
      </c>
      <c r="S15" s="95">
        <v>12.5</v>
      </c>
      <c r="T15" s="96">
        <v>2</v>
      </c>
      <c r="U15" s="97">
        <v>10</v>
      </c>
      <c r="V15" s="98"/>
      <c r="X15" s="94">
        <v>2</v>
      </c>
      <c r="Y15" s="95">
        <v>10</v>
      </c>
      <c r="Z15" s="99"/>
      <c r="AA15" s="42"/>
      <c r="AD15" s="26">
        <f>AD13</f>
        <v>56</v>
      </c>
      <c r="AE15" s="26">
        <f>AE14</f>
        <v>16</v>
      </c>
    </row>
    <row r="16" spans="2:34" x14ac:dyDescent="0.25">
      <c r="B16" s="4"/>
      <c r="C16" s="6"/>
      <c r="D16" s="120" t="s">
        <v>26</v>
      </c>
      <c r="E16" s="121"/>
      <c r="F16" s="6"/>
      <c r="G16" s="5"/>
      <c r="I16" s="81" t="s">
        <v>23</v>
      </c>
      <c r="J16" s="80">
        <f>0.259*E9</f>
        <v>4.1440000000000001</v>
      </c>
      <c r="L16" s="59" t="s">
        <v>44</v>
      </c>
      <c r="M16" s="82">
        <f>P4+P5+P6+P7+P8</f>
        <v>-3949.9999993306192</v>
      </c>
      <c r="N16" s="78"/>
      <c r="Q16" s="40"/>
      <c r="AC16" s="27"/>
      <c r="AD16" s="23">
        <f>IF(E17=3,AD14,IF(E17=4,AD14,AD12))</f>
        <v>4</v>
      </c>
      <c r="AE16" s="23">
        <f>IF(E17=3,E8/2,IF(E17=4,E9-(E9-E10)/3,AE12))</f>
        <v>4</v>
      </c>
    </row>
    <row r="17" spans="2:31" x14ac:dyDescent="0.25">
      <c r="B17" s="4"/>
      <c r="C17" s="6"/>
      <c r="D17" s="17" t="s">
        <v>27</v>
      </c>
      <c r="E17" s="20">
        <v>2</v>
      </c>
      <c r="F17" s="6"/>
      <c r="G17" s="5"/>
      <c r="I17" s="81" t="s">
        <v>24</v>
      </c>
      <c r="J17" s="80">
        <f>0.628*E9</f>
        <v>10.048</v>
      </c>
      <c r="L17" s="59" t="s">
        <v>45</v>
      </c>
      <c r="M17" s="82">
        <f>-P4*P11-P5*P12-P6*P13-P7*P14-P8*P15</f>
        <v>30499.999991784967</v>
      </c>
      <c r="N17" s="78"/>
      <c r="Q17" s="40"/>
      <c r="R17" s="83"/>
      <c r="AC17" s="27"/>
      <c r="AD17" s="26">
        <f>AD15</f>
        <v>56</v>
      </c>
      <c r="AE17" s="23">
        <f>AE16</f>
        <v>4</v>
      </c>
    </row>
    <row r="18" spans="2:31" x14ac:dyDescent="0.25">
      <c r="B18" s="4"/>
      <c r="C18" s="6"/>
      <c r="D18" s="17" t="s">
        <v>28</v>
      </c>
      <c r="E18" s="21">
        <v>0.5</v>
      </c>
      <c r="F18" s="6"/>
      <c r="G18" s="5"/>
      <c r="I18" s="107" t="str">
        <f>IF(J15&lt;0,"Domínio 1",IF(J15&lt;J16,"Domínio 2",IF(J15&lt;J17,"Domínio 3",IF(J15&lt;E9,"Domínio 4",IF(J15&lt;E8,"Domínio 4a","Domínio 5")))))</f>
        <v>Domínio 5</v>
      </c>
      <c r="J18" s="108"/>
      <c r="L18" s="59" t="s">
        <v>46</v>
      </c>
      <c r="M18" s="82">
        <f>M16+E13</f>
        <v>6.69380824547261E-7</v>
      </c>
      <c r="N18" s="78"/>
      <c r="Q18" s="40"/>
      <c r="R18" s="83"/>
      <c r="AD18" s="23">
        <f>IF(E17=4,AD16,AD12)</f>
        <v>4</v>
      </c>
      <c r="AE18" s="23">
        <f>IF(E17=4,E10+(E9-E10)/3,AE12)</f>
        <v>4</v>
      </c>
    </row>
    <row r="19" spans="2:31" x14ac:dyDescent="0.25">
      <c r="B19" s="4"/>
      <c r="C19" s="6"/>
      <c r="D19" s="6"/>
      <c r="E19" s="6"/>
      <c r="F19" s="53"/>
      <c r="G19" s="5"/>
      <c r="J19" s="44"/>
      <c r="L19" s="59" t="s">
        <v>47</v>
      </c>
      <c r="M19" s="82">
        <f>M17-E13*E8/2+E14</f>
        <v>-8.2150327216368169E-6</v>
      </c>
      <c r="N19" s="84"/>
      <c r="Q19" s="40"/>
      <c r="R19" s="83"/>
      <c r="AD19" s="26">
        <f>AD15</f>
        <v>56</v>
      </c>
      <c r="AE19" s="23">
        <f>IF(E17=4,E10+(E9-E10)/3,AE12)</f>
        <v>4</v>
      </c>
    </row>
    <row r="20" spans="2:31" x14ac:dyDescent="0.25">
      <c r="B20" s="4"/>
      <c r="C20" s="6"/>
      <c r="D20" s="120" t="s">
        <v>16</v>
      </c>
      <c r="E20" s="121"/>
      <c r="F20" s="6"/>
      <c r="G20" s="5"/>
      <c r="I20" s="107" t="s">
        <v>26</v>
      </c>
      <c r="J20" s="108"/>
      <c r="L20" s="122"/>
      <c r="M20" s="122"/>
      <c r="N20" s="85"/>
      <c r="Q20" s="40"/>
      <c r="R20" s="83"/>
    </row>
    <row r="21" spans="2:31" x14ac:dyDescent="0.25">
      <c r="B21" s="4"/>
      <c r="C21" s="6"/>
      <c r="D21" s="7" t="s">
        <v>17</v>
      </c>
      <c r="E21" s="11">
        <v>9</v>
      </c>
      <c r="F21" s="6"/>
      <c r="G21" s="5"/>
      <c r="I21" s="30" t="s">
        <v>35</v>
      </c>
      <c r="J21" s="91">
        <v>13.61966625277821</v>
      </c>
      <c r="L21" s="107" t="s">
        <v>56</v>
      </c>
      <c r="M21" s="108"/>
      <c r="N21" s="86"/>
      <c r="Q21" s="40"/>
      <c r="R21" s="83"/>
      <c r="AD21" s="23">
        <v>0</v>
      </c>
      <c r="AE21" s="23">
        <f>-2</f>
        <v>-2</v>
      </c>
    </row>
    <row r="22" spans="2:31" x14ac:dyDescent="0.25">
      <c r="B22" s="4"/>
      <c r="C22" s="6"/>
      <c r="D22" s="12" t="s">
        <v>18</v>
      </c>
      <c r="E22" s="13">
        <v>50</v>
      </c>
      <c r="F22" s="6"/>
      <c r="G22" s="5"/>
      <c r="I22" s="30" t="s">
        <v>48</v>
      </c>
      <c r="J22" s="38">
        <f>J21</f>
        <v>13.61966625277821</v>
      </c>
      <c r="L22" s="87" t="s">
        <v>57</v>
      </c>
      <c r="M22" s="38">
        <f>MAX(0.004*E7*E8,0.15*E13/J5)</f>
        <v>13.6275</v>
      </c>
      <c r="N22" s="88"/>
      <c r="Q22" s="40"/>
      <c r="R22" s="83"/>
      <c r="AD22" s="23">
        <v>0</v>
      </c>
      <c r="AE22" s="23">
        <f>-10</f>
        <v>-10</v>
      </c>
    </row>
    <row r="23" spans="2:31" ht="15.75" thickBot="1" x14ac:dyDescent="0.3">
      <c r="B23" s="14"/>
      <c r="C23" s="15"/>
      <c r="D23" s="15"/>
      <c r="E23" s="15"/>
      <c r="F23" s="15"/>
      <c r="G23" s="16"/>
      <c r="I23" s="30" t="s">
        <v>36</v>
      </c>
      <c r="J23" s="38" t="str">
        <f>IF(E17=3,E18*J21,IF(E17=4,J21*E18,""))</f>
        <v/>
      </c>
      <c r="K23" s="45"/>
      <c r="O23" s="45"/>
      <c r="P23" s="45"/>
      <c r="Q23" s="45"/>
      <c r="R23" s="45"/>
      <c r="S23" s="45"/>
      <c r="AD23" s="23">
        <v>0</v>
      </c>
      <c r="AE23" s="23">
        <f>-7.5</f>
        <v>-7.5</v>
      </c>
    </row>
    <row r="24" spans="2:31" x14ac:dyDescent="0.25">
      <c r="D24" s="89"/>
      <c r="E24" s="89"/>
      <c r="I24" s="30" t="s">
        <v>49</v>
      </c>
      <c r="J24" s="38" t="str">
        <f>IF(E17=4,J23,"")</f>
        <v/>
      </c>
      <c r="K24" s="45"/>
      <c r="N24" s="45"/>
      <c r="O24" s="45"/>
      <c r="P24" s="45"/>
      <c r="Q24" s="45"/>
      <c r="R24" s="45"/>
      <c r="S24" s="45"/>
      <c r="AD24" s="23">
        <f>AD25/2</f>
        <v>30</v>
      </c>
      <c r="AE24" s="23">
        <f>AE23</f>
        <v>-7.5</v>
      </c>
    </row>
    <row r="25" spans="2:31" x14ac:dyDescent="0.25">
      <c r="D25" s="47"/>
      <c r="E25" s="47"/>
      <c r="I25" s="105" t="str">
        <f>IF((E9-E10)/2-E14/E13&gt;=E13/(2*J11*J12*J4*E7)-E10,"Dispensa Armar","Precisa Armar")</f>
        <v>Precisa Armar</v>
      </c>
      <c r="J25" s="106"/>
      <c r="K25" s="45"/>
      <c r="N25" s="45"/>
      <c r="O25" s="45"/>
      <c r="P25" s="45"/>
      <c r="Q25" s="45"/>
      <c r="R25" s="45"/>
      <c r="S25" s="45"/>
      <c r="AD25" s="46">
        <f>E7</f>
        <v>60</v>
      </c>
      <c r="AE25" s="23">
        <f>AE23</f>
        <v>-7.5</v>
      </c>
    </row>
    <row r="26" spans="2:31" x14ac:dyDescent="0.25">
      <c r="E26" s="27"/>
      <c r="AD26" s="26">
        <f>AD25</f>
        <v>60</v>
      </c>
      <c r="AE26" s="23">
        <f>AE21</f>
        <v>-2</v>
      </c>
    </row>
    <row r="27" spans="2:31" x14ac:dyDescent="0.25">
      <c r="AD27" s="26">
        <f>AD26</f>
        <v>60</v>
      </c>
      <c r="AE27" s="23">
        <f>AE22</f>
        <v>-10</v>
      </c>
    </row>
    <row r="29" spans="2:31" x14ac:dyDescent="0.25">
      <c r="AD29" s="23">
        <f>-2</f>
        <v>-2</v>
      </c>
      <c r="AE29" s="23">
        <v>0</v>
      </c>
    </row>
    <row r="30" spans="2:31" x14ac:dyDescent="0.25">
      <c r="AD30" s="23">
        <f>-8</f>
        <v>-8</v>
      </c>
      <c r="AE30" s="23">
        <v>0</v>
      </c>
    </row>
    <row r="31" spans="2:31" x14ac:dyDescent="0.25">
      <c r="AD31" s="23">
        <f>-4.5</f>
        <v>-4.5</v>
      </c>
      <c r="AE31" s="23">
        <v>0</v>
      </c>
    </row>
    <row r="32" spans="2:31" x14ac:dyDescent="0.25">
      <c r="AD32" s="23">
        <f>AD31</f>
        <v>-4.5</v>
      </c>
      <c r="AE32" s="23">
        <f>E8/2</f>
        <v>10</v>
      </c>
    </row>
    <row r="33" spans="30:31" x14ac:dyDescent="0.25">
      <c r="AD33" s="23">
        <f>AD32</f>
        <v>-4.5</v>
      </c>
      <c r="AE33" s="26">
        <f>E8</f>
        <v>20</v>
      </c>
    </row>
    <row r="34" spans="30:31" x14ac:dyDescent="0.25">
      <c r="AD34" s="23">
        <f>AD29</f>
        <v>-2</v>
      </c>
      <c r="AE34" s="26">
        <f>AE33</f>
        <v>20</v>
      </c>
    </row>
    <row r="35" spans="30:31" x14ac:dyDescent="0.25">
      <c r="AD35" s="23">
        <f>AD30</f>
        <v>-8</v>
      </c>
      <c r="AE35" s="23">
        <f>AE33</f>
        <v>20</v>
      </c>
    </row>
    <row r="37" spans="30:31" x14ac:dyDescent="0.25">
      <c r="AD37" s="23">
        <v>0</v>
      </c>
      <c r="AE37" s="23">
        <v>0</v>
      </c>
    </row>
    <row r="38" spans="30:31" x14ac:dyDescent="0.25">
      <c r="AD38" s="26">
        <f>MAX(E7:E8)+20</f>
        <v>80</v>
      </c>
      <c r="AE38" s="26">
        <f>MAX(E7:E8)</f>
        <v>60</v>
      </c>
    </row>
  </sheetData>
  <sheetProtection algorithmName="SHA-512" hashValue="w5ckj0rz1nA6YBsQgq6dTfQPuAYk1W55elI9M3y8lETboFfH6ZrF8BuoE79as5UHJSqtA+iDRS5zcwPIak2lhA==" saltValue="wHZ8/kjcPK+1h0+ZnyS2Jg==" spinCount="100000" sheet="1" objects="1" scenarios="1" selectLockedCells="1"/>
  <mergeCells count="25">
    <mergeCell ref="D20:E20"/>
    <mergeCell ref="L20:M20"/>
    <mergeCell ref="D6:E6"/>
    <mergeCell ref="I3:J3"/>
    <mergeCell ref="I14:J14"/>
    <mergeCell ref="I18:J18"/>
    <mergeCell ref="D12:E12"/>
    <mergeCell ref="C3:F4"/>
    <mergeCell ref="I9:J9"/>
    <mergeCell ref="L3:M3"/>
    <mergeCell ref="D16:E16"/>
    <mergeCell ref="L9:M9"/>
    <mergeCell ref="I25:J25"/>
    <mergeCell ref="L21:M21"/>
    <mergeCell ref="X4:X5"/>
    <mergeCell ref="X3:Y3"/>
    <mergeCell ref="X13:Z14"/>
    <mergeCell ref="O3:P3"/>
    <mergeCell ref="L15:M15"/>
    <mergeCell ref="O10:P10"/>
    <mergeCell ref="R4:R5"/>
    <mergeCell ref="R3:V3"/>
    <mergeCell ref="S4:V4"/>
    <mergeCell ref="R13:V14"/>
    <mergeCell ref="I20:J20"/>
  </mergeCells>
  <conditionalFormatting sqref="X3:Z15">
    <cfRule type="expression" dxfId="8" priority="1">
      <formula>$E$17=2</formula>
    </cfRule>
  </conditionalFormatting>
  <conditionalFormatting sqref="S6:V11">
    <cfRule type="cellIs" dxfId="7" priority="28" operator="lessThan">
      <formula>$J$21</formula>
    </cfRule>
    <cfRule type="cellIs" dxfId="6" priority="29" operator="greaterThan">
      <formula>$J$21</formula>
    </cfRule>
  </conditionalFormatting>
  <conditionalFormatting sqref="R15:V15">
    <cfRule type="expression" dxfId="5" priority="30">
      <formula>$R$15*PI()*($S$15/20)^2+$T$15*PI()*($U$15/20)^2&lt;$J$21</formula>
    </cfRule>
    <cfRule type="expression" dxfId="4" priority="31">
      <formula>$R$15*PI()*($S$15/20)^2+$T$15*PI()*($U$15/20)^2&gt;=$J$21</formula>
    </cfRule>
  </conditionalFormatting>
  <conditionalFormatting sqref="Y6:Y11">
    <cfRule type="cellIs" dxfId="3" priority="32" operator="lessThan">
      <formula>$J$23</formula>
    </cfRule>
    <cfRule type="cellIs" dxfId="2" priority="33" operator="greaterThan">
      <formula>$J$23</formula>
    </cfRule>
  </conditionalFormatting>
  <conditionalFormatting sqref="X15:Z15">
    <cfRule type="expression" dxfId="1" priority="34">
      <formula>$X$15*PI()*($Y$15/20)^2&lt;$J$23</formula>
    </cfRule>
    <cfRule type="expression" dxfId="0" priority="35">
      <formula>$X$15*PI()*($Y$15/20)^2&gt;=$J$23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imensionamentoNormal">
                <anchor moveWithCells="1" sizeWithCells="1">
                  <from>
                    <xdr:col>1</xdr:col>
                    <xdr:colOff>47625</xdr:colOff>
                    <xdr:row>24</xdr:row>
                    <xdr:rowOff>123825</xdr:rowOff>
                  </from>
                  <to>
                    <xdr:col>4</xdr:col>
                    <xdr:colOff>295275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VerificacaoNormal">
                <anchor moveWithCells="1" sizeWithCells="1">
                  <from>
                    <xdr:col>4</xdr:col>
                    <xdr:colOff>495300</xdr:colOff>
                    <xdr:row>24</xdr:row>
                    <xdr:rowOff>133350</xdr:rowOff>
                  </from>
                  <to>
                    <xdr:col>6</xdr:col>
                    <xdr:colOff>276225</xdr:colOff>
                    <xdr:row>27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D1231-534F-4BD9-AE58-33F13FBBC36E}">
  <sheetPr codeName="Planilha2"/>
  <dimension ref="B1:AC49"/>
  <sheetViews>
    <sheetView zoomScaleNormal="100" workbookViewId="0">
      <selection activeCell="B9" sqref="B9"/>
    </sheetView>
  </sheetViews>
  <sheetFormatPr defaultColWidth="9.140625" defaultRowHeight="15" x14ac:dyDescent="0.25"/>
  <cols>
    <col min="1" max="2" width="4.5703125" style="23" customWidth="1"/>
    <col min="3" max="3" width="9.140625" style="23"/>
    <col min="4" max="4" width="4.5703125" style="23" customWidth="1"/>
    <col min="5" max="5" width="13.7109375" style="23" customWidth="1"/>
    <col min="6" max="6" width="9.140625" style="23"/>
    <col min="7" max="8" width="4.5703125" style="23" customWidth="1"/>
    <col min="9" max="9" width="7.140625" style="23" bestFit="1" customWidth="1"/>
    <col min="10" max="10" width="13.5703125" style="23" customWidth="1"/>
    <col min="11" max="11" width="5.7109375" style="23" customWidth="1"/>
    <col min="12" max="12" width="7.140625" style="23" customWidth="1"/>
    <col min="13" max="13" width="13.5703125" style="23" customWidth="1"/>
    <col min="14" max="14" width="5.7109375" style="23" customWidth="1"/>
    <col min="15" max="15" width="7.140625" style="23" customWidth="1"/>
    <col min="16" max="16" width="13.5703125" style="23" customWidth="1"/>
    <col min="17" max="17" width="5.7109375" style="23" customWidth="1"/>
    <col min="18" max="18" width="6" style="23" bestFit="1" customWidth="1"/>
    <col min="19" max="19" width="16.28515625" style="23" customWidth="1"/>
    <col min="20" max="20" width="4.7109375" style="23" customWidth="1"/>
    <col min="21" max="21" width="6" style="23" bestFit="1" customWidth="1"/>
    <col min="22" max="22" width="16.28515625" style="23" customWidth="1"/>
    <col min="23" max="24" width="6" style="23" customWidth="1"/>
    <col min="25" max="25" width="9.140625" style="23"/>
    <col min="26" max="29" width="0" style="23" hidden="1" customWidth="1"/>
    <col min="30" max="16384" width="9.140625" style="23"/>
  </cols>
  <sheetData>
    <row r="1" spans="2:29" ht="15.75" thickBot="1" x14ac:dyDescent="0.3"/>
    <row r="2" spans="2:29" ht="15.75" thickBot="1" x14ac:dyDescent="0.3">
      <c r="B2" s="1"/>
      <c r="C2" s="2"/>
      <c r="D2" s="2"/>
      <c r="E2" s="2"/>
      <c r="F2" s="2"/>
      <c r="G2" s="3"/>
    </row>
    <row r="3" spans="2:29" x14ac:dyDescent="0.25">
      <c r="B3" s="4"/>
      <c r="C3" s="125" t="s">
        <v>0</v>
      </c>
      <c r="D3" s="126"/>
      <c r="E3" s="126"/>
      <c r="F3" s="127"/>
      <c r="G3" s="5"/>
      <c r="I3" s="24"/>
      <c r="J3" s="24"/>
      <c r="Z3" s="27" t="s">
        <v>12</v>
      </c>
      <c r="AA3" s="27" t="s">
        <v>55</v>
      </c>
    </row>
    <row r="4" spans="2:29" ht="15.75" thickBot="1" x14ac:dyDescent="0.3">
      <c r="B4" s="4"/>
      <c r="C4" s="128"/>
      <c r="D4" s="129"/>
      <c r="E4" s="129"/>
      <c r="F4" s="130"/>
      <c r="G4" s="5"/>
      <c r="J4" s="25"/>
      <c r="O4" s="107" t="s">
        <v>65</v>
      </c>
      <c r="P4" s="108"/>
      <c r="R4" s="107" t="s">
        <v>66</v>
      </c>
      <c r="S4" s="108"/>
      <c r="Z4" s="23">
        <v>0</v>
      </c>
      <c r="AA4" s="23">
        <v>0</v>
      </c>
    </row>
    <row r="5" spans="2:29" x14ac:dyDescent="0.25">
      <c r="B5" s="4"/>
      <c r="C5" s="6"/>
      <c r="D5" s="6"/>
      <c r="E5" s="6"/>
      <c r="F5" s="6"/>
      <c r="G5" s="5"/>
      <c r="J5" s="25"/>
      <c r="Z5" s="26">
        <f>E7</f>
        <v>20</v>
      </c>
      <c r="AA5" s="23">
        <v>0</v>
      </c>
    </row>
    <row r="6" spans="2:29" x14ac:dyDescent="0.25">
      <c r="B6" s="4"/>
      <c r="C6" s="6"/>
      <c r="D6" s="123" t="s">
        <v>6</v>
      </c>
      <c r="E6" s="124"/>
      <c r="F6" s="6"/>
      <c r="G6" s="5"/>
      <c r="I6" s="27"/>
      <c r="J6" s="28"/>
      <c r="O6" s="132" t="s">
        <v>6</v>
      </c>
      <c r="P6" s="133"/>
      <c r="R6" s="132" t="s">
        <v>6</v>
      </c>
      <c r="S6" s="133"/>
      <c r="T6" s="29"/>
      <c r="W6" s="29"/>
      <c r="Z6" s="26">
        <f>Z5</f>
        <v>20</v>
      </c>
      <c r="AA6" s="26">
        <f>E8</f>
        <v>40</v>
      </c>
    </row>
    <row r="7" spans="2:29" x14ac:dyDescent="0.25">
      <c r="B7" s="4"/>
      <c r="C7" s="6"/>
      <c r="D7" s="17" t="s">
        <v>58</v>
      </c>
      <c r="E7" s="8">
        <v>20</v>
      </c>
      <c r="F7" s="6"/>
      <c r="G7" s="5"/>
      <c r="I7" s="32"/>
      <c r="J7" s="33"/>
      <c r="O7" s="34" t="s">
        <v>7</v>
      </c>
      <c r="P7" s="31">
        <f>E8</f>
        <v>40</v>
      </c>
      <c r="R7" s="34" t="s">
        <v>7</v>
      </c>
      <c r="S7" s="31">
        <f>E7</f>
        <v>20</v>
      </c>
      <c r="T7" s="35"/>
      <c r="W7" s="35"/>
      <c r="Z7" s="23">
        <v>0</v>
      </c>
      <c r="AA7" s="26">
        <f>AA6</f>
        <v>40</v>
      </c>
    </row>
    <row r="8" spans="2:29" x14ac:dyDescent="0.25">
      <c r="B8" s="4"/>
      <c r="C8" s="6"/>
      <c r="D8" s="17" t="s">
        <v>59</v>
      </c>
      <c r="E8" s="8">
        <v>40</v>
      </c>
      <c r="F8" s="6"/>
      <c r="G8" s="5"/>
      <c r="O8" s="34" t="s">
        <v>8</v>
      </c>
      <c r="P8" s="31">
        <f>E7</f>
        <v>20</v>
      </c>
      <c r="R8" s="34" t="s">
        <v>8</v>
      </c>
      <c r="S8" s="31">
        <f>E8</f>
        <v>40</v>
      </c>
      <c r="T8" s="35"/>
      <c r="W8" s="35"/>
      <c r="Z8" s="23">
        <v>0</v>
      </c>
      <c r="AA8" s="23">
        <v>0</v>
      </c>
    </row>
    <row r="9" spans="2:29" x14ac:dyDescent="0.25">
      <c r="B9" s="4"/>
      <c r="C9" s="6"/>
      <c r="D9" s="7" t="s">
        <v>13</v>
      </c>
      <c r="E9" s="8">
        <v>4</v>
      </c>
      <c r="F9" s="6"/>
      <c r="G9" s="5"/>
      <c r="I9" s="24"/>
      <c r="J9" s="24"/>
      <c r="O9" s="36" t="s">
        <v>10</v>
      </c>
      <c r="P9" s="37">
        <f>P8-P10</f>
        <v>16</v>
      </c>
      <c r="R9" s="36" t="s">
        <v>10</v>
      </c>
      <c r="S9" s="37">
        <f>S8-S10</f>
        <v>36</v>
      </c>
      <c r="T9" s="35"/>
      <c r="W9" s="35"/>
      <c r="Z9" s="26">
        <v>-5</v>
      </c>
      <c r="AA9" s="26">
        <v>-5</v>
      </c>
    </row>
    <row r="10" spans="2:29" x14ac:dyDescent="0.25">
      <c r="B10" s="4"/>
      <c r="C10" s="6"/>
      <c r="D10" s="6"/>
      <c r="E10" s="6"/>
      <c r="F10" s="6"/>
      <c r="G10" s="5"/>
      <c r="O10" s="34" t="s">
        <v>13</v>
      </c>
      <c r="P10" s="31">
        <f>E9</f>
        <v>4</v>
      </c>
      <c r="R10" s="34" t="s">
        <v>13</v>
      </c>
      <c r="S10" s="31">
        <f>E9</f>
        <v>4</v>
      </c>
      <c r="T10" s="35"/>
      <c r="W10" s="35"/>
      <c r="Z10" s="26">
        <f>MAX(E7:E8)</f>
        <v>40</v>
      </c>
      <c r="AA10" s="26">
        <f>Z10</f>
        <v>40</v>
      </c>
    </row>
    <row r="11" spans="2:29" x14ac:dyDescent="0.25">
      <c r="B11" s="4"/>
      <c r="C11" s="6"/>
      <c r="D11" s="120" t="s">
        <v>61</v>
      </c>
      <c r="E11" s="121"/>
      <c r="F11" s="6"/>
      <c r="G11" s="5"/>
    </row>
    <row r="12" spans="2:29" x14ac:dyDescent="0.25">
      <c r="B12" s="4"/>
      <c r="C12" s="6"/>
      <c r="D12" s="17" t="s">
        <v>19</v>
      </c>
      <c r="E12" s="56">
        <v>1000</v>
      </c>
      <c r="F12" s="6"/>
      <c r="G12" s="5"/>
      <c r="O12" s="107" t="s">
        <v>26</v>
      </c>
      <c r="P12" s="108"/>
      <c r="R12" s="107" t="s">
        <v>26</v>
      </c>
      <c r="S12" s="108"/>
      <c r="Z12" s="26">
        <f>E9</f>
        <v>4</v>
      </c>
      <c r="AA12" s="26">
        <f>E9</f>
        <v>4</v>
      </c>
      <c r="AB12" s="23">
        <f>IF(E15=3,(Z12+Z13)/2,IF(E15=4,Z12+(Z13-Z12)/3,Z14))</f>
        <v>4</v>
      </c>
      <c r="AC12" s="26">
        <f>AA12</f>
        <v>4</v>
      </c>
    </row>
    <row r="13" spans="2:29" ht="15" customHeight="1" x14ac:dyDescent="0.25">
      <c r="B13" s="4"/>
      <c r="C13" s="6"/>
      <c r="D13" s="6"/>
      <c r="E13" s="6"/>
      <c r="F13" s="6"/>
      <c r="G13" s="5"/>
      <c r="I13" s="24"/>
      <c r="J13" s="24"/>
      <c r="O13" s="30" t="s">
        <v>35</v>
      </c>
      <c r="P13" s="38">
        <f>IF(E16=2,2*PI()*(E19/20)^2,IF(E16=3,2*PI()*(E19/20)^2+PI()*(E20/20)^2,IF(E16=4,2*PI()*(E19/20)^2+2*PI()*(E20/20)^2,0)))</f>
        <v>6.2831853071795862</v>
      </c>
      <c r="R13" s="30" t="s">
        <v>35</v>
      </c>
      <c r="S13" s="38">
        <f>IF(E15=2,2*PI()*(E19/20)^2,IF(E15=3,2*PI()*(E19/20)^2+PI()*(E21/20)^2,IF(E15=4,2*PI()*(E19/20)^2+2*PI()*(E21/20)^2,0)))</f>
        <v>6.2831853071795862</v>
      </c>
      <c r="T13" s="39"/>
      <c r="W13" s="39"/>
      <c r="X13" s="24"/>
      <c r="Z13" s="40">
        <f>E7-Z12</f>
        <v>16</v>
      </c>
      <c r="AA13" s="26">
        <f>AA12</f>
        <v>4</v>
      </c>
      <c r="AB13" s="23">
        <f>AB12</f>
        <v>4</v>
      </c>
      <c r="AC13" s="23">
        <f>IF(E15=3,AA14,IF(E15=4,AA14,AA15))</f>
        <v>36</v>
      </c>
    </row>
    <row r="14" spans="2:29" x14ac:dyDescent="0.25">
      <c r="B14" s="4"/>
      <c r="C14" s="6"/>
      <c r="D14" s="120" t="s">
        <v>26</v>
      </c>
      <c r="E14" s="121"/>
      <c r="F14" s="6"/>
      <c r="G14" s="5"/>
      <c r="J14" s="41"/>
      <c r="O14" s="30" t="s">
        <v>48</v>
      </c>
      <c r="P14" s="38">
        <f>P13</f>
        <v>6.2831853071795862</v>
      </c>
      <c r="R14" s="30" t="s">
        <v>48</v>
      </c>
      <c r="S14" s="38">
        <f>S13</f>
        <v>6.2831853071795862</v>
      </c>
      <c r="T14" s="39"/>
      <c r="W14" s="39"/>
      <c r="Z14" s="26">
        <f>Z12</f>
        <v>4</v>
      </c>
      <c r="AA14" s="26">
        <f>E8-E9</f>
        <v>36</v>
      </c>
      <c r="AB14" s="23">
        <f>AB15</f>
        <v>4</v>
      </c>
      <c r="AC14" s="23">
        <f>IF(E15=4,AA14,AA12)</f>
        <v>4</v>
      </c>
    </row>
    <row r="15" spans="2:29" x14ac:dyDescent="0.25">
      <c r="B15" s="4"/>
      <c r="C15" s="6"/>
      <c r="D15" s="17" t="s">
        <v>60</v>
      </c>
      <c r="E15" s="20">
        <v>2</v>
      </c>
      <c r="F15" s="6"/>
      <c r="G15" s="5"/>
      <c r="I15" s="27"/>
      <c r="J15" s="41"/>
      <c r="O15" s="30" t="s">
        <v>36</v>
      </c>
      <c r="P15" s="38">
        <f>IF(E15=3,2*PI()*(E21/20)^2,IF(E15=4,2*PI()*(E21/20)^2,0))</f>
        <v>0</v>
      </c>
      <c r="R15" s="30" t="s">
        <v>36</v>
      </c>
      <c r="S15" s="38">
        <f>IF(E16=3,2*PI()*(E20/20)^2,IF(E16=4,2*PI()*(E20/20)^2,0))</f>
        <v>0</v>
      </c>
      <c r="T15" s="42"/>
      <c r="W15" s="42"/>
      <c r="Z15" s="26">
        <f>Z13</f>
        <v>16</v>
      </c>
      <c r="AA15" s="26">
        <f>AA14</f>
        <v>36</v>
      </c>
      <c r="AB15" s="23">
        <f>IF(E15=4,Z12+(Z13-Z12)*2/3,Z12)</f>
        <v>4</v>
      </c>
      <c r="AC15" s="26">
        <f>AC12</f>
        <v>4</v>
      </c>
    </row>
    <row r="16" spans="2:29" x14ac:dyDescent="0.25">
      <c r="B16" s="4"/>
      <c r="C16" s="6"/>
      <c r="D16" s="17" t="s">
        <v>27</v>
      </c>
      <c r="E16" s="20">
        <v>2</v>
      </c>
      <c r="F16" s="6"/>
      <c r="G16" s="5"/>
      <c r="I16" s="27"/>
      <c r="J16" s="41"/>
      <c r="O16" s="30" t="s">
        <v>49</v>
      </c>
      <c r="P16" s="38">
        <f>IF(E15=4,2*PI()*(E21/20)^2,0)</f>
        <v>0</v>
      </c>
      <c r="R16" s="30" t="s">
        <v>49</v>
      </c>
      <c r="S16" s="38">
        <f>IF(E16=4,2*PI()*(E20/20)^2,0)</f>
        <v>0</v>
      </c>
      <c r="Z16" s="23">
        <f>IF(E16=3,Z14,IF(E16=4,Z14,Z15))</f>
        <v>16</v>
      </c>
      <c r="AA16" s="23">
        <f>IF(E16=3,E8/2,IF(E16=4,AA14-(AA14-E9)/3,AA15))</f>
        <v>36</v>
      </c>
      <c r="AB16" s="131" t="s">
        <v>64</v>
      </c>
      <c r="AC16" s="131"/>
    </row>
    <row r="17" spans="2:29" x14ac:dyDescent="0.25">
      <c r="B17" s="4"/>
      <c r="C17" s="6"/>
      <c r="D17" s="6"/>
      <c r="E17" s="6"/>
      <c r="F17" s="6"/>
      <c r="G17" s="5"/>
      <c r="I17" s="24"/>
      <c r="J17" s="24"/>
      <c r="Z17" s="23">
        <f>IF(E16=3,Z15,IF(E16=4,Z15,Z16))</f>
        <v>16</v>
      </c>
      <c r="AA17" s="23">
        <f>AA16</f>
        <v>36</v>
      </c>
      <c r="AB17" s="43" t="str">
        <f>IF(E16=2,"",E20)</f>
        <v/>
      </c>
      <c r="AC17" s="43" t="str">
        <f>IF(E15=2,"",E21)</f>
        <v/>
      </c>
    </row>
    <row r="18" spans="2:29" x14ac:dyDescent="0.25">
      <c r="B18" s="4"/>
      <c r="C18" s="6"/>
      <c r="D18" s="120" t="s">
        <v>54</v>
      </c>
      <c r="E18" s="121"/>
      <c r="F18" s="6"/>
      <c r="G18" s="5"/>
      <c r="J18" s="44"/>
      <c r="O18" s="132" t="s">
        <v>67</v>
      </c>
      <c r="P18" s="133"/>
      <c r="R18" s="132" t="s">
        <v>67</v>
      </c>
      <c r="S18" s="133"/>
      <c r="Z18" s="23">
        <f>IF(E16=4,Z16,Z15)</f>
        <v>16</v>
      </c>
      <c r="AA18" s="23">
        <f>IF(E16=4,E9+(AA14-E9)/3,AA15)</f>
        <v>36</v>
      </c>
    </row>
    <row r="19" spans="2:29" x14ac:dyDescent="0.25">
      <c r="B19" s="4"/>
      <c r="C19" s="6"/>
      <c r="D19" s="17" t="s">
        <v>38</v>
      </c>
      <c r="E19" s="22">
        <v>20</v>
      </c>
      <c r="F19" s="6"/>
      <c r="G19" s="5"/>
      <c r="O19" s="30" t="s">
        <v>68</v>
      </c>
      <c r="P19" s="92">
        <v>4631.3299300142835</v>
      </c>
      <c r="R19" s="30" t="s">
        <v>69</v>
      </c>
      <c r="S19" s="92">
        <v>10817.453698767689</v>
      </c>
      <c r="Z19" s="23">
        <f>IF(E16=4,Z17,Z15)</f>
        <v>16</v>
      </c>
      <c r="AA19" s="23">
        <f>IF(E16=4,E9+(AA14-E9)/3,AA15)</f>
        <v>36</v>
      </c>
    </row>
    <row r="20" spans="2:29" x14ac:dyDescent="0.25">
      <c r="B20" s="4"/>
      <c r="C20" s="6"/>
      <c r="D20" s="17" t="s">
        <v>62</v>
      </c>
      <c r="E20" s="22">
        <v>20</v>
      </c>
      <c r="F20" s="6"/>
      <c r="G20" s="5"/>
    </row>
    <row r="21" spans="2:29" x14ac:dyDescent="0.25">
      <c r="B21" s="4"/>
      <c r="C21" s="6"/>
      <c r="D21" s="17" t="s">
        <v>63</v>
      </c>
      <c r="E21" s="22">
        <v>20</v>
      </c>
      <c r="F21" s="6"/>
      <c r="G21" s="5"/>
      <c r="Z21" s="23">
        <v>0</v>
      </c>
      <c r="AA21" s="23">
        <f>-2</f>
        <v>-2</v>
      </c>
    </row>
    <row r="22" spans="2:29" x14ac:dyDescent="0.25">
      <c r="B22" s="4"/>
      <c r="C22" s="6"/>
      <c r="D22" s="6"/>
      <c r="E22" s="6"/>
      <c r="F22" s="6"/>
      <c r="G22" s="5"/>
      <c r="Z22" s="23">
        <v>0</v>
      </c>
      <c r="AA22" s="23">
        <f>-10</f>
        <v>-10</v>
      </c>
    </row>
    <row r="23" spans="2:29" x14ac:dyDescent="0.25">
      <c r="B23" s="4"/>
      <c r="C23" s="6"/>
      <c r="D23" s="120" t="s">
        <v>16</v>
      </c>
      <c r="E23" s="121"/>
      <c r="F23" s="6"/>
      <c r="G23" s="5"/>
      <c r="K23" s="45"/>
      <c r="L23" s="45"/>
      <c r="M23" s="45"/>
      <c r="N23" s="45"/>
      <c r="O23" s="45"/>
      <c r="P23" s="45"/>
      <c r="Q23" s="45"/>
      <c r="R23" s="45"/>
      <c r="Z23" s="23">
        <v>0</v>
      </c>
      <c r="AA23" s="23">
        <f>-7.5</f>
        <v>-7.5</v>
      </c>
    </row>
    <row r="24" spans="2:29" x14ac:dyDescent="0.25">
      <c r="B24" s="4"/>
      <c r="C24" s="6"/>
      <c r="D24" s="7" t="s">
        <v>17</v>
      </c>
      <c r="E24" s="11">
        <v>2.5</v>
      </c>
      <c r="F24" s="6"/>
      <c r="G24" s="5"/>
      <c r="I24" s="32"/>
      <c r="J24" s="45"/>
      <c r="K24" s="45"/>
      <c r="L24" s="45"/>
      <c r="M24" s="45"/>
      <c r="N24" s="45"/>
      <c r="O24" s="45"/>
      <c r="P24" s="45"/>
      <c r="Q24" s="45"/>
      <c r="R24" s="45"/>
      <c r="Z24" s="23">
        <f>Z25/2</f>
        <v>10</v>
      </c>
      <c r="AA24" s="23">
        <f>AA23</f>
        <v>-7.5</v>
      </c>
    </row>
    <row r="25" spans="2:29" x14ac:dyDescent="0.25">
      <c r="B25" s="4"/>
      <c r="C25" s="6"/>
      <c r="D25" s="12" t="s">
        <v>18</v>
      </c>
      <c r="E25" s="13">
        <v>50</v>
      </c>
      <c r="F25" s="6"/>
      <c r="G25" s="5"/>
      <c r="J25" s="45"/>
      <c r="K25" s="45"/>
      <c r="L25" s="45"/>
      <c r="M25" s="45"/>
      <c r="N25" s="45"/>
      <c r="O25" s="45"/>
      <c r="P25" s="45"/>
      <c r="Q25" s="45"/>
      <c r="R25" s="45"/>
      <c r="Z25" s="46">
        <f>E7</f>
        <v>20</v>
      </c>
      <c r="AA25" s="23">
        <f>AA23</f>
        <v>-7.5</v>
      </c>
    </row>
    <row r="26" spans="2:29" ht="15.75" thickBot="1" x14ac:dyDescent="0.3">
      <c r="B26" s="14"/>
      <c r="C26" s="15"/>
      <c r="D26" s="15"/>
      <c r="E26" s="15"/>
      <c r="F26" s="15"/>
      <c r="G26" s="16"/>
      <c r="Z26" s="26">
        <f>Z25</f>
        <v>20</v>
      </c>
      <c r="AA26" s="23">
        <f>AA21</f>
        <v>-2</v>
      </c>
    </row>
    <row r="27" spans="2:29" x14ac:dyDescent="0.25">
      <c r="Z27" s="26">
        <f>Z26</f>
        <v>20</v>
      </c>
      <c r="AA27" s="23">
        <f>AA22</f>
        <v>-10</v>
      </c>
    </row>
    <row r="29" spans="2:29" x14ac:dyDescent="0.25">
      <c r="I29" s="107" t="s">
        <v>65</v>
      </c>
      <c r="J29" s="134"/>
      <c r="K29" s="134"/>
      <c r="L29" s="134"/>
      <c r="M29" s="108"/>
      <c r="N29" s="47"/>
      <c r="O29" s="107" t="s">
        <v>66</v>
      </c>
      <c r="P29" s="134"/>
      <c r="Q29" s="134"/>
      <c r="R29" s="134"/>
      <c r="S29" s="108"/>
      <c r="Z29" s="23">
        <f>-2</f>
        <v>-2</v>
      </c>
      <c r="AA29" s="23">
        <v>0</v>
      </c>
    </row>
    <row r="30" spans="2:29" x14ac:dyDescent="0.25">
      <c r="Z30" s="23">
        <f>-8</f>
        <v>-8</v>
      </c>
      <c r="AA30" s="23">
        <v>0</v>
      </c>
    </row>
    <row r="31" spans="2:29" x14ac:dyDescent="0.25">
      <c r="D31" s="107" t="s">
        <v>16</v>
      </c>
      <c r="E31" s="108"/>
      <c r="I31" s="107" t="s">
        <v>9</v>
      </c>
      <c r="J31" s="108"/>
      <c r="L31" s="117" t="s">
        <v>43</v>
      </c>
      <c r="M31" s="118"/>
      <c r="O31" s="107" t="s">
        <v>9</v>
      </c>
      <c r="P31" s="108"/>
      <c r="R31" s="117" t="s">
        <v>43</v>
      </c>
      <c r="S31" s="118"/>
      <c r="Z31" s="23">
        <f>-4.5</f>
        <v>-4.5</v>
      </c>
      <c r="AA31" s="23">
        <v>0</v>
      </c>
    </row>
    <row r="32" spans="2:29" x14ac:dyDescent="0.25">
      <c r="D32" s="30" t="s">
        <v>11</v>
      </c>
      <c r="E32" s="100">
        <f>E24/1.4</f>
        <v>1.7857142857142858</v>
      </c>
      <c r="I32" s="79" t="s">
        <v>12</v>
      </c>
      <c r="J32" s="90">
        <v>15.36003933238066</v>
      </c>
      <c r="L32" s="59" t="s">
        <v>44</v>
      </c>
      <c r="M32" s="82">
        <f>M38+M39+M40+M41+M42</f>
        <v>-999.99999999999955</v>
      </c>
      <c r="O32" s="79" t="s">
        <v>12</v>
      </c>
      <c r="P32" s="90">
        <v>32.183084843275488</v>
      </c>
      <c r="R32" s="59" t="s">
        <v>44</v>
      </c>
      <c r="S32" s="82">
        <f>S38+S39+S40+S41+S42</f>
        <v>-999.99999999999955</v>
      </c>
      <c r="Z32" s="23">
        <f>Z31</f>
        <v>-4.5</v>
      </c>
      <c r="AA32" s="23">
        <f>E8/2</f>
        <v>20</v>
      </c>
    </row>
    <row r="33" spans="4:27" x14ac:dyDescent="0.25">
      <c r="D33" s="30" t="s">
        <v>14</v>
      </c>
      <c r="E33" s="100">
        <f>E25/1.15</f>
        <v>43.478260869565219</v>
      </c>
      <c r="I33" s="81" t="s">
        <v>23</v>
      </c>
      <c r="J33" s="80">
        <f>0.259*P9</f>
        <v>4.1440000000000001</v>
      </c>
      <c r="L33" s="59" t="s">
        <v>45</v>
      </c>
      <c r="M33" s="82">
        <f>-M38*M45-M39*M46-M40*M47-M41*M48-M42*M49</f>
        <v>5368.6700699857129</v>
      </c>
      <c r="O33" s="81" t="s">
        <v>23</v>
      </c>
      <c r="P33" s="80">
        <f>0.259*S9</f>
        <v>9.3239999999999998</v>
      </c>
      <c r="R33" s="59" t="s">
        <v>45</v>
      </c>
      <c r="S33" s="82">
        <f>-S38*S45-S39*S46-S40*S47-S41*S48-S42*S49</f>
        <v>9182.5463012323071</v>
      </c>
      <c r="Z33" s="23">
        <f>Z32</f>
        <v>-4.5</v>
      </c>
      <c r="AA33" s="26">
        <f>E8</f>
        <v>40</v>
      </c>
    </row>
    <row r="34" spans="4:27" x14ac:dyDescent="0.25">
      <c r="D34" s="30" t="s">
        <v>21</v>
      </c>
      <c r="E34" s="101">
        <v>21000</v>
      </c>
      <c r="I34" s="81" t="s">
        <v>24</v>
      </c>
      <c r="J34" s="80">
        <f>0.628*P9</f>
        <v>10.048</v>
      </c>
      <c r="L34" s="59" t="s">
        <v>46</v>
      </c>
      <c r="M34" s="82">
        <f>M32+E12</f>
        <v>0</v>
      </c>
      <c r="O34" s="81" t="s">
        <v>24</v>
      </c>
      <c r="P34" s="80">
        <f>0.628*S9</f>
        <v>22.608000000000001</v>
      </c>
      <c r="R34" s="59" t="s">
        <v>46</v>
      </c>
      <c r="S34" s="82">
        <f>S32+E12</f>
        <v>0</v>
      </c>
      <c r="Z34" s="23">
        <f>Z29</f>
        <v>-2</v>
      </c>
      <c r="AA34" s="26">
        <f>AA33</f>
        <v>40</v>
      </c>
    </row>
    <row r="35" spans="4:27" x14ac:dyDescent="0.25">
      <c r="D35" s="30" t="s">
        <v>22</v>
      </c>
      <c r="E35" s="102">
        <f>E33/E34*1000</f>
        <v>2.0703933747412009</v>
      </c>
      <c r="I35" s="107" t="str">
        <f>IF(J32&lt;0,"Domínio 1",IF(J32&lt;J33,"Domínio 2",IF(J32&lt;J34,"Domínio 3",IF(J32&lt;P9,"Domínio 4",IF(J32&lt;P8,"Domínio 4a","Domínio 5")))))</f>
        <v>Domínio 4</v>
      </c>
      <c r="J35" s="108"/>
      <c r="L35" s="59" t="s">
        <v>47</v>
      </c>
      <c r="M35" s="82">
        <f>M33-E12*P8/2+P19</f>
        <v>0</v>
      </c>
      <c r="O35" s="107" t="str">
        <f>IF(P32&lt;0,"Domínio 1",IF(P32&lt;P33,"Domínio 2",IF(P32&lt;P34,"Domínio 3",IF(P32&lt;Y9,"Domínio 4",IF(P32&lt;Y8,"Domínio 4a","Domínio 5")))))</f>
        <v>Domínio 5</v>
      </c>
      <c r="P35" s="108"/>
      <c r="R35" s="59" t="s">
        <v>47</v>
      </c>
      <c r="S35" s="82">
        <f>S33-E12*S8/2+S19</f>
        <v>0</v>
      </c>
      <c r="Z35" s="23">
        <f>Z30</f>
        <v>-8</v>
      </c>
      <c r="AA35" s="23">
        <f>AA33</f>
        <v>40</v>
      </c>
    </row>
    <row r="36" spans="4:27" x14ac:dyDescent="0.25">
      <c r="D36" s="27"/>
      <c r="E36" s="27"/>
    </row>
    <row r="37" spans="4:27" x14ac:dyDescent="0.25">
      <c r="D37" s="107" t="s">
        <v>1</v>
      </c>
      <c r="E37" s="108"/>
      <c r="I37" s="117" t="s">
        <v>2</v>
      </c>
      <c r="J37" s="118"/>
      <c r="L37" s="117" t="s">
        <v>37</v>
      </c>
      <c r="M37" s="118"/>
      <c r="O37" s="117" t="s">
        <v>2</v>
      </c>
      <c r="P37" s="118"/>
      <c r="R37" s="117" t="s">
        <v>37</v>
      </c>
      <c r="S37" s="118"/>
      <c r="Z37" s="23">
        <v>0</v>
      </c>
      <c r="AA37" s="23">
        <v>0</v>
      </c>
    </row>
    <row r="38" spans="4:27" x14ac:dyDescent="0.25">
      <c r="D38" s="81" t="s">
        <v>3</v>
      </c>
      <c r="E38" s="103">
        <f>IF(E24&lt;=5,0.8,0.8-(E24*10-50)/400)</f>
        <v>0.8</v>
      </c>
      <c r="I38" s="59" t="s">
        <v>4</v>
      </c>
      <c r="J38" s="60">
        <f>IF(J32&lt;0,10/1000,IF(J32&lt;J33,10/1000,IF(J32&lt;J34,3.5/1000*(P9-J32)/J32,IF(J32&lt;P9,3.5/1000*(P9-J32)/J32,IF(J32&lt;P8,-3.5/1000*(J32-P9)/J32,-2/1000*(J32-P9)/(J32-3/7*P8))))))*1000</f>
        <v>0.14582399746502026</v>
      </c>
      <c r="L38" s="59" t="s">
        <v>38</v>
      </c>
      <c r="M38" s="62">
        <f>IF(J32&lt;0,0,IF(J32&lt;P8/$E38,-$E38*$E39*$E40*$E32*P7*J32,-$E39*$E40*$E32*P7*P8))</f>
        <v>-746.05905328706069</v>
      </c>
      <c r="O38" s="59" t="s">
        <v>4</v>
      </c>
      <c r="P38" s="60">
        <f>IF(P32&lt;0,10/1000,IF(P32&lt;P33,10/1000,IF(P32&lt;P34,3.5/1000*(S9-P32)/P32,IF(P32&lt;S9,3.5/1000*(S9-P32)/P32,IF(P32&lt;S8,-3.5/1000*(P32-S9)/P32,-2/1000*(P32-S9)/(P32-3/7*S8))))))*1000</f>
        <v>0.41510014076003465</v>
      </c>
      <c r="R38" s="59" t="s">
        <v>38</v>
      </c>
      <c r="S38" s="62">
        <f>IF(P32&lt;0,0,IF(P32&lt;S8/$E38,-$E38*$E39*$E40*$E32*S7*P32,-$E39*$E40*$E32*S7*S8))</f>
        <v>-781.5892033366905</v>
      </c>
      <c r="Z38" s="26">
        <f>MAX(E7:E8)+20</f>
        <v>60</v>
      </c>
      <c r="AA38" s="26">
        <f>MAX(E7:E8)</f>
        <v>40</v>
      </c>
    </row>
    <row r="39" spans="4:27" x14ac:dyDescent="0.25">
      <c r="D39" s="30" t="s">
        <v>85</v>
      </c>
      <c r="E39" s="104">
        <f>IF(E24&lt;=5,0.85,0.85*(1-(E24*10-50)/200))</f>
        <v>0.85</v>
      </c>
      <c r="I39" s="65" t="s">
        <v>5</v>
      </c>
      <c r="J39" s="66">
        <f>IF(J32&lt;0,10/1000*(P10-J32)/(P9-J32),IF(J32&lt;J33,10/1000*(P10-J32)/(P9-J32),IF(J32&lt;J34,-3.5/1000*(J32-P10)/J32,IF(J32&lt;P9,3.5/1000*(P10-J32)/J32,IF(J32&lt;P8,-3.5/1000*(J32-P10)/J32,-2/1000*(J32-P10)/(J32-3/7*P8))))))*1000</f>
        <v>-2.5885440006337452</v>
      </c>
      <c r="L39" s="59" t="s">
        <v>39</v>
      </c>
      <c r="M39" s="62">
        <f>P13*J44</f>
        <v>19.241023164434576</v>
      </c>
      <c r="O39" s="65" t="s">
        <v>5</v>
      </c>
      <c r="P39" s="66">
        <f>IF(P32&lt;0,10/1000*(S10-P32)/(S9-P32),IF(P32&lt;P33,10/1000*(S10-P32)/(S9-P32),IF(P32&lt;P34,-3.5/1000*(P32-S10)/P32,IF(P32&lt;S9,3.5/1000*(S10-P32)/P32,IF(P32&lt;S8,-3.5/1000*(P32-S10)/P32,-2/1000*(P32-S10)/(P32-3/7*S8))))))*1000</f>
        <v>-3.0649888732488852</v>
      </c>
      <c r="R39" s="59" t="s">
        <v>39</v>
      </c>
      <c r="S39" s="62">
        <f>S13*P44</f>
        <v>54.771173214064177</v>
      </c>
    </row>
    <row r="40" spans="4:27" x14ac:dyDescent="0.25">
      <c r="D40" s="30" t="s">
        <v>84</v>
      </c>
      <c r="E40" s="76">
        <f>IF(E24&lt;=4,1,(4/E24)^(1/3))</f>
        <v>1</v>
      </c>
      <c r="I40" s="59" t="s">
        <v>25</v>
      </c>
      <c r="J40" s="71">
        <f>IF(E15=2,0,IF(E15=3,(J38+J39)/2,IF(E15=4,2/3*J38+1/3*J39,0)))</f>
        <v>0</v>
      </c>
      <c r="L40" s="59" t="s">
        <v>40</v>
      </c>
      <c r="M40" s="62">
        <f>P14*J45</f>
        <v>-273.18196987737332</v>
      </c>
      <c r="O40" s="59" t="s">
        <v>25</v>
      </c>
      <c r="P40" s="71">
        <f>IF(E16=2,0,IF(E16=3,(P38+P39)/2,IF(E16=4,2/3*P38+1/3*P39,0)))</f>
        <v>0</v>
      </c>
      <c r="R40" s="59" t="s">
        <v>40</v>
      </c>
      <c r="S40" s="62">
        <f>S14*P45</f>
        <v>-273.18196987737332</v>
      </c>
    </row>
    <row r="41" spans="4:27" x14ac:dyDescent="0.25">
      <c r="I41" s="59" t="s">
        <v>29</v>
      </c>
      <c r="J41" s="71">
        <f>IF(E15=2,0,IF(E15=3,0,IF(E15=4,1/3*J38+2/3*J39,0)))</f>
        <v>0</v>
      </c>
      <c r="L41" s="59" t="s">
        <v>41</v>
      </c>
      <c r="M41" s="62">
        <f>P15*J46</f>
        <v>0</v>
      </c>
      <c r="O41" s="59" t="s">
        <v>29</v>
      </c>
      <c r="P41" s="71">
        <f>IF(E16=2,0,IF(E16=3,0,IF(E16=4,1/3*P38+2/3*P39,0)))</f>
        <v>0</v>
      </c>
      <c r="R41" s="59" t="s">
        <v>41</v>
      </c>
      <c r="S41" s="62">
        <f>S15*P46</f>
        <v>0</v>
      </c>
    </row>
    <row r="42" spans="4:27" x14ac:dyDescent="0.25">
      <c r="L42" s="59" t="s">
        <v>42</v>
      </c>
      <c r="M42" s="62">
        <f>P16*J47</f>
        <v>0</v>
      </c>
      <c r="R42" s="59" t="s">
        <v>42</v>
      </c>
      <c r="S42" s="62">
        <f>S16*P47</f>
        <v>0</v>
      </c>
    </row>
    <row r="43" spans="4:27" x14ac:dyDescent="0.25">
      <c r="I43" s="117" t="s">
        <v>34</v>
      </c>
      <c r="J43" s="118"/>
      <c r="L43" s="67"/>
      <c r="O43" s="117" t="s">
        <v>34</v>
      </c>
      <c r="P43" s="118"/>
      <c r="R43" s="67"/>
    </row>
    <row r="44" spans="4:27" x14ac:dyDescent="0.25">
      <c r="I44" s="59" t="s">
        <v>30</v>
      </c>
      <c r="J44" s="58">
        <f>IF(J38&lt;-$E$35,-$E$33,IF(J38&lt;$E$35,$E$34*J38/1000,$E$33))</f>
        <v>3.0623039467654252</v>
      </c>
      <c r="L44" s="117" t="s">
        <v>50</v>
      </c>
      <c r="M44" s="118"/>
      <c r="O44" s="59" t="s">
        <v>30</v>
      </c>
      <c r="P44" s="58">
        <f>IF(P38&lt;-$E$35,-$E$33,IF(P38&lt;$E$35,$E$34*P38/1000,$E$33))</f>
        <v>8.7171029559607263</v>
      </c>
      <c r="R44" s="117" t="s">
        <v>50</v>
      </c>
      <c r="S44" s="118"/>
    </row>
    <row r="45" spans="4:27" x14ac:dyDescent="0.25">
      <c r="I45" s="59" t="s">
        <v>31</v>
      </c>
      <c r="J45" s="58">
        <f>IF(J39&lt;-$E$35,-$E$33,IF(J39&lt;$E$35,$E$34*J39/1000,$E$33))</f>
        <v>-43.478260869565219</v>
      </c>
      <c r="L45" s="59" t="s">
        <v>38</v>
      </c>
      <c r="M45" s="77">
        <f>IF(J32&lt;0,0,IF(J32&lt;P8/$E38,$E38*J32/2,P8/2))</f>
        <v>6.1440157329522647</v>
      </c>
      <c r="O45" s="59" t="s">
        <v>31</v>
      </c>
      <c r="P45" s="58">
        <f>IF(P39&lt;-$E$35,-$E$33,IF(P39&lt;$E$35,$E$34*P39/1000,$E$33))</f>
        <v>-43.478260869565219</v>
      </c>
      <c r="R45" s="59" t="s">
        <v>38</v>
      </c>
      <c r="S45" s="77">
        <f>IF(P32&lt;0,0,IF(P32&lt;S8/$E38,$E38*P32/2,S8/2))</f>
        <v>12.873233937310196</v>
      </c>
    </row>
    <row r="46" spans="4:27" x14ac:dyDescent="0.25">
      <c r="I46" s="59" t="s">
        <v>32</v>
      </c>
      <c r="J46" s="58">
        <f>IF(J40&lt;-$E$35,-$E$33,IF(J40&lt;$E$35,$E$34*J40/1000,$E$33))</f>
        <v>0</v>
      </c>
      <c r="L46" s="59" t="s">
        <v>39</v>
      </c>
      <c r="M46" s="77">
        <f>P9</f>
        <v>16</v>
      </c>
      <c r="O46" s="59" t="s">
        <v>32</v>
      </c>
      <c r="P46" s="58">
        <f>IF(P40&lt;-$E$35,-$E$33,IF(P40&lt;$E$35,$E$34*P40/1000,$E$33))</f>
        <v>0</v>
      </c>
      <c r="R46" s="59" t="s">
        <v>39</v>
      </c>
      <c r="S46" s="77">
        <f>S9</f>
        <v>36</v>
      </c>
    </row>
    <row r="47" spans="4:27" x14ac:dyDescent="0.25">
      <c r="I47" s="59" t="s">
        <v>33</v>
      </c>
      <c r="J47" s="58">
        <f>IF(J41&lt;-$E$35,-$E$33,IF(J41&lt;$E$35,$E$34*J41/1000,$E$33))</f>
        <v>0</v>
      </c>
      <c r="L47" s="59" t="s">
        <v>40</v>
      </c>
      <c r="M47" s="77">
        <f>P10</f>
        <v>4</v>
      </c>
      <c r="O47" s="59" t="s">
        <v>33</v>
      </c>
      <c r="P47" s="58">
        <f>IF(P41&lt;-$E$35,-$E$33,IF(P41&lt;$E$35,$E$34*P41/1000,$E$33))</f>
        <v>0</v>
      </c>
      <c r="R47" s="59" t="s">
        <v>40</v>
      </c>
      <c r="S47" s="77">
        <f>S10</f>
        <v>4</v>
      </c>
    </row>
    <row r="48" spans="4:27" x14ac:dyDescent="0.25">
      <c r="L48" s="59" t="s">
        <v>41</v>
      </c>
      <c r="M48" s="77">
        <f>IF(E15=2,0,IF(E15=3,P8/2,IF(E15=4,P9-(P9-P10)/3,0)))</f>
        <v>0</v>
      </c>
      <c r="R48" s="59" t="s">
        <v>41</v>
      </c>
      <c r="S48" s="77">
        <f>IF(E16=2,0,IF(E16=3,S8/2,IF(E16=4,S9-(S9-S10)/3,0)))</f>
        <v>0</v>
      </c>
    </row>
    <row r="49" spans="12:19" x14ac:dyDescent="0.25">
      <c r="L49" s="59" t="s">
        <v>42</v>
      </c>
      <c r="M49" s="77">
        <f>IF(E15=2,0,IF(E15=3,0,IF(E15=4,P9-2*(P9-P10)/3,0)))</f>
        <v>0</v>
      </c>
      <c r="R49" s="59" t="s">
        <v>42</v>
      </c>
      <c r="S49" s="77">
        <f>IF(E16=2,0,IF(E16=3,0,IF(E16=4,S9-2*(S9-S10)/3,0)))</f>
        <v>0</v>
      </c>
    </row>
  </sheetData>
  <sheetProtection algorithmName="SHA-512" hashValue="JIZUiEzVQ8hanyCYjLHLteja2dm9yXBFraj1ocdqNmHP44JNyrYURnHLxKyX+DHs70vhPX2BqqBOOs7pGER01A==" saltValue="2z5r/n7z3FfOeVFkW0u8Zw==" spinCount="100000" sheet="1" objects="1" scenarios="1" selectLockedCells="1"/>
  <mergeCells count="33">
    <mergeCell ref="O35:P35"/>
    <mergeCell ref="O37:P37"/>
    <mergeCell ref="R37:S37"/>
    <mergeCell ref="O43:P43"/>
    <mergeCell ref="R44:S44"/>
    <mergeCell ref="L37:M37"/>
    <mergeCell ref="L44:M44"/>
    <mergeCell ref="I29:M29"/>
    <mergeCell ref="D31:E31"/>
    <mergeCell ref="D37:E37"/>
    <mergeCell ref="I35:J35"/>
    <mergeCell ref="I37:J37"/>
    <mergeCell ref="I43:J43"/>
    <mergeCell ref="D6:E6"/>
    <mergeCell ref="D11:E11"/>
    <mergeCell ref="C3:F4"/>
    <mergeCell ref="I31:J31"/>
    <mergeCell ref="L31:M31"/>
    <mergeCell ref="D14:E14"/>
    <mergeCell ref="O29:S29"/>
    <mergeCell ref="O31:P31"/>
    <mergeCell ref="R31:S31"/>
    <mergeCell ref="D23:E23"/>
    <mergeCell ref="D18:E18"/>
    <mergeCell ref="O18:P18"/>
    <mergeCell ref="R18:S18"/>
    <mergeCell ref="O12:P12"/>
    <mergeCell ref="AB16:AC16"/>
    <mergeCell ref="O4:P4"/>
    <mergeCell ref="R4:S4"/>
    <mergeCell ref="R6:S6"/>
    <mergeCell ref="R12:S12"/>
    <mergeCell ref="O6:P6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blíqua">
                <anchor moveWithCells="1" sizeWithCells="1">
                  <from>
                    <xdr:col>2</xdr:col>
                    <xdr:colOff>361950</xdr:colOff>
                    <xdr:row>26</xdr:row>
                    <xdr:rowOff>180975</xdr:rowOff>
                  </from>
                  <to>
                    <xdr:col>5</xdr:col>
                    <xdr:colOff>142875</xdr:colOff>
                    <xdr:row>29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8C400-1869-4B9F-9D68-B3DC0B0471BE}">
  <sheetPr codeName="Planilha3"/>
  <dimension ref="B1:AF54"/>
  <sheetViews>
    <sheetView tabSelected="1" zoomScaleNormal="100" workbookViewId="0">
      <selection activeCell="B2" sqref="B2"/>
    </sheetView>
  </sheetViews>
  <sheetFormatPr defaultColWidth="9.140625" defaultRowHeight="15" x14ac:dyDescent="0.25"/>
  <cols>
    <col min="1" max="2" width="4.5703125" style="23" customWidth="1"/>
    <col min="3" max="3" width="9.140625" style="23"/>
    <col min="4" max="4" width="5.85546875" style="23" bestFit="1" customWidth="1"/>
    <col min="5" max="5" width="6.85546875" style="23" customWidth="1"/>
    <col min="6" max="6" width="7" style="23" customWidth="1"/>
    <col min="7" max="7" width="9.140625" style="23"/>
    <col min="8" max="9" width="4.5703125" style="23" customWidth="1"/>
    <col min="10" max="10" width="7.140625" style="23" bestFit="1" customWidth="1"/>
    <col min="11" max="11" width="13.5703125" style="23" customWidth="1"/>
    <col min="12" max="12" width="5.7109375" style="23" customWidth="1"/>
    <col min="13" max="13" width="7.140625" style="23" customWidth="1"/>
    <col min="14" max="14" width="13.5703125" style="23" customWidth="1"/>
    <col min="15" max="15" width="5.7109375" style="23" customWidth="1"/>
    <col min="16" max="16" width="5" style="23" customWidth="1"/>
    <col min="17" max="17" width="12" style="23" customWidth="1"/>
    <col min="18" max="18" width="5.7109375" style="23" customWidth="1"/>
    <col min="19" max="19" width="6.28515625" style="23" customWidth="1"/>
    <col min="20" max="20" width="5.7109375" style="23" customWidth="1"/>
    <col min="21" max="21" width="6" style="23" customWidth="1"/>
    <col min="22" max="23" width="6" style="27" hidden="1" customWidth="1"/>
    <col min="24" max="24" width="5.7109375" style="23" hidden="1" customWidth="1"/>
    <col min="25" max="26" width="6.85546875" style="23" hidden="1" customWidth="1"/>
    <col min="27" max="29" width="6" style="23" customWidth="1"/>
    <col min="30" max="16384" width="9.140625" style="23"/>
  </cols>
  <sheetData>
    <row r="1" spans="2:32" ht="15.75" thickBot="1" x14ac:dyDescent="0.3"/>
    <row r="2" spans="2:32" ht="15.75" thickBot="1" x14ac:dyDescent="0.3">
      <c r="B2" s="1"/>
      <c r="C2" s="2"/>
      <c r="D2" s="2"/>
      <c r="E2" s="2"/>
      <c r="F2" s="2"/>
      <c r="G2" s="2"/>
      <c r="H2" s="3"/>
      <c r="U2" s="47"/>
    </row>
    <row r="3" spans="2:32" x14ac:dyDescent="0.25">
      <c r="B3" s="4"/>
      <c r="C3" s="125" t="s">
        <v>0</v>
      </c>
      <c r="D3" s="126"/>
      <c r="E3" s="126"/>
      <c r="F3" s="126"/>
      <c r="G3" s="127"/>
      <c r="H3" s="5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7" t="s">
        <v>12</v>
      </c>
      <c r="W3" s="27" t="s">
        <v>55</v>
      </c>
      <c r="X3" s="29"/>
      <c r="Y3" s="29" t="s">
        <v>74</v>
      </c>
      <c r="Z3" s="29" t="s">
        <v>75</v>
      </c>
      <c r="AA3" s="24"/>
      <c r="AE3" s="27"/>
      <c r="AF3" s="27"/>
    </row>
    <row r="4" spans="2:32" ht="15.75" thickBot="1" x14ac:dyDescent="0.3">
      <c r="B4" s="4"/>
      <c r="C4" s="128"/>
      <c r="D4" s="129"/>
      <c r="E4" s="129"/>
      <c r="F4" s="129"/>
      <c r="G4" s="130"/>
      <c r="H4" s="5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7">
        <v>0</v>
      </c>
      <c r="W4" s="27">
        <f>Z$4*(1-(V4/Y$4)^1.2)^(1/1.2)</f>
        <v>13.48314606741573</v>
      </c>
      <c r="X4" s="29"/>
      <c r="Y4" s="29">
        <f>E19/E16</f>
        <v>17.977528089887642</v>
      </c>
      <c r="Z4" s="29">
        <f>E20/E16</f>
        <v>13.48314606741573</v>
      </c>
      <c r="AA4" s="24"/>
    </row>
    <row r="5" spans="2:32" x14ac:dyDescent="0.25">
      <c r="B5" s="4"/>
      <c r="C5" s="6"/>
      <c r="D5" s="6"/>
      <c r="E5" s="6"/>
      <c r="F5" s="6"/>
      <c r="G5" s="6"/>
      <c r="H5" s="5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7">
        <f>V4+Y$4/50</f>
        <v>0.35955056179775285</v>
      </c>
      <c r="W5" s="27">
        <f t="shared" ref="W5:W54" si="0">Z$4*(1-(V5/Y$4)^1.2)^(1/1.2)</f>
        <v>13.380302282171103</v>
      </c>
      <c r="X5" s="29"/>
      <c r="Y5" s="29"/>
      <c r="Z5" s="29"/>
      <c r="AA5" s="24"/>
      <c r="AE5" s="26"/>
    </row>
    <row r="6" spans="2:32" x14ac:dyDescent="0.25">
      <c r="B6" s="4"/>
      <c r="C6" s="6"/>
      <c r="D6" s="123" t="s">
        <v>20</v>
      </c>
      <c r="E6" s="140"/>
      <c r="F6" s="124"/>
      <c r="G6" s="6"/>
      <c r="H6" s="5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7">
        <f t="shared" ref="V6:V54" si="1">V5+Y$4/50</f>
        <v>0.71910112359550571</v>
      </c>
      <c r="W6" s="27">
        <f t="shared" si="0"/>
        <v>13.246636861307488</v>
      </c>
      <c r="X6" s="29"/>
      <c r="Y6" s="93">
        <f>MAX(E8:F13,Y4:Z4)</f>
        <v>17.977528089887642</v>
      </c>
      <c r="Z6" s="93">
        <f>Y6</f>
        <v>17.977528089887642</v>
      </c>
      <c r="AA6" s="24"/>
      <c r="AE6" s="26"/>
      <c r="AF6" s="26"/>
    </row>
    <row r="7" spans="2:32" x14ac:dyDescent="0.25">
      <c r="B7" s="4"/>
      <c r="C7" s="6"/>
      <c r="D7" s="54" t="s">
        <v>71</v>
      </c>
      <c r="E7" s="49" t="s">
        <v>72</v>
      </c>
      <c r="F7" s="55" t="s">
        <v>73</v>
      </c>
      <c r="G7" s="6"/>
      <c r="H7" s="5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7">
        <f t="shared" si="1"/>
        <v>1.0786516853932586</v>
      </c>
      <c r="W7" s="27">
        <f t="shared" si="0"/>
        <v>13.097984021988481</v>
      </c>
      <c r="X7" s="29"/>
      <c r="Y7" s="29"/>
      <c r="Z7" s="29"/>
      <c r="AA7" s="24"/>
      <c r="AE7" s="26"/>
      <c r="AF7" s="26"/>
    </row>
    <row r="8" spans="2:32" x14ac:dyDescent="0.25">
      <c r="B8" s="4"/>
      <c r="C8" s="6"/>
      <c r="D8" s="17" t="s">
        <v>76</v>
      </c>
      <c r="E8" s="50">
        <v>2.1</v>
      </c>
      <c r="F8" s="51">
        <v>0</v>
      </c>
      <c r="G8" s="6"/>
      <c r="H8" s="5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7">
        <f t="shared" si="1"/>
        <v>1.4382022471910114</v>
      </c>
      <c r="W8" s="27">
        <f t="shared" si="0"/>
        <v>12.938524178180852</v>
      </c>
      <c r="X8" s="29"/>
      <c r="Y8" s="29"/>
      <c r="Z8" s="29"/>
      <c r="AA8" s="24"/>
      <c r="AF8" s="26"/>
    </row>
    <row r="9" spans="2:32" x14ac:dyDescent="0.25">
      <c r="B9" s="4"/>
      <c r="C9" s="6"/>
      <c r="D9" s="17" t="s">
        <v>77</v>
      </c>
      <c r="E9" s="50">
        <v>0.39</v>
      </c>
      <c r="F9" s="51">
        <v>2.4</v>
      </c>
      <c r="G9" s="6"/>
      <c r="H9" s="5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7">
        <f t="shared" si="1"/>
        <v>1.7977528089887642</v>
      </c>
      <c r="W9" s="27">
        <f t="shared" si="0"/>
        <v>12.770382914190533</v>
      </c>
      <c r="X9" s="29"/>
      <c r="Y9" s="29"/>
      <c r="Z9" s="29"/>
      <c r="AA9" s="24"/>
    </row>
    <row r="10" spans="2:32" x14ac:dyDescent="0.25">
      <c r="B10" s="4"/>
      <c r="C10" s="6"/>
      <c r="D10" s="52" t="s">
        <v>78</v>
      </c>
      <c r="E10" s="50">
        <v>2.1</v>
      </c>
      <c r="F10" s="51">
        <v>0</v>
      </c>
      <c r="G10" s="6"/>
      <c r="H10" s="5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7">
        <f t="shared" si="1"/>
        <v>2.1573033707865172</v>
      </c>
      <c r="W10" s="27">
        <f t="shared" si="0"/>
        <v>12.594865251233697</v>
      </c>
      <c r="X10" s="29"/>
      <c r="Y10" s="29"/>
      <c r="Z10" s="29"/>
      <c r="AA10" s="24"/>
    </row>
    <row r="11" spans="2:32" x14ac:dyDescent="0.25">
      <c r="B11" s="4"/>
      <c r="C11" s="6"/>
      <c r="D11" s="52" t="s">
        <v>79</v>
      </c>
      <c r="E11" s="50">
        <v>0.49</v>
      </c>
      <c r="F11" s="51">
        <v>2.4</v>
      </c>
      <c r="G11" s="6"/>
      <c r="H11" s="5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7">
        <f t="shared" si="1"/>
        <v>2.51685393258427</v>
      </c>
      <c r="W11" s="27">
        <f t="shared" si="0"/>
        <v>12.41285690512083</v>
      </c>
      <c r="X11" s="29"/>
      <c r="Y11" s="29"/>
      <c r="Z11" s="29"/>
      <c r="AA11" s="24"/>
    </row>
    <row r="12" spans="2:32" x14ac:dyDescent="0.25">
      <c r="B12" s="4"/>
      <c r="C12" s="6"/>
      <c r="D12" s="52" t="s">
        <v>80</v>
      </c>
      <c r="E12" s="50">
        <v>3.57</v>
      </c>
      <c r="F12" s="51">
        <v>0</v>
      </c>
      <c r="G12" s="6"/>
      <c r="H12" s="5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7">
        <f t="shared" si="1"/>
        <v>2.8764044943820228</v>
      </c>
      <c r="W12" s="27">
        <f t="shared" si="0"/>
        <v>12.224997779516064</v>
      </c>
      <c r="X12" s="29"/>
      <c r="Y12" s="29"/>
      <c r="Z12" s="29"/>
      <c r="AA12" s="24"/>
      <c r="AE12" s="26"/>
      <c r="AF12" s="26"/>
    </row>
    <row r="13" spans="2:32" x14ac:dyDescent="0.25">
      <c r="B13" s="4"/>
      <c r="C13" s="6"/>
      <c r="D13" s="17" t="s">
        <v>81</v>
      </c>
      <c r="E13" s="50">
        <v>0.2</v>
      </c>
      <c r="F13" s="51">
        <v>2.4</v>
      </c>
      <c r="G13" s="6"/>
      <c r="H13" s="5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7">
        <f t="shared" si="1"/>
        <v>3.2359550561797756</v>
      </c>
      <c r="W13" s="27">
        <f t="shared" si="0"/>
        <v>12.03177011505942</v>
      </c>
      <c r="X13" s="29"/>
      <c r="Y13" s="29"/>
      <c r="Z13" s="29"/>
      <c r="AA13" s="24"/>
      <c r="AE13" s="26"/>
      <c r="AF13" s="26"/>
    </row>
    <row r="14" spans="2:32" x14ac:dyDescent="0.25">
      <c r="B14" s="4"/>
      <c r="C14" s="6"/>
      <c r="D14" s="6"/>
      <c r="E14" s="6"/>
      <c r="F14" s="48"/>
      <c r="G14" s="6"/>
      <c r="H14" s="5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7">
        <f t="shared" si="1"/>
        <v>3.5955056179775284</v>
      </c>
      <c r="W14" s="27">
        <f t="shared" si="0"/>
        <v>11.833548299258934</v>
      </c>
      <c r="X14" s="29"/>
      <c r="Y14" s="29"/>
      <c r="Z14" s="29"/>
      <c r="AA14" s="24"/>
      <c r="AE14" s="26"/>
      <c r="AF14" s="26"/>
    </row>
    <row r="15" spans="2:32" x14ac:dyDescent="0.25">
      <c r="B15" s="4"/>
      <c r="C15" s="6"/>
      <c r="D15" s="120" t="s">
        <v>61</v>
      </c>
      <c r="E15" s="135"/>
      <c r="F15" s="121"/>
      <c r="G15" s="6"/>
      <c r="H15" s="5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7">
        <f t="shared" si="1"/>
        <v>3.9550561797752812</v>
      </c>
      <c r="W15" s="27">
        <f t="shared" si="0"/>
        <v>11.630629229363189</v>
      </c>
      <c r="X15" s="29"/>
      <c r="Y15" s="29"/>
      <c r="Z15" s="29"/>
      <c r="AA15" s="24"/>
      <c r="AE15" s="26"/>
      <c r="AF15" s="26"/>
    </row>
    <row r="16" spans="2:32" x14ac:dyDescent="0.25">
      <c r="B16" s="4"/>
      <c r="C16" s="6"/>
      <c r="D16" s="17" t="s">
        <v>19</v>
      </c>
      <c r="E16" s="136">
        <v>178</v>
      </c>
      <c r="F16" s="137"/>
      <c r="G16" s="6"/>
      <c r="H16" s="5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7">
        <f t="shared" si="1"/>
        <v>4.3146067415730345</v>
      </c>
      <c r="W16" s="27">
        <f t="shared" si="0"/>
        <v>11.423251902083113</v>
      </c>
      <c r="X16" s="29"/>
      <c r="Y16" s="29"/>
      <c r="Z16" s="29"/>
      <c r="AA16" s="24"/>
      <c r="AE16" s="26"/>
      <c r="AF16" s="26"/>
    </row>
    <row r="17" spans="2:32" x14ac:dyDescent="0.25">
      <c r="B17" s="4"/>
      <c r="C17" s="6"/>
      <c r="D17" s="6"/>
      <c r="E17" s="6"/>
      <c r="F17" s="6"/>
      <c r="G17" s="6"/>
      <c r="H17" s="5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7">
        <f t="shared" si="1"/>
        <v>4.6741573033707873</v>
      </c>
      <c r="W17" s="27">
        <f t="shared" si="0"/>
        <v>11.211610618719902</v>
      </c>
      <c r="X17" s="29"/>
      <c r="Y17" s="29"/>
      <c r="Z17" s="29"/>
      <c r="AA17" s="24"/>
    </row>
    <row r="18" spans="2:32" x14ac:dyDescent="0.25">
      <c r="B18" s="4"/>
      <c r="C18" s="6"/>
      <c r="D18" s="120" t="s">
        <v>70</v>
      </c>
      <c r="E18" s="135"/>
      <c r="F18" s="121"/>
      <c r="G18" s="6"/>
      <c r="H18" s="5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7">
        <f t="shared" si="1"/>
        <v>5.0337078651685401</v>
      </c>
      <c r="W18" s="27">
        <f t="shared" si="0"/>
        <v>10.995864197630576</v>
      </c>
      <c r="X18" s="29"/>
      <c r="Y18" s="29"/>
      <c r="Z18" s="29"/>
      <c r="AA18" s="24"/>
      <c r="AE18" s="26"/>
      <c r="AF18" s="26"/>
    </row>
    <row r="19" spans="2:32" ht="15" customHeight="1" x14ac:dyDescent="0.25">
      <c r="B19" s="4"/>
      <c r="C19" s="6"/>
      <c r="D19" s="17" t="s">
        <v>68</v>
      </c>
      <c r="E19" s="138">
        <v>3200</v>
      </c>
      <c r="F19" s="139"/>
      <c r="G19" s="6"/>
      <c r="H19" s="5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7">
        <f t="shared" si="1"/>
        <v>5.3932584269662929</v>
      </c>
      <c r="W19" s="27">
        <f t="shared" si="0"/>
        <v>10.776142576837664</v>
      </c>
      <c r="X19" s="29"/>
      <c r="Y19" s="29"/>
      <c r="Z19" s="29"/>
      <c r="AA19" s="24"/>
      <c r="AB19" s="39"/>
      <c r="AC19" s="24"/>
      <c r="AE19" s="40"/>
      <c r="AF19" s="26"/>
    </row>
    <row r="20" spans="2:32" x14ac:dyDescent="0.25">
      <c r="B20" s="4"/>
      <c r="C20" s="6"/>
      <c r="D20" s="17" t="s">
        <v>69</v>
      </c>
      <c r="E20" s="138">
        <v>2400</v>
      </c>
      <c r="F20" s="139"/>
      <c r="G20" s="6"/>
      <c r="H20" s="5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7">
        <f t="shared" si="1"/>
        <v>5.7528089887640457</v>
      </c>
      <c r="W20" s="27">
        <f t="shared" si="0"/>
        <v>10.552551645223456</v>
      </c>
      <c r="X20" s="29"/>
      <c r="Y20" s="29"/>
      <c r="Z20" s="29"/>
      <c r="AA20" s="24"/>
      <c r="AB20" s="39"/>
      <c r="AE20" s="26"/>
      <c r="AF20" s="26"/>
    </row>
    <row r="21" spans="2:32" ht="15.75" thickBot="1" x14ac:dyDescent="0.3">
      <c r="B21" s="14"/>
      <c r="C21" s="15"/>
      <c r="D21" s="15"/>
      <c r="E21" s="15"/>
      <c r="F21" s="15"/>
      <c r="G21" s="15"/>
      <c r="H21" s="16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7">
        <f t="shared" si="1"/>
        <v>6.1123595505617985</v>
      </c>
      <c r="W21" s="27">
        <f t="shared" si="0"/>
        <v>10.325176830899423</v>
      </c>
      <c r="X21" s="29"/>
      <c r="Y21" s="29"/>
      <c r="Z21" s="29"/>
      <c r="AA21" s="24"/>
    </row>
    <row r="22" spans="2:32" x14ac:dyDescent="0.25">
      <c r="D22" s="89"/>
      <c r="E22" s="89"/>
      <c r="F22" s="89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7">
        <f t="shared" si="1"/>
        <v>6.4719101123595513</v>
      </c>
      <c r="W22" s="27">
        <f t="shared" si="0"/>
        <v>10.094085790787828</v>
      </c>
      <c r="X22" s="29"/>
      <c r="Y22" s="29"/>
      <c r="Z22" s="29"/>
      <c r="AA22" s="24"/>
    </row>
    <row r="23" spans="2:32" x14ac:dyDescent="0.25">
      <c r="D23" s="47"/>
      <c r="E23" s="47"/>
      <c r="F23" s="47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7">
        <f t="shared" si="1"/>
        <v>6.8314606741573041</v>
      </c>
      <c r="W23" s="27">
        <f t="shared" si="0"/>
        <v>9.859330431105116</v>
      </c>
      <c r="X23" s="29"/>
      <c r="Y23" s="29"/>
      <c r="Z23" s="29"/>
      <c r="AA23" s="24"/>
      <c r="AE23" s="46"/>
    </row>
    <row r="24" spans="2:32" x14ac:dyDescent="0.25"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7">
        <f t="shared" si="1"/>
        <v>7.1910112359550569</v>
      </c>
      <c r="W24" s="27">
        <f t="shared" si="0"/>
        <v>9.6209484150246283</v>
      </c>
      <c r="X24" s="29"/>
      <c r="Y24" s="29"/>
      <c r="Z24" s="29"/>
      <c r="AA24" s="24"/>
      <c r="AE24" s="26"/>
    </row>
    <row r="25" spans="2:32" x14ac:dyDescent="0.25"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7">
        <f t="shared" si="1"/>
        <v>7.5505617977528097</v>
      </c>
      <c r="W25" s="27">
        <f t="shared" si="0"/>
        <v>9.3789642650530496</v>
      </c>
      <c r="X25" s="29"/>
      <c r="Y25" s="29"/>
      <c r="Z25" s="29"/>
      <c r="AA25" s="24"/>
      <c r="AE25" s="26"/>
    </row>
    <row r="26" spans="2:32" x14ac:dyDescent="0.25"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7">
        <f t="shared" si="1"/>
        <v>7.9101123595505625</v>
      </c>
      <c r="W26" s="27">
        <f t="shared" si="0"/>
        <v>9.1333901341675681</v>
      </c>
      <c r="X26" s="29"/>
      <c r="Y26" s="29"/>
      <c r="Z26" s="29"/>
      <c r="AA26" s="24"/>
    </row>
    <row r="27" spans="2:32" x14ac:dyDescent="0.25">
      <c r="V27" s="27">
        <f t="shared" si="1"/>
        <v>8.2696629213483153</v>
      </c>
      <c r="W27" s="27">
        <f t="shared" si="0"/>
        <v>8.884226295872617</v>
      </c>
    </row>
    <row r="28" spans="2:32" x14ac:dyDescent="0.25">
      <c r="V28" s="27">
        <f t="shared" si="1"/>
        <v>8.629213483146069</v>
      </c>
      <c r="W28" s="27">
        <f t="shared" si="0"/>
        <v>8.6314613855107396</v>
      </c>
    </row>
    <row r="29" spans="2:32" x14ac:dyDescent="0.25">
      <c r="V29" s="27">
        <f t="shared" si="1"/>
        <v>8.9887640449438226</v>
      </c>
      <c r="W29" s="27">
        <f t="shared" si="0"/>
        <v>8.3750724110904553</v>
      </c>
    </row>
    <row r="30" spans="2:32" x14ac:dyDescent="0.25">
      <c r="V30" s="27">
        <f t="shared" si="1"/>
        <v>9.3483146067415763</v>
      </c>
      <c r="W30" s="27">
        <f t="shared" si="0"/>
        <v>8.115024539969248</v>
      </c>
    </row>
    <row r="31" spans="2:32" x14ac:dyDescent="0.25">
      <c r="V31" s="27">
        <f t="shared" si="1"/>
        <v>9.70786516853933</v>
      </c>
      <c r="W31" s="27">
        <f t="shared" si="0"/>
        <v>7.8512706567374106</v>
      </c>
      <c r="AF31" s="26"/>
    </row>
    <row r="32" spans="2:32" x14ac:dyDescent="0.25">
      <c r="V32" s="27">
        <f t="shared" si="1"/>
        <v>10.067415730337084</v>
      </c>
      <c r="W32" s="27">
        <f t="shared" si="0"/>
        <v>7.5837506765547333</v>
      </c>
      <c r="AF32" s="26"/>
    </row>
    <row r="33" spans="22:32" x14ac:dyDescent="0.25">
      <c r="V33" s="27">
        <f t="shared" si="1"/>
        <v>10.426966292134837</v>
      </c>
      <c r="W33" s="27">
        <f t="shared" si="0"/>
        <v>7.3123905859810359</v>
      </c>
    </row>
    <row r="34" spans="22:32" x14ac:dyDescent="0.25">
      <c r="V34" s="27">
        <f t="shared" si="1"/>
        <v>10.786516853932591</v>
      </c>
      <c r="W34" s="27">
        <f t="shared" si="0"/>
        <v>7.0371011688649512</v>
      </c>
    </row>
    <row r="35" spans="22:32" x14ac:dyDescent="0.25">
      <c r="V35" s="27">
        <f t="shared" si="1"/>
        <v>11.146067415730345</v>
      </c>
      <c r="W35" s="27">
        <f t="shared" si="0"/>
        <v>6.75777635665548</v>
      </c>
    </row>
    <row r="36" spans="22:32" x14ac:dyDescent="0.25">
      <c r="V36" s="27">
        <f t="shared" si="1"/>
        <v>11.505617977528098</v>
      </c>
      <c r="W36" s="27">
        <f t="shared" si="0"/>
        <v>6.4742911185696332</v>
      </c>
      <c r="AE36" s="26"/>
      <c r="AF36" s="26"/>
    </row>
    <row r="37" spans="22:32" x14ac:dyDescent="0.25">
      <c r="V37" s="27">
        <f t="shared" si="1"/>
        <v>11.865168539325852</v>
      </c>
      <c r="W37" s="27">
        <f t="shared" si="0"/>
        <v>6.1864987744652149</v>
      </c>
    </row>
    <row r="38" spans="22:32" x14ac:dyDescent="0.25">
      <c r="V38" s="27">
        <f t="shared" si="1"/>
        <v>12.224719101123606</v>
      </c>
      <c r="W38" s="27">
        <f t="shared" si="0"/>
        <v>5.894227567606082</v>
      </c>
    </row>
    <row r="39" spans="22:32" x14ac:dyDescent="0.25">
      <c r="V39" s="27">
        <f t="shared" si="1"/>
        <v>12.58426966292136</v>
      </c>
      <c r="W39" s="27">
        <f t="shared" si="0"/>
        <v>5.5972762688502646</v>
      </c>
    </row>
    <row r="40" spans="22:32" x14ac:dyDescent="0.25">
      <c r="V40" s="27">
        <f t="shared" si="1"/>
        <v>12.943820224719113</v>
      </c>
      <c r="W40" s="27">
        <f t="shared" si="0"/>
        <v>5.2954084870011906</v>
      </c>
    </row>
    <row r="41" spans="22:32" x14ac:dyDescent="0.25">
      <c r="V41" s="27">
        <f t="shared" si="1"/>
        <v>13.303370786516867</v>
      </c>
      <c r="W41" s="27">
        <f t="shared" si="0"/>
        <v>4.9883452136644664</v>
      </c>
    </row>
    <row r="42" spans="22:32" x14ac:dyDescent="0.25">
      <c r="V42" s="27">
        <f t="shared" si="1"/>
        <v>13.662921348314621</v>
      </c>
      <c r="W42" s="27">
        <f t="shared" si="0"/>
        <v>4.6757549033103309</v>
      </c>
    </row>
    <row r="43" spans="22:32" x14ac:dyDescent="0.25">
      <c r="V43" s="27">
        <f t="shared" si="1"/>
        <v>14.022471910112374</v>
      </c>
      <c r="W43" s="27">
        <f t="shared" si="0"/>
        <v>4.3572400242276057</v>
      </c>
    </row>
    <row r="44" spans="22:32" x14ac:dyDescent="0.25">
      <c r="V44" s="27">
        <f t="shared" si="1"/>
        <v>14.382022471910128</v>
      </c>
      <c r="W44" s="27">
        <f t="shared" si="0"/>
        <v>4.0323184100166989</v>
      </c>
    </row>
    <row r="45" spans="22:32" x14ac:dyDescent="0.25">
      <c r="V45" s="27">
        <f t="shared" si="1"/>
        <v>14.741573033707882</v>
      </c>
      <c r="W45" s="27">
        <f t="shared" si="0"/>
        <v>3.7003966937428658</v>
      </c>
    </row>
    <row r="46" spans="22:32" x14ac:dyDescent="0.25">
      <c r="V46" s="27">
        <f t="shared" si="1"/>
        <v>15.101123595505635</v>
      </c>
      <c r="W46" s="27">
        <f t="shared" si="0"/>
        <v>3.3607312086483643</v>
      </c>
    </row>
    <row r="47" spans="22:32" x14ac:dyDescent="0.25">
      <c r="V47" s="27">
        <f t="shared" si="1"/>
        <v>15.460674157303389</v>
      </c>
      <c r="W47" s="27">
        <f t="shared" si="0"/>
        <v>3.0123680997286146</v>
      </c>
    </row>
    <row r="48" spans="22:32" x14ac:dyDescent="0.25">
      <c r="V48" s="27">
        <f t="shared" si="1"/>
        <v>15.820224719101143</v>
      </c>
      <c r="W48" s="27">
        <f t="shared" si="0"/>
        <v>2.6540469140754652</v>
      </c>
    </row>
    <row r="49" spans="22:23" x14ac:dyDescent="0.25">
      <c r="V49" s="27">
        <f t="shared" si="1"/>
        <v>16.179775280898895</v>
      </c>
      <c r="W49" s="27">
        <f t="shared" si="0"/>
        <v>2.2840351943900727</v>
      </c>
    </row>
    <row r="50" spans="22:23" x14ac:dyDescent="0.25">
      <c r="V50" s="27">
        <f t="shared" si="1"/>
        <v>16.539325842696648</v>
      </c>
      <c r="W50" s="27">
        <f t="shared" si="0"/>
        <v>1.899819653891702</v>
      </c>
    </row>
    <row r="51" spans="22:23" x14ac:dyDescent="0.25">
      <c r="V51" s="27">
        <f t="shared" si="1"/>
        <v>16.898876404494402</v>
      </c>
      <c r="W51" s="27">
        <f t="shared" si="0"/>
        <v>1.497457050583074</v>
      </c>
    </row>
    <row r="52" spans="22:23" x14ac:dyDescent="0.25">
      <c r="V52" s="27">
        <f t="shared" si="1"/>
        <v>17.258426966292156</v>
      </c>
      <c r="W52" s="27">
        <f t="shared" si="0"/>
        <v>1.0699396036244881</v>
      </c>
    </row>
    <row r="53" spans="22:23" x14ac:dyDescent="0.25">
      <c r="V53" s="27">
        <f t="shared" si="1"/>
        <v>17.617977528089909</v>
      </c>
      <c r="W53" s="27">
        <f t="shared" si="0"/>
        <v>0.60150441845689184</v>
      </c>
    </row>
    <row r="54" spans="22:23" x14ac:dyDescent="0.25">
      <c r="V54" s="27">
        <f t="shared" si="1"/>
        <v>17.977528089887663</v>
      </c>
      <c r="W54" s="27" t="e">
        <f t="shared" si="0"/>
        <v>#NUM!</v>
      </c>
    </row>
  </sheetData>
  <sheetProtection algorithmName="SHA-512" hashValue="rHtWqXS5gld3Wg9MsaKJFACZB8kNdpPg43/tc81WF3beZbLZN1j6V1hcpgO4nJNwmGtVhel6sKk5qq6vfbD4PQ==" saltValue="T46tbK2oy2O8mLu8uwrqmw==" spinCount="100000" sheet="1" objects="1" scenarios="1" selectLockedCells="1"/>
  <mergeCells count="7">
    <mergeCell ref="C3:G4"/>
    <mergeCell ref="D15:F15"/>
    <mergeCell ref="E16:F16"/>
    <mergeCell ref="E19:F19"/>
    <mergeCell ref="E20:F20"/>
    <mergeCell ref="D6:F6"/>
    <mergeCell ref="D18:F18"/>
  </mergeCells>
  <dataValidations count="2">
    <dataValidation type="list" allowBlank="1" showInputMessage="1" showErrorMessage="1" sqref="F23" xr:uid="{1370E92D-D143-48D2-82D8-9597A03AAE7B}">
      <formula1>Armação</formula1>
    </dataValidation>
    <dataValidation type="list" allowBlank="1" showInputMessage="1" showErrorMessage="1" sqref="F24" xr:uid="{A5C3149F-18E7-48D5-B224-F21DEFD42833}">
      <formula1>INDIRECT(F23)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5</vt:i4>
      </vt:variant>
    </vt:vector>
  </HeadingPairs>
  <TitlesOfParts>
    <vt:vector size="8" baseType="lpstr">
      <vt:lpstr>Normal</vt:lpstr>
      <vt:lpstr>Oblíqua</vt:lpstr>
      <vt:lpstr>Envoltória</vt:lpstr>
      <vt:lpstr>Envoltória!Armação</vt:lpstr>
      <vt:lpstr>Armação</vt:lpstr>
      <vt:lpstr>Duas</vt:lpstr>
      <vt:lpstr>Envoltória!Uma</vt:lpstr>
      <vt:lpstr>Uma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 Carini</dc:creator>
  <cp:lastModifiedBy>Matheus Carini</cp:lastModifiedBy>
  <dcterms:created xsi:type="dcterms:W3CDTF">2018-12-19T22:54:43Z</dcterms:created>
  <dcterms:modified xsi:type="dcterms:W3CDTF">2024-08-28T01:22:17Z</dcterms:modified>
</cp:coreProperties>
</file>