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X Projeto/Planilhas/"/>
    </mc:Choice>
  </mc:AlternateContent>
  <xr:revisionPtr revIDLastSave="444" documentId="C51FBEBCAD096A041CBEDEC77D87B942AFB77CAC" xr6:coauthVersionLast="47" xr6:coauthVersionMax="47" xr10:uidLastSave="{AD9E161A-85F2-4E1A-BDC2-C949EACCCBD7}"/>
  <bookViews>
    <workbookView xWindow="57465" yWindow="-32520" windowWidth="38640" windowHeight="15720" xr2:uid="{E06A8795-0517-41BA-BAB0-640CD5B62D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I133" i="1"/>
  <c r="I134" i="1" s="1"/>
  <c r="I135" i="1" s="1"/>
  <c r="I131" i="1"/>
  <c r="E133" i="1"/>
  <c r="F133" i="1"/>
  <c r="G133" i="1"/>
  <c r="H133" i="1"/>
  <c r="H134" i="1" s="1"/>
  <c r="P133" i="1"/>
  <c r="E134" i="1"/>
  <c r="F134" i="1"/>
  <c r="P134" i="1"/>
  <c r="E135" i="1"/>
  <c r="F135" i="1" s="1"/>
  <c r="P135" i="1"/>
  <c r="P132" i="1"/>
  <c r="P131" i="1"/>
  <c r="E131" i="1"/>
  <c r="F131" i="1" s="1"/>
  <c r="P130" i="1"/>
  <c r="H130" i="1"/>
  <c r="H131" i="1" s="1"/>
  <c r="E130" i="1"/>
  <c r="F130" i="1" s="1"/>
  <c r="P124" i="1"/>
  <c r="P123" i="1"/>
  <c r="P122" i="1"/>
  <c r="H122" i="1"/>
  <c r="H123" i="1" s="1"/>
  <c r="E122" i="1"/>
  <c r="F122" i="1" s="1"/>
  <c r="E115" i="1"/>
  <c r="P116" i="1"/>
  <c r="H116" i="1"/>
  <c r="J116" i="1" s="1"/>
  <c r="K116" i="1" s="1"/>
  <c r="E116" i="1"/>
  <c r="F116" i="1" s="1"/>
  <c r="P115" i="1"/>
  <c r="H115" i="1"/>
  <c r="J115" i="1" s="1"/>
  <c r="K115" i="1" s="1"/>
  <c r="F115" i="1"/>
  <c r="P109" i="1"/>
  <c r="H109" i="1"/>
  <c r="J109" i="1" s="1"/>
  <c r="K109" i="1" s="1"/>
  <c r="E109" i="1"/>
  <c r="F109" i="1" s="1"/>
  <c r="G135" i="1" l="1"/>
  <c r="J134" i="1"/>
  <c r="K134" i="1" s="1"/>
  <c r="H135" i="1"/>
  <c r="J135" i="1" s="1"/>
  <c r="K135" i="1" s="1"/>
  <c r="G134" i="1"/>
  <c r="J133" i="1"/>
  <c r="K133" i="1" s="1"/>
  <c r="G130" i="1"/>
  <c r="J131" i="1"/>
  <c r="K131" i="1" s="1"/>
  <c r="H132" i="1"/>
  <c r="J132" i="1" s="1"/>
  <c r="K132" i="1" s="1"/>
  <c r="G131" i="1"/>
  <c r="J130" i="1"/>
  <c r="K130" i="1" s="1"/>
  <c r="E132" i="1"/>
  <c r="F132" i="1" s="1"/>
  <c r="G122" i="1"/>
  <c r="J123" i="1"/>
  <c r="K123" i="1" s="1"/>
  <c r="H124" i="1"/>
  <c r="J124" i="1" s="1"/>
  <c r="K124" i="1" s="1"/>
  <c r="J122" i="1"/>
  <c r="K122" i="1" s="1"/>
  <c r="E123" i="1"/>
  <c r="G115" i="1"/>
  <c r="Q115" i="1"/>
  <c r="R115" i="1" s="1"/>
  <c r="Q116" i="1"/>
  <c r="R116" i="1" s="1"/>
  <c r="G116" i="1"/>
  <c r="Q109" i="1"/>
  <c r="R109" i="1" s="1"/>
  <c r="G109" i="1"/>
  <c r="Q133" i="1" l="1"/>
  <c r="R133" i="1" s="1"/>
  <c r="Q134" i="1"/>
  <c r="R134" i="1" s="1"/>
  <c r="Q135" i="1"/>
  <c r="R135" i="1" s="1"/>
  <c r="Q132" i="1"/>
  <c r="R132" i="1" s="1"/>
  <c r="G132" i="1"/>
  <c r="Q131" i="1"/>
  <c r="R131" i="1" s="1"/>
  <c r="Q130" i="1"/>
  <c r="R130" i="1" s="1"/>
  <c r="F123" i="1"/>
  <c r="E124" i="1"/>
  <c r="F124" i="1" s="1"/>
  <c r="Q122" i="1"/>
  <c r="R122" i="1" s="1"/>
  <c r="Q124" i="1" l="1"/>
  <c r="R124" i="1" s="1"/>
  <c r="G124" i="1"/>
  <c r="G123" i="1"/>
  <c r="Q123" i="1"/>
  <c r="R123" i="1" s="1"/>
  <c r="P103" i="1" l="1"/>
  <c r="J103" i="1"/>
  <c r="K103" i="1" s="1"/>
  <c r="E103" i="1"/>
  <c r="F103" i="1" s="1"/>
  <c r="E12" i="1"/>
  <c r="F12" i="1" s="1"/>
  <c r="H12" i="1"/>
  <c r="I12" i="1"/>
  <c r="J12" i="1" s="1"/>
  <c r="K12" i="1" s="1"/>
  <c r="P12" i="1"/>
  <c r="I8" i="1"/>
  <c r="I9" i="1" s="1"/>
  <c r="I10" i="1" s="1"/>
  <c r="I11" i="1" s="1"/>
  <c r="I7" i="1"/>
  <c r="H8" i="1"/>
  <c r="H9" i="1" s="1"/>
  <c r="H7" i="1"/>
  <c r="H6" i="1"/>
  <c r="E6" i="1"/>
  <c r="P9" i="1"/>
  <c r="P10" i="1"/>
  <c r="P11" i="1"/>
  <c r="Q103" i="1" l="1"/>
  <c r="R103" i="1" s="1"/>
  <c r="G103" i="1"/>
  <c r="G12" i="1"/>
  <c r="Q12" i="1"/>
  <c r="R12" i="1" s="1"/>
  <c r="H10" i="1"/>
  <c r="J9" i="1"/>
  <c r="K9" i="1" s="1"/>
  <c r="P83" i="1"/>
  <c r="P82" i="1"/>
  <c r="P81" i="1"/>
  <c r="H81" i="1"/>
  <c r="H82" i="1" s="1"/>
  <c r="J82" i="1" s="1"/>
  <c r="K82" i="1" s="1"/>
  <c r="E81" i="1"/>
  <c r="F81" i="1" s="1"/>
  <c r="E66" i="1"/>
  <c r="F66" i="1" s="1"/>
  <c r="P66" i="1"/>
  <c r="H66" i="1"/>
  <c r="J66" i="1" s="1"/>
  <c r="K66" i="1" s="1"/>
  <c r="H11" i="1" l="1"/>
  <c r="J11" i="1" s="1"/>
  <c r="K11" i="1" s="1"/>
  <c r="J10" i="1"/>
  <c r="K10" i="1" s="1"/>
  <c r="J81" i="1"/>
  <c r="K81" i="1" s="1"/>
  <c r="G81" i="1"/>
  <c r="E82" i="1"/>
  <c r="H83" i="1"/>
  <c r="J83" i="1" s="1"/>
  <c r="K83" i="1" s="1"/>
  <c r="Q66" i="1"/>
  <c r="R66" i="1" s="1"/>
  <c r="G66" i="1"/>
  <c r="Q81" i="1" l="1"/>
  <c r="R81" i="1" s="1"/>
  <c r="F82" i="1"/>
  <c r="E83" i="1"/>
  <c r="F83" i="1" s="1"/>
  <c r="Q83" i="1" l="1"/>
  <c r="R83" i="1" s="1"/>
  <c r="G83" i="1"/>
  <c r="G82" i="1"/>
  <c r="Q82" i="1"/>
  <c r="R82" i="1" s="1"/>
  <c r="P97" i="1" l="1"/>
  <c r="E95" i="1"/>
  <c r="E96" i="1" s="1"/>
  <c r="P96" i="1"/>
  <c r="P95" i="1"/>
  <c r="H95" i="1"/>
  <c r="J95" i="1" s="1"/>
  <c r="K95" i="1" s="1"/>
  <c r="E44" i="1"/>
  <c r="E45" i="1" s="1"/>
  <c r="F45" i="1" s="1"/>
  <c r="G45" i="1" s="1"/>
  <c r="P75" i="1"/>
  <c r="I75" i="1"/>
  <c r="P74" i="1"/>
  <c r="P73" i="1"/>
  <c r="P72" i="1"/>
  <c r="H72" i="1"/>
  <c r="H73" i="1" s="1"/>
  <c r="E72" i="1"/>
  <c r="F72" i="1" s="1"/>
  <c r="P52" i="1"/>
  <c r="P51" i="1"/>
  <c r="H51" i="1"/>
  <c r="J51" i="1" s="1"/>
  <c r="K51" i="1" s="1"/>
  <c r="E51" i="1"/>
  <c r="F51" i="1" s="1"/>
  <c r="I45" i="1"/>
  <c r="O45" i="1"/>
  <c r="P45" i="1" s="1"/>
  <c r="P44" i="1"/>
  <c r="P43" i="1"/>
  <c r="P42" i="1"/>
  <c r="H43" i="1"/>
  <c r="E42" i="1"/>
  <c r="F42" i="1" s="1"/>
  <c r="P36" i="1"/>
  <c r="H36" i="1"/>
  <c r="J36" i="1" s="1"/>
  <c r="K36" i="1" s="1"/>
  <c r="E36" i="1"/>
  <c r="F36" i="1" s="1"/>
  <c r="P30" i="1"/>
  <c r="P29" i="1"/>
  <c r="H29" i="1"/>
  <c r="J29" i="1" s="1"/>
  <c r="K29" i="1" s="1"/>
  <c r="E29" i="1"/>
  <c r="F29" i="1" s="1"/>
  <c r="H58" i="1"/>
  <c r="H59" i="1" s="1"/>
  <c r="J59" i="1" s="1"/>
  <c r="K59" i="1" s="1"/>
  <c r="E58" i="1"/>
  <c r="F58" i="1" s="1"/>
  <c r="P60" i="1"/>
  <c r="P59" i="1"/>
  <c r="P58" i="1"/>
  <c r="H89" i="1"/>
  <c r="J89" i="1" s="1"/>
  <c r="K89" i="1" s="1"/>
  <c r="E89" i="1"/>
  <c r="F89" i="1" s="1"/>
  <c r="P89" i="1"/>
  <c r="E7" i="1"/>
  <c r="E8" i="1" s="1"/>
  <c r="E9" i="1" s="1"/>
  <c r="F9" i="1" l="1"/>
  <c r="E10" i="1"/>
  <c r="J58" i="1"/>
  <c r="K58" i="1" s="1"/>
  <c r="H96" i="1"/>
  <c r="J96" i="1" s="1"/>
  <c r="K96" i="1" s="1"/>
  <c r="F96" i="1"/>
  <c r="E97" i="1"/>
  <c r="F97" i="1" s="1"/>
  <c r="F95" i="1"/>
  <c r="G95" i="1" s="1"/>
  <c r="E52" i="1"/>
  <c r="F52" i="1" s="1"/>
  <c r="H52" i="1"/>
  <c r="J52" i="1" s="1"/>
  <c r="K52" i="1" s="1"/>
  <c r="G97" i="1"/>
  <c r="Q95" i="1"/>
  <c r="R95" i="1" s="1"/>
  <c r="G96" i="1"/>
  <c r="H30" i="1"/>
  <c r="J30" i="1" s="1"/>
  <c r="K30" i="1" s="1"/>
  <c r="E30" i="1"/>
  <c r="F30" i="1" s="1"/>
  <c r="G30" i="1" s="1"/>
  <c r="J73" i="1"/>
  <c r="K73" i="1" s="1"/>
  <c r="H74" i="1"/>
  <c r="G72" i="1"/>
  <c r="J72" i="1"/>
  <c r="K72" i="1" s="1"/>
  <c r="E73" i="1"/>
  <c r="H60" i="1"/>
  <c r="J60" i="1" s="1"/>
  <c r="K60" i="1" s="1"/>
  <c r="G51" i="1"/>
  <c r="Q51" i="1"/>
  <c r="R51" i="1" s="1"/>
  <c r="Q52" i="1"/>
  <c r="R52" i="1" s="1"/>
  <c r="G52" i="1"/>
  <c r="G42" i="1"/>
  <c r="J43" i="1"/>
  <c r="K43" i="1" s="1"/>
  <c r="H44" i="1"/>
  <c r="J42" i="1"/>
  <c r="K42" i="1" s="1"/>
  <c r="E43" i="1"/>
  <c r="G36" i="1"/>
  <c r="Q36" i="1"/>
  <c r="R36" i="1" s="1"/>
  <c r="G29" i="1"/>
  <c r="Q29" i="1"/>
  <c r="R29" i="1" s="1"/>
  <c r="G58" i="1"/>
  <c r="E59" i="1"/>
  <c r="Q89" i="1"/>
  <c r="R89" i="1" s="1"/>
  <c r="G89" i="1"/>
  <c r="J8" i="1"/>
  <c r="J7" i="1"/>
  <c r="J6" i="1"/>
  <c r="E11" i="1" l="1"/>
  <c r="F11" i="1" s="1"/>
  <c r="F10" i="1"/>
  <c r="G9" i="1"/>
  <c r="Q9" i="1"/>
  <c r="R9" i="1" s="1"/>
  <c r="Q58" i="1"/>
  <c r="R58" i="1" s="1"/>
  <c r="Q96" i="1"/>
  <c r="R96" i="1" s="1"/>
  <c r="H97" i="1"/>
  <c r="J97" i="1" s="1"/>
  <c r="Q30" i="1"/>
  <c r="R30" i="1" s="1"/>
  <c r="J44" i="1"/>
  <c r="K44" i="1" s="1"/>
  <c r="H45" i="1"/>
  <c r="J45" i="1" s="1"/>
  <c r="F73" i="1"/>
  <c r="E74" i="1"/>
  <c r="H75" i="1"/>
  <c r="J75" i="1" s="1"/>
  <c r="K75" i="1" s="1"/>
  <c r="J74" i="1"/>
  <c r="K74" i="1" s="1"/>
  <c r="Q72" i="1"/>
  <c r="R72" i="1" s="1"/>
  <c r="F44" i="1"/>
  <c r="F43" i="1"/>
  <c r="Q42" i="1"/>
  <c r="R42" i="1" s="1"/>
  <c r="E60" i="1"/>
  <c r="F60" i="1" s="1"/>
  <c r="F59" i="1"/>
  <c r="P7" i="1"/>
  <c r="P8" i="1"/>
  <c r="P6" i="1"/>
  <c r="K7" i="1"/>
  <c r="K6" i="1"/>
  <c r="F7" i="1"/>
  <c r="G7" i="1" s="1"/>
  <c r="F8" i="1"/>
  <c r="G8" i="1" s="1"/>
  <c r="F6" i="1"/>
  <c r="G6" i="1" s="1"/>
  <c r="Q10" i="1" l="1"/>
  <c r="R10" i="1" s="1"/>
  <c r="G10" i="1"/>
  <c r="Q11" i="1"/>
  <c r="R11" i="1" s="1"/>
  <c r="G11" i="1"/>
  <c r="K97" i="1"/>
  <c r="Q97" i="1"/>
  <c r="R97" i="1" s="1"/>
  <c r="K45" i="1"/>
  <c r="Q45" i="1"/>
  <c r="R45" i="1" s="1"/>
  <c r="F74" i="1"/>
  <c r="E75" i="1"/>
  <c r="F75" i="1" s="1"/>
  <c r="G73" i="1"/>
  <c r="Q73" i="1"/>
  <c r="R73" i="1" s="1"/>
  <c r="Q43" i="1"/>
  <c r="R43" i="1" s="1"/>
  <c r="G43" i="1"/>
  <c r="Q44" i="1"/>
  <c r="R44" i="1" s="1"/>
  <c r="G44" i="1"/>
  <c r="G59" i="1"/>
  <c r="Q59" i="1"/>
  <c r="R59" i="1" s="1"/>
  <c r="Q60" i="1"/>
  <c r="R60" i="1" s="1"/>
  <c r="G60" i="1"/>
  <c r="Q8" i="1"/>
  <c r="R8" i="1" s="1"/>
  <c r="K8" i="1"/>
  <c r="Q6" i="1"/>
  <c r="R6" i="1" s="1"/>
  <c r="Q7" i="1"/>
  <c r="R7" i="1" s="1"/>
  <c r="Q75" i="1" l="1"/>
  <c r="R75" i="1" s="1"/>
  <c r="G75" i="1"/>
  <c r="Q74" i="1"/>
  <c r="R74" i="1" s="1"/>
  <c r="G74" i="1"/>
</calcChain>
</file>

<file path=xl/sharedStrings.xml><?xml version="1.0" encoding="utf-8"?>
<sst xmlns="http://schemas.openxmlformats.org/spreadsheetml/2006/main" count="454" uniqueCount="88">
  <si>
    <t>Trecho</t>
  </si>
  <si>
    <t>Área (m²)</t>
  </si>
  <si>
    <t>Caract.</t>
  </si>
  <si>
    <t>De Cálculo</t>
  </si>
  <si>
    <t>Peso Próprio</t>
  </si>
  <si>
    <t>Altura (m)</t>
  </si>
  <si>
    <t>Carga Total (kN/m)</t>
  </si>
  <si>
    <t>Total</t>
  </si>
  <si>
    <t>Alterar Apenas Células em Azul</t>
  </si>
  <si>
    <t>Esquerda / Superior</t>
  </si>
  <si>
    <t>Direita / Inferior</t>
  </si>
  <si>
    <t>L1</t>
  </si>
  <si>
    <t>L2</t>
  </si>
  <si>
    <t>Reações de Cálculo das Lajes (kN/m)</t>
  </si>
  <si>
    <t>Reação de Cálculo</t>
  </si>
  <si>
    <t>Viga</t>
  </si>
  <si>
    <t>Valor (kN)</t>
  </si>
  <si>
    <t>Alvenaria</t>
  </si>
  <si>
    <t>γalv (kN/m²)</t>
  </si>
  <si>
    <t>L13</t>
  </si>
  <si>
    <t>L7</t>
  </si>
  <si>
    <t>L8</t>
  </si>
  <si>
    <t>V4</t>
  </si>
  <si>
    <t>V27</t>
  </si>
  <si>
    <t>V27-A</t>
  </si>
  <si>
    <t>L10</t>
  </si>
  <si>
    <t>L11</t>
  </si>
  <si>
    <t>V6</t>
  </si>
  <si>
    <t>V6-A</t>
  </si>
  <si>
    <t>V6-B</t>
  </si>
  <si>
    <t>V6-C</t>
  </si>
  <si>
    <t>L5</t>
  </si>
  <si>
    <t>L6</t>
  </si>
  <si>
    <t>V1</t>
  </si>
  <si>
    <t>V1-A</t>
  </si>
  <si>
    <t>V1-B</t>
  </si>
  <si>
    <t>V2</t>
  </si>
  <si>
    <t>V2-A</t>
  </si>
  <si>
    <t>L4</t>
  </si>
  <si>
    <t>V4-A</t>
  </si>
  <si>
    <t>V4-B</t>
  </si>
  <si>
    <t>V4-C</t>
  </si>
  <si>
    <t>*</t>
  </si>
  <si>
    <t>V5</t>
  </si>
  <si>
    <t>V5-A</t>
  </si>
  <si>
    <t>V5-B</t>
  </si>
  <si>
    <t>L3</t>
  </si>
  <si>
    <t>L9</t>
  </si>
  <si>
    <t>V23</t>
  </si>
  <si>
    <t>V23-A</t>
  </si>
  <si>
    <t>V23-B</t>
  </si>
  <si>
    <t>V23-C</t>
  </si>
  <si>
    <t>V23-D</t>
  </si>
  <si>
    <t>V32</t>
  </si>
  <si>
    <t>L15</t>
  </si>
  <si>
    <t>V11</t>
  </si>
  <si>
    <t>V11-A</t>
  </si>
  <si>
    <t>V25</t>
  </si>
  <si>
    <t>V8</t>
  </si>
  <si>
    <t>V8-A</t>
  </si>
  <si>
    <t>V8-B</t>
  </si>
  <si>
    <t>V8-C</t>
  </si>
  <si>
    <t>V8-D</t>
  </si>
  <si>
    <t>V8-E</t>
  </si>
  <si>
    <t>V8-F</t>
  </si>
  <si>
    <t>L14</t>
  </si>
  <si>
    <t>V7</t>
  </si>
  <si>
    <t>V7-A</t>
  </si>
  <si>
    <t>L12</t>
  </si>
  <si>
    <t>V10</t>
  </si>
  <si>
    <t>V10-A</t>
  </si>
  <si>
    <t>L18</t>
  </si>
  <si>
    <t>V26</t>
  </si>
  <si>
    <t>V26-A</t>
  </si>
  <si>
    <t>V26-B</t>
  </si>
  <si>
    <t>L17</t>
  </si>
  <si>
    <t>V9</t>
  </si>
  <si>
    <t>V9-A</t>
  </si>
  <si>
    <t>V9-B</t>
  </si>
  <si>
    <t>V9-C</t>
  </si>
  <si>
    <t>L16</t>
  </si>
  <si>
    <t>V21</t>
  </si>
  <si>
    <t>V21-A</t>
  </si>
  <si>
    <t>V21-B</t>
  </si>
  <si>
    <t>V21-C</t>
  </si>
  <si>
    <t>V21-D</t>
  </si>
  <si>
    <t>V21-E</t>
  </si>
  <si>
    <t>V21-F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</si>
</sst>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 vertical="center"/>
    </xf>
    <xf numFmtId="2" fontId="0" fillId="4" borderId="19" xfId="0" applyNumberFormat="1" applyFill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tmp"/><Relationship Id="rId13" Type="http://schemas.openxmlformats.org/officeDocument/2006/relationships/image" Target="../media/image10.tmp"/><Relationship Id="rId18" Type="http://schemas.openxmlformats.org/officeDocument/2006/relationships/image" Target="../media/image15.tmp"/><Relationship Id="rId3" Type="http://schemas.openxmlformats.org/officeDocument/2006/relationships/image" Target="../media/image2.png"/><Relationship Id="rId21" Type="http://schemas.openxmlformats.org/officeDocument/2006/relationships/image" Target="../media/image18.tmp"/><Relationship Id="rId7" Type="http://schemas.openxmlformats.org/officeDocument/2006/relationships/image" Target="../media/image4.png"/><Relationship Id="rId12" Type="http://schemas.openxmlformats.org/officeDocument/2006/relationships/image" Target="../media/image9.tmp"/><Relationship Id="rId17" Type="http://schemas.openxmlformats.org/officeDocument/2006/relationships/image" Target="../media/image14.tmp"/><Relationship Id="rId2" Type="http://schemas.openxmlformats.org/officeDocument/2006/relationships/hyperlink" Target="https://www.instagram.com/professordeestruturas/" TargetMode="External"/><Relationship Id="rId16" Type="http://schemas.openxmlformats.org/officeDocument/2006/relationships/image" Target="../media/image13.tmp"/><Relationship Id="rId20" Type="http://schemas.openxmlformats.org/officeDocument/2006/relationships/image" Target="../media/image17.tmp"/><Relationship Id="rId1" Type="http://schemas.openxmlformats.org/officeDocument/2006/relationships/image" Target="../media/image1.png"/><Relationship Id="rId6" Type="http://schemas.openxmlformats.org/officeDocument/2006/relationships/hyperlink" Target="https://professordeestruturas.com.br/" TargetMode="External"/><Relationship Id="rId11" Type="http://schemas.openxmlformats.org/officeDocument/2006/relationships/image" Target="../media/image8.tmp"/><Relationship Id="rId5" Type="http://schemas.openxmlformats.org/officeDocument/2006/relationships/image" Target="../media/image3.png"/><Relationship Id="rId15" Type="http://schemas.openxmlformats.org/officeDocument/2006/relationships/image" Target="../media/image12.tmp"/><Relationship Id="rId23" Type="http://schemas.openxmlformats.org/officeDocument/2006/relationships/image" Target="../media/image20.tmp"/><Relationship Id="rId10" Type="http://schemas.openxmlformats.org/officeDocument/2006/relationships/image" Target="../media/image7.tmp"/><Relationship Id="rId19" Type="http://schemas.openxmlformats.org/officeDocument/2006/relationships/image" Target="../media/image16.tmp"/><Relationship Id="rId4" Type="http://schemas.openxmlformats.org/officeDocument/2006/relationships/hyperlink" Target="mailto:matheuscarini@gmail.com" TargetMode="External"/><Relationship Id="rId9" Type="http://schemas.openxmlformats.org/officeDocument/2006/relationships/image" Target="../media/image6.tmp"/><Relationship Id="rId14" Type="http://schemas.openxmlformats.org/officeDocument/2006/relationships/image" Target="../media/image11.tmp"/><Relationship Id="rId22" Type="http://schemas.openxmlformats.org/officeDocument/2006/relationships/image" Target="../media/image1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18</xdr:row>
      <xdr:rowOff>164041</xdr:rowOff>
    </xdr:from>
    <xdr:to>
      <xdr:col>20</xdr:col>
      <xdr:colOff>244186</xdr:colOff>
      <xdr:row>20</xdr:row>
      <xdr:rowOff>110187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9193F41-3B27-4A04-915F-69C3D0DC675A}"/>
            </a:ext>
          </a:extLst>
        </xdr:cNvPr>
        <xdr:cNvGrpSpPr/>
      </xdr:nvGrpSpPr>
      <xdr:grpSpPr>
        <a:xfrm>
          <a:off x="1654175" y="3513666"/>
          <a:ext cx="10731211" cy="308096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3580C977-4E01-DF95-935F-41F085A158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0945F065-B9B3-97E7-A26F-4D231F6B0A94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933D128B-6799-0ED6-A090-26217E8E46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9D5B6AF8-6C3F-1C1C-9231-FC83436FE1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6875D83-2A84-0536-D119-075292CB16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D3980658-18BE-69D2-8B06-FC070C10BF98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20180301</a:t>
            </a:r>
          </a:p>
        </xdr:txBody>
      </xdr:sp>
    </xdr:grpSp>
    <xdr:clientData/>
  </xdr:twoCellAnchor>
  <xdr:twoCellAnchor editAs="oneCell">
    <xdr:from>
      <xdr:col>21</xdr:col>
      <xdr:colOff>234951</xdr:colOff>
      <xdr:row>83</xdr:row>
      <xdr:rowOff>135524</xdr:rowOff>
    </xdr:from>
    <xdr:to>
      <xdr:col>27</xdr:col>
      <xdr:colOff>504826</xdr:colOff>
      <xdr:row>89</xdr:row>
      <xdr:rowOff>149318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FD34B21-FA1E-9D19-2879-06152BC86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2751" y="15947024"/>
          <a:ext cx="4098925" cy="1185369"/>
        </a:xfrm>
        <a:prstGeom prst="rect">
          <a:avLst/>
        </a:prstGeom>
      </xdr:spPr>
    </xdr:pic>
    <xdr:clientData/>
  </xdr:twoCellAnchor>
  <xdr:twoCellAnchor editAs="oneCell">
    <xdr:from>
      <xdr:col>21</xdr:col>
      <xdr:colOff>320675</xdr:colOff>
      <xdr:row>31</xdr:row>
      <xdr:rowOff>184128</xdr:rowOff>
    </xdr:from>
    <xdr:to>
      <xdr:col>26</xdr:col>
      <xdr:colOff>263525</xdr:colOff>
      <xdr:row>37</xdr:row>
      <xdr:rowOff>120733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8F8EDBA-22FD-9707-DDDF-0A3DFE298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8475" y="5984853"/>
          <a:ext cx="3133725" cy="1111355"/>
        </a:xfrm>
        <a:prstGeom prst="rect">
          <a:avLst/>
        </a:prstGeom>
      </xdr:spPr>
    </xdr:pic>
    <xdr:clientData/>
  </xdr:twoCellAnchor>
  <xdr:twoCellAnchor editAs="oneCell">
    <xdr:from>
      <xdr:col>21</xdr:col>
      <xdr:colOff>390525</xdr:colOff>
      <xdr:row>45</xdr:row>
      <xdr:rowOff>105728</xdr:rowOff>
    </xdr:from>
    <xdr:to>
      <xdr:col>26</xdr:col>
      <xdr:colOff>549275</xdr:colOff>
      <xdr:row>50</xdr:row>
      <xdr:rowOff>171535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14E46A96-7593-96C3-76A9-3C7C1611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8325" y="8602028"/>
          <a:ext cx="3349625" cy="1056407"/>
        </a:xfrm>
        <a:prstGeom prst="rect">
          <a:avLst/>
        </a:prstGeom>
      </xdr:spPr>
    </xdr:pic>
    <xdr:clientData/>
  </xdr:twoCellAnchor>
  <xdr:twoCellAnchor editAs="oneCell">
    <xdr:from>
      <xdr:col>21</xdr:col>
      <xdr:colOff>295276</xdr:colOff>
      <xdr:row>23</xdr:row>
      <xdr:rowOff>180976</xdr:rowOff>
    </xdr:from>
    <xdr:to>
      <xdr:col>27</xdr:col>
      <xdr:colOff>316209</xdr:colOff>
      <xdr:row>29</xdr:row>
      <xdr:rowOff>168361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1D6B03C-BD7F-3F66-FDB2-850964307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3076" y="4438651"/>
          <a:ext cx="3853158" cy="1158960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75</xdr:row>
      <xdr:rowOff>103580</xdr:rowOff>
    </xdr:from>
    <xdr:to>
      <xdr:col>26</xdr:col>
      <xdr:colOff>511175</xdr:colOff>
      <xdr:row>82</xdr:row>
      <xdr:rowOff>73124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7C050FA-0DB1-F2A7-0F72-C22AE7B4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6425" y="14381555"/>
          <a:ext cx="3273425" cy="1322094"/>
        </a:xfrm>
        <a:prstGeom prst="rect">
          <a:avLst/>
        </a:prstGeom>
      </xdr:spPr>
    </xdr:pic>
    <xdr:clientData/>
  </xdr:twoCellAnchor>
  <xdr:twoCellAnchor editAs="oneCell">
    <xdr:from>
      <xdr:col>21</xdr:col>
      <xdr:colOff>396876</xdr:colOff>
      <xdr:row>91</xdr:row>
      <xdr:rowOff>44283</xdr:rowOff>
    </xdr:from>
    <xdr:to>
      <xdr:col>27</xdr:col>
      <xdr:colOff>273051</xdr:colOff>
      <xdr:row>98</xdr:row>
      <xdr:rowOff>19144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D7703B99-54A9-F7C7-A8FE-FE3D35D37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4676" y="17455983"/>
          <a:ext cx="3708400" cy="1267086"/>
        </a:xfrm>
        <a:prstGeom prst="rect">
          <a:avLst/>
        </a:prstGeom>
      </xdr:spPr>
    </xdr:pic>
    <xdr:clientData/>
  </xdr:twoCellAnchor>
  <xdr:twoCellAnchor editAs="oneCell">
    <xdr:from>
      <xdr:col>21</xdr:col>
      <xdr:colOff>380999</xdr:colOff>
      <xdr:row>37</xdr:row>
      <xdr:rowOff>174071</xdr:rowOff>
    </xdr:from>
    <xdr:to>
      <xdr:col>28</xdr:col>
      <xdr:colOff>507113</xdr:colOff>
      <xdr:row>45</xdr:row>
      <xdr:rowOff>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B1257113-A91F-5CC8-F892-CA004CBAD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799" y="7146371"/>
          <a:ext cx="4590164" cy="1349929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53</xdr:row>
      <xdr:rowOff>45275</xdr:rowOff>
    </xdr:from>
    <xdr:to>
      <xdr:col>26</xdr:col>
      <xdr:colOff>476250</xdr:colOff>
      <xdr:row>60</xdr:row>
      <xdr:rowOff>63603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B07AE45B-60DC-3EC0-BB56-267AEDE6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2600" y="10084625"/>
          <a:ext cx="3362325" cy="1364528"/>
        </a:xfrm>
        <a:prstGeom prst="rect">
          <a:avLst/>
        </a:prstGeom>
      </xdr:spPr>
    </xdr:pic>
    <xdr:clientData/>
  </xdr:twoCellAnchor>
  <xdr:twoCellAnchor editAs="oneCell">
    <xdr:from>
      <xdr:col>21</xdr:col>
      <xdr:colOff>419101</xdr:colOff>
      <xdr:row>67</xdr:row>
      <xdr:rowOff>24490</xdr:rowOff>
    </xdr:from>
    <xdr:to>
      <xdr:col>27</xdr:col>
      <xdr:colOff>196850</xdr:colOff>
      <xdr:row>73</xdr:row>
      <xdr:rowOff>171554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84BF0C8F-B5DD-5554-425A-A06A3793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1" y="12768940"/>
          <a:ext cx="3609974" cy="1309114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60</xdr:row>
      <xdr:rowOff>133350</xdr:rowOff>
    </xdr:from>
    <xdr:to>
      <xdr:col>24</xdr:col>
      <xdr:colOff>46602</xdr:colOff>
      <xdr:row>66</xdr:row>
      <xdr:rowOff>76284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1302D1B9-134E-4A0B-A252-AF6C0E49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7375" y="11515725"/>
          <a:ext cx="1554727" cy="1114509"/>
        </a:xfrm>
        <a:prstGeom prst="rect">
          <a:avLst/>
        </a:prstGeom>
      </xdr:spPr>
    </xdr:pic>
    <xdr:clientData/>
  </xdr:twoCellAnchor>
  <xdr:twoCellAnchor editAs="oneCell">
    <xdr:from>
      <xdr:col>21</xdr:col>
      <xdr:colOff>276225</xdr:colOff>
      <xdr:row>104</xdr:row>
      <xdr:rowOff>27361</xdr:rowOff>
    </xdr:from>
    <xdr:to>
      <xdr:col>27</xdr:col>
      <xdr:colOff>511175</xdr:colOff>
      <xdr:row>110</xdr:row>
      <xdr:rowOff>104852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2320A6-F558-ADB4-408E-C257B06D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4025" y="19906036"/>
          <a:ext cx="4064000" cy="1249066"/>
        </a:xfrm>
        <a:prstGeom prst="rect">
          <a:avLst/>
        </a:prstGeom>
      </xdr:spPr>
    </xdr:pic>
    <xdr:clientData/>
  </xdr:twoCellAnchor>
  <xdr:twoCellAnchor editAs="oneCell">
    <xdr:from>
      <xdr:col>21</xdr:col>
      <xdr:colOff>400050</xdr:colOff>
      <xdr:row>110</xdr:row>
      <xdr:rowOff>179288</xdr:rowOff>
    </xdr:from>
    <xdr:to>
      <xdr:col>26</xdr:col>
      <xdr:colOff>434975</xdr:colOff>
      <xdr:row>117</xdr:row>
      <xdr:rowOff>57224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EE1B26B-D087-3D5F-9DF5-4427E04C2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7850" y="21229538"/>
          <a:ext cx="3225800" cy="1230486"/>
        </a:xfrm>
        <a:prstGeom prst="rect">
          <a:avLst/>
        </a:prstGeom>
      </xdr:spPr>
    </xdr:pic>
    <xdr:clientData/>
  </xdr:twoCellAnchor>
  <xdr:twoCellAnchor editAs="oneCell">
    <xdr:from>
      <xdr:col>21</xdr:col>
      <xdr:colOff>523876</xdr:colOff>
      <xdr:row>117</xdr:row>
      <xdr:rowOff>111125</xdr:rowOff>
    </xdr:from>
    <xdr:to>
      <xdr:col>29</xdr:col>
      <xdr:colOff>411048</xdr:colOff>
      <xdr:row>124</xdr:row>
      <xdr:rowOff>104857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6F040A3-617C-BBB4-01B4-E491A3071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1676" y="22513925"/>
          <a:ext cx="4992572" cy="1336757"/>
        </a:xfrm>
        <a:prstGeom prst="rect">
          <a:avLst/>
        </a:prstGeom>
      </xdr:spPr>
    </xdr:pic>
    <xdr:clientData/>
  </xdr:twoCellAnchor>
  <xdr:twoCellAnchor editAs="oneCell">
    <xdr:from>
      <xdr:col>21</xdr:col>
      <xdr:colOff>419101</xdr:colOff>
      <xdr:row>98</xdr:row>
      <xdr:rowOff>26286</xdr:rowOff>
    </xdr:from>
    <xdr:to>
      <xdr:col>28</xdr:col>
      <xdr:colOff>266701</xdr:colOff>
      <xdr:row>103</xdr:row>
      <xdr:rowOff>85800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9B200F5-1897-4FDF-C354-C789EE6EE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1" y="18733386"/>
          <a:ext cx="4314825" cy="1040589"/>
        </a:xfrm>
        <a:prstGeom prst="rect">
          <a:avLst/>
        </a:prstGeom>
      </xdr:spPr>
    </xdr:pic>
    <xdr:clientData/>
  </xdr:twoCellAnchor>
  <xdr:twoCellAnchor editAs="oneCell">
    <xdr:from>
      <xdr:col>21</xdr:col>
      <xdr:colOff>296304</xdr:colOff>
      <xdr:row>2</xdr:row>
      <xdr:rowOff>53975</xdr:rowOff>
    </xdr:from>
    <xdr:to>
      <xdr:col>29</xdr:col>
      <xdr:colOff>352768</xdr:colOff>
      <xdr:row>9</xdr:row>
      <xdr:rowOff>35010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4E76C0F-A5FD-9D0F-9782-D3E47DEB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4104" y="482600"/>
          <a:ext cx="5161864" cy="1276435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126</xdr:row>
      <xdr:rowOff>85725</xdr:rowOff>
    </xdr:from>
    <xdr:to>
      <xdr:col>31</xdr:col>
      <xdr:colOff>476250</xdr:colOff>
      <xdr:row>133</xdr:row>
      <xdr:rowOff>47786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6B67CDA4-22A4-2508-BE95-836538F43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2600" y="24260175"/>
          <a:ext cx="6553200" cy="1247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A848-9311-4484-93BA-9FF00835F76F}">
  <dimension ref="B1:V135"/>
  <sheetViews>
    <sheetView tabSelected="1" topLeftCell="A108" zoomScaleNormal="100" workbookViewId="0">
      <selection activeCell="AC136" sqref="AC136"/>
    </sheetView>
  </sheetViews>
  <sheetFormatPr defaultColWidth="9.1796875" defaultRowHeight="14.5" x14ac:dyDescent="0.35"/>
  <cols>
    <col min="1" max="1" width="4.54296875" style="1" customWidth="1"/>
    <col min="2" max="2" width="9.1796875" style="1"/>
    <col min="3" max="3" width="4.54296875" style="1" customWidth="1"/>
    <col min="4" max="6" width="9.1796875" style="1"/>
    <col min="7" max="7" width="10.26953125" style="1" bestFit="1" customWidth="1"/>
    <col min="8" max="8" width="10" style="1" bestFit="1" customWidth="1"/>
    <col min="9" max="9" width="12.1796875" style="1" bestFit="1" customWidth="1"/>
    <col min="10" max="10" width="9.1796875" style="1"/>
    <col min="11" max="11" width="10.26953125" style="1" bestFit="1" customWidth="1"/>
    <col min="12" max="12" width="8" style="1" customWidth="1"/>
    <col min="13" max="13" width="10.26953125" style="1" bestFit="1" customWidth="1"/>
    <col min="14" max="14" width="6.81640625" style="1" customWidth="1"/>
    <col min="15" max="16" width="10.26953125" style="1" customWidth="1"/>
    <col min="17" max="17" width="9.1796875" style="1"/>
    <col min="18" max="18" width="10.26953125" style="1" bestFit="1" customWidth="1"/>
    <col min="19" max="19" width="4.54296875" style="1" customWidth="1"/>
    <col min="20" max="20" width="7.1796875" style="1" customWidth="1"/>
    <col min="21" max="21" width="10.453125" style="1" customWidth="1"/>
    <col min="22" max="16384" width="9.1796875" style="1"/>
  </cols>
  <sheetData>
    <row r="1" spans="2:22" ht="15" thickBot="1" x14ac:dyDescent="0.4"/>
    <row r="2" spans="2:22" ht="19" thickBot="1" x14ac:dyDescent="0.4">
      <c r="D2" s="33" t="s">
        <v>58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5"/>
    </row>
    <row r="3" spans="2:22" ht="15" thickBot="1" x14ac:dyDescent="0.4"/>
    <row r="4" spans="2:22" x14ac:dyDescent="0.35">
      <c r="B4" s="47" t="s">
        <v>8</v>
      </c>
      <c r="D4" s="36" t="s">
        <v>0</v>
      </c>
      <c r="E4" s="38" t="s">
        <v>4</v>
      </c>
      <c r="F4" s="39"/>
      <c r="G4" s="40"/>
      <c r="H4" s="39" t="s">
        <v>17</v>
      </c>
      <c r="I4" s="39"/>
      <c r="J4" s="39"/>
      <c r="K4" s="40"/>
      <c r="L4" s="41" t="s">
        <v>13</v>
      </c>
      <c r="M4" s="42"/>
      <c r="N4" s="42"/>
      <c r="O4" s="42"/>
      <c r="P4" s="43"/>
      <c r="Q4" s="38" t="s">
        <v>6</v>
      </c>
      <c r="R4" s="40"/>
      <c r="T4" s="38" t="s">
        <v>14</v>
      </c>
      <c r="U4" s="40"/>
      <c r="V4" s="28"/>
    </row>
    <row r="5" spans="2:22" ht="15" thickBot="1" x14ac:dyDescent="0.4">
      <c r="B5" s="48"/>
      <c r="D5" s="37"/>
      <c r="E5" s="6" t="s">
        <v>1</v>
      </c>
      <c r="F5" s="7" t="s">
        <v>2</v>
      </c>
      <c r="G5" s="8" t="s">
        <v>3</v>
      </c>
      <c r="H5" s="7" t="s">
        <v>5</v>
      </c>
      <c r="I5" s="9" t="s">
        <v>18</v>
      </c>
      <c r="J5" s="9" t="s">
        <v>2</v>
      </c>
      <c r="K5" s="10" t="s">
        <v>3</v>
      </c>
      <c r="L5" s="44" t="s">
        <v>9</v>
      </c>
      <c r="M5" s="45"/>
      <c r="N5" s="46" t="s">
        <v>10</v>
      </c>
      <c r="O5" s="45"/>
      <c r="P5" s="10" t="s">
        <v>7</v>
      </c>
      <c r="Q5" s="11" t="s">
        <v>2</v>
      </c>
      <c r="R5" s="10" t="s">
        <v>3</v>
      </c>
      <c r="T5" s="11" t="s">
        <v>15</v>
      </c>
      <c r="U5" s="10" t="s">
        <v>16</v>
      </c>
    </row>
    <row r="6" spans="2:22" x14ac:dyDescent="0.35">
      <c r="B6" s="48"/>
      <c r="D6" s="16" t="s">
        <v>59</v>
      </c>
      <c r="E6" s="17">
        <f>0.4*0.14</f>
        <v>5.6000000000000008E-2</v>
      </c>
      <c r="F6" s="12">
        <f>25*E6</f>
        <v>1.4000000000000001</v>
      </c>
      <c r="G6" s="13">
        <f>1.4*F6</f>
        <v>1.96</v>
      </c>
      <c r="H6" s="20">
        <f>3.15-0.4</f>
        <v>2.75</v>
      </c>
      <c r="I6" s="21">
        <v>1.9</v>
      </c>
      <c r="J6" s="14">
        <f>H6*I6</f>
        <v>5.2249999999999996</v>
      </c>
      <c r="K6" s="13">
        <f>J6*1.4</f>
        <v>7.3149999999999986</v>
      </c>
      <c r="L6" s="26" t="s">
        <v>47</v>
      </c>
      <c r="M6" s="20">
        <v>4.03</v>
      </c>
      <c r="N6" s="24" t="s">
        <v>19</v>
      </c>
      <c r="O6" s="20">
        <v>2.94</v>
      </c>
      <c r="P6" s="13">
        <f>M6+O6</f>
        <v>6.9700000000000006</v>
      </c>
      <c r="Q6" s="15">
        <f>F6+J6+P6/1.4</f>
        <v>11.60357142857143</v>
      </c>
      <c r="R6" s="13">
        <f>1.4*Q6</f>
        <v>16.245000000000001</v>
      </c>
      <c r="T6" s="17"/>
      <c r="U6" s="29"/>
    </row>
    <row r="7" spans="2:22" x14ac:dyDescent="0.35">
      <c r="B7" s="48"/>
      <c r="D7" s="18" t="s">
        <v>60</v>
      </c>
      <c r="E7" s="19">
        <f>E6</f>
        <v>5.6000000000000008E-2</v>
      </c>
      <c r="F7" s="3">
        <f t="shared" ref="F7:F8" si="0">25*E7</f>
        <v>1.4000000000000001</v>
      </c>
      <c r="G7" s="4">
        <f t="shared" ref="G7:G8" si="1">1.4*F7</f>
        <v>1.96</v>
      </c>
      <c r="H7" s="22">
        <f>H6</f>
        <v>2.75</v>
      </c>
      <c r="I7" s="23">
        <f>I6</f>
        <v>1.9</v>
      </c>
      <c r="J7" s="3">
        <f>H7*I7</f>
        <v>5.2249999999999996</v>
      </c>
      <c r="K7" s="4">
        <f t="shared" ref="K7:K8" si="2">J7*1.4</f>
        <v>7.3149999999999986</v>
      </c>
      <c r="L7" s="27" t="s">
        <v>25</v>
      </c>
      <c r="M7" s="22">
        <v>1.79</v>
      </c>
      <c r="N7" s="25" t="s">
        <v>19</v>
      </c>
      <c r="O7" s="22">
        <v>2.94</v>
      </c>
      <c r="P7" s="4">
        <f t="shared" ref="P7:P8" si="3">M7+O7</f>
        <v>4.7300000000000004</v>
      </c>
      <c r="Q7" s="5">
        <f>F7+J7+P7/1.4</f>
        <v>10.00357142857143</v>
      </c>
      <c r="R7" s="4">
        <f t="shared" ref="R7:R8" si="4">1.4*Q7</f>
        <v>14.005000000000001</v>
      </c>
      <c r="T7" s="19"/>
      <c r="U7" s="30"/>
    </row>
    <row r="8" spans="2:22" ht="15" thickBot="1" x14ac:dyDescent="0.4">
      <c r="B8" s="49"/>
      <c r="D8" s="18" t="s">
        <v>61</v>
      </c>
      <c r="E8" s="19">
        <f>E7</f>
        <v>5.6000000000000008E-2</v>
      </c>
      <c r="F8" s="3">
        <f t="shared" si="0"/>
        <v>1.4000000000000001</v>
      </c>
      <c r="G8" s="4">
        <f t="shared" si="1"/>
        <v>1.96</v>
      </c>
      <c r="H8" s="22">
        <f t="shared" ref="H8:H11" si="5">H7</f>
        <v>2.75</v>
      </c>
      <c r="I8" s="23">
        <f t="shared" ref="I8:I11" si="6">I7</f>
        <v>1.9</v>
      </c>
      <c r="J8" s="2">
        <f>H8*I8</f>
        <v>5.2249999999999996</v>
      </c>
      <c r="K8" s="4">
        <f t="shared" si="2"/>
        <v>7.3149999999999986</v>
      </c>
      <c r="L8" s="27" t="s">
        <v>25</v>
      </c>
      <c r="M8" s="22">
        <v>1.79</v>
      </c>
      <c r="N8" s="25" t="s">
        <v>65</v>
      </c>
      <c r="O8" s="22">
        <v>3.92</v>
      </c>
      <c r="P8" s="4">
        <f t="shared" si="3"/>
        <v>5.71</v>
      </c>
      <c r="Q8" s="5">
        <f>F8+J8+P8/1.4</f>
        <v>10.703571428571429</v>
      </c>
      <c r="R8" s="4">
        <f t="shared" si="4"/>
        <v>14.984999999999999</v>
      </c>
      <c r="T8" s="19"/>
      <c r="U8" s="30"/>
    </row>
    <row r="9" spans="2:22" x14ac:dyDescent="0.35">
      <c r="D9" s="18" t="s">
        <v>62</v>
      </c>
      <c r="E9" s="19">
        <f t="shared" ref="E9:E11" si="7">E8</f>
        <v>5.6000000000000008E-2</v>
      </c>
      <c r="F9" s="3">
        <f t="shared" ref="F9:F11" si="8">25*E9</f>
        <v>1.4000000000000001</v>
      </c>
      <c r="G9" s="4">
        <f t="shared" ref="G9:G11" si="9">1.4*F9</f>
        <v>1.96</v>
      </c>
      <c r="H9" s="22">
        <f t="shared" si="5"/>
        <v>2.75</v>
      </c>
      <c r="I9" s="23">
        <f t="shared" si="6"/>
        <v>1.9</v>
      </c>
      <c r="J9" s="2">
        <f t="shared" ref="J9:J11" si="10">H9*I9</f>
        <v>5.2249999999999996</v>
      </c>
      <c r="K9" s="4">
        <f t="shared" ref="K9:K11" si="11">J9*1.4</f>
        <v>7.3149999999999986</v>
      </c>
      <c r="L9" s="27" t="s">
        <v>26</v>
      </c>
      <c r="M9" s="22">
        <v>0</v>
      </c>
      <c r="N9" s="25" t="s">
        <v>65</v>
      </c>
      <c r="O9" s="22">
        <v>3.92</v>
      </c>
      <c r="P9" s="4">
        <f t="shared" ref="P9:P11" si="12">M9+O9</f>
        <v>3.92</v>
      </c>
      <c r="Q9" s="5">
        <f t="shared" ref="Q9:Q11" si="13">F9+J9+P9/1.4</f>
        <v>9.4250000000000007</v>
      </c>
      <c r="R9" s="4">
        <f t="shared" ref="R9:R11" si="14">1.4*Q9</f>
        <v>13.195</v>
      </c>
      <c r="T9" s="19"/>
      <c r="U9" s="30"/>
    </row>
    <row r="10" spans="2:22" x14ac:dyDescent="0.35">
      <c r="D10" s="18" t="s">
        <v>63</v>
      </c>
      <c r="E10" s="19">
        <f t="shared" si="7"/>
        <v>5.6000000000000008E-2</v>
      </c>
      <c r="F10" s="3">
        <f t="shared" si="8"/>
        <v>1.4000000000000001</v>
      </c>
      <c r="G10" s="4">
        <f t="shared" si="9"/>
        <v>1.96</v>
      </c>
      <c r="H10" s="22">
        <f t="shared" si="5"/>
        <v>2.75</v>
      </c>
      <c r="I10" s="23">
        <f t="shared" si="6"/>
        <v>1.9</v>
      </c>
      <c r="J10" s="2">
        <f t="shared" si="10"/>
        <v>5.2249999999999996</v>
      </c>
      <c r="K10" s="4">
        <f t="shared" si="11"/>
        <v>7.3149999999999986</v>
      </c>
      <c r="L10" s="27" t="s">
        <v>21</v>
      </c>
      <c r="M10" s="22">
        <v>8.16</v>
      </c>
      <c r="N10" s="25"/>
      <c r="O10" s="22"/>
      <c r="P10" s="4">
        <f t="shared" si="12"/>
        <v>8.16</v>
      </c>
      <c r="Q10" s="5">
        <f t="shared" si="13"/>
        <v>12.453571428571429</v>
      </c>
      <c r="R10" s="4">
        <f t="shared" si="14"/>
        <v>17.434999999999999</v>
      </c>
      <c r="T10" s="19"/>
      <c r="U10" s="30"/>
    </row>
    <row r="11" spans="2:22" x14ac:dyDescent="0.35">
      <c r="D11" s="18" t="s">
        <v>63</v>
      </c>
      <c r="E11" s="19">
        <f t="shared" si="7"/>
        <v>5.6000000000000008E-2</v>
      </c>
      <c r="F11" s="3">
        <f t="shared" si="8"/>
        <v>1.4000000000000001</v>
      </c>
      <c r="G11" s="4">
        <f t="shared" si="9"/>
        <v>1.96</v>
      </c>
      <c r="H11" s="22">
        <f t="shared" si="5"/>
        <v>2.75</v>
      </c>
      <c r="I11" s="23">
        <f t="shared" si="6"/>
        <v>1.9</v>
      </c>
      <c r="J11" s="2">
        <f t="shared" si="10"/>
        <v>5.2249999999999996</v>
      </c>
      <c r="K11" s="4">
        <f t="shared" si="11"/>
        <v>7.3149999999999986</v>
      </c>
      <c r="L11" s="27" t="s">
        <v>21</v>
      </c>
      <c r="M11" s="22">
        <v>0</v>
      </c>
      <c r="N11" s="25"/>
      <c r="O11" s="22"/>
      <c r="P11" s="4">
        <f t="shared" si="12"/>
        <v>0</v>
      </c>
      <c r="Q11" s="5">
        <f t="shared" si="13"/>
        <v>6.625</v>
      </c>
      <c r="R11" s="4">
        <f t="shared" si="14"/>
        <v>9.2749999999999986</v>
      </c>
      <c r="T11" s="19"/>
      <c r="U11" s="30"/>
    </row>
    <row r="12" spans="2:22" x14ac:dyDescent="0.35">
      <c r="D12" s="18" t="s">
        <v>64</v>
      </c>
      <c r="E12" s="19">
        <f t="shared" ref="E12" si="15">E11</f>
        <v>5.6000000000000008E-2</v>
      </c>
      <c r="F12" s="3">
        <f t="shared" ref="F12" si="16">25*E12</f>
        <v>1.4000000000000001</v>
      </c>
      <c r="G12" s="4">
        <f t="shared" ref="G12" si="17">1.4*F12</f>
        <v>1.96</v>
      </c>
      <c r="H12" s="22">
        <f t="shared" ref="H12" si="18">H11</f>
        <v>2.75</v>
      </c>
      <c r="I12" s="23">
        <f t="shared" ref="I12" si="19">I11</f>
        <v>1.9</v>
      </c>
      <c r="J12" s="2">
        <f t="shared" ref="J12" si="20">H12*I12</f>
        <v>5.2249999999999996</v>
      </c>
      <c r="K12" s="4">
        <f t="shared" ref="K12" si="21">J12*1.4</f>
        <v>7.3149999999999986</v>
      </c>
      <c r="L12" s="27" t="s">
        <v>20</v>
      </c>
      <c r="M12" s="22">
        <v>0</v>
      </c>
      <c r="N12" s="25" t="s">
        <v>54</v>
      </c>
      <c r="O12" s="22">
        <v>0</v>
      </c>
      <c r="P12" s="4">
        <f t="shared" ref="P12" si="22">M12+O12</f>
        <v>0</v>
      </c>
      <c r="Q12" s="5">
        <f t="shared" ref="Q12" si="23">F12+J12+P12/1.4</f>
        <v>6.625</v>
      </c>
      <c r="R12" s="4">
        <f t="shared" ref="R12" si="24">1.4*Q12</f>
        <v>9.2749999999999986</v>
      </c>
      <c r="T12" s="19"/>
      <c r="U12" s="30"/>
    </row>
    <row r="24" spans="4:21" ht="15" thickBot="1" x14ac:dyDescent="0.4"/>
    <row r="25" spans="4:21" ht="19" thickBot="1" x14ac:dyDescent="0.4">
      <c r="D25" s="33" t="s">
        <v>33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</row>
    <row r="26" spans="4:21" ht="15" thickBot="1" x14ac:dyDescent="0.4"/>
    <row r="27" spans="4:21" x14ac:dyDescent="0.35">
      <c r="D27" s="36" t="s">
        <v>0</v>
      </c>
      <c r="E27" s="38" t="s">
        <v>4</v>
      </c>
      <c r="F27" s="39"/>
      <c r="G27" s="40"/>
      <c r="H27" s="39" t="s">
        <v>17</v>
      </c>
      <c r="I27" s="39"/>
      <c r="J27" s="39"/>
      <c r="K27" s="40"/>
      <c r="L27" s="41" t="s">
        <v>13</v>
      </c>
      <c r="M27" s="42"/>
      <c r="N27" s="42"/>
      <c r="O27" s="42"/>
      <c r="P27" s="43"/>
      <c r="Q27" s="38" t="s">
        <v>6</v>
      </c>
      <c r="R27" s="40"/>
      <c r="T27" s="38" t="s">
        <v>14</v>
      </c>
      <c r="U27" s="40"/>
    </row>
    <row r="28" spans="4:21" ht="15" thickBot="1" x14ac:dyDescent="0.4">
      <c r="D28" s="37"/>
      <c r="E28" s="6" t="s">
        <v>1</v>
      </c>
      <c r="F28" s="7" t="s">
        <v>2</v>
      </c>
      <c r="G28" s="8" t="s">
        <v>3</v>
      </c>
      <c r="H28" s="7" t="s">
        <v>5</v>
      </c>
      <c r="I28" s="9" t="s">
        <v>18</v>
      </c>
      <c r="J28" s="9" t="s">
        <v>2</v>
      </c>
      <c r="K28" s="10" t="s">
        <v>3</v>
      </c>
      <c r="L28" s="44" t="s">
        <v>9</v>
      </c>
      <c r="M28" s="45"/>
      <c r="N28" s="46" t="s">
        <v>10</v>
      </c>
      <c r="O28" s="45"/>
      <c r="P28" s="10" t="s">
        <v>7</v>
      </c>
      <c r="Q28" s="11" t="s">
        <v>2</v>
      </c>
      <c r="R28" s="10" t="s">
        <v>3</v>
      </c>
      <c r="T28" s="11" t="s">
        <v>15</v>
      </c>
      <c r="U28" s="10" t="s">
        <v>16</v>
      </c>
    </row>
    <row r="29" spans="4:21" x14ac:dyDescent="0.35">
      <c r="D29" s="16" t="s">
        <v>34</v>
      </c>
      <c r="E29" s="17">
        <f>0.4*0.14</f>
        <v>5.6000000000000008E-2</v>
      </c>
      <c r="F29" s="12">
        <f>25*E29</f>
        <v>1.4000000000000001</v>
      </c>
      <c r="G29" s="13">
        <f>1.4*F29</f>
        <v>1.96</v>
      </c>
      <c r="H29" s="20">
        <f>3.15-0.4</f>
        <v>2.75</v>
      </c>
      <c r="I29" s="21">
        <v>1.9</v>
      </c>
      <c r="J29" s="14">
        <f>H29*I29</f>
        <v>5.2249999999999996</v>
      </c>
      <c r="K29" s="13">
        <f>J29*1.4</f>
        <v>7.3149999999999986</v>
      </c>
      <c r="L29" s="26"/>
      <c r="M29" s="20"/>
      <c r="N29" s="24" t="s">
        <v>11</v>
      </c>
      <c r="O29" s="20">
        <v>5.26</v>
      </c>
      <c r="P29" s="13">
        <f>M29+O29</f>
        <v>5.26</v>
      </c>
      <c r="Q29" s="15">
        <f>F29+J29+P29/1.4</f>
        <v>10.382142857142856</v>
      </c>
      <c r="R29" s="13">
        <f>1.4*Q29</f>
        <v>14.534999999999998</v>
      </c>
      <c r="T29" s="17"/>
      <c r="U29" s="29"/>
    </row>
    <row r="30" spans="4:21" x14ac:dyDescent="0.35">
      <c r="D30" s="18" t="s">
        <v>35</v>
      </c>
      <c r="E30" s="19">
        <f>E29</f>
        <v>5.6000000000000008E-2</v>
      </c>
      <c r="F30" s="3">
        <f t="shared" ref="F30" si="25">25*E30</f>
        <v>1.4000000000000001</v>
      </c>
      <c r="G30" s="4">
        <f t="shared" ref="G30" si="26">1.4*F30</f>
        <v>1.96</v>
      </c>
      <c r="H30" s="22">
        <f>H29</f>
        <v>2.75</v>
      </c>
      <c r="I30" s="23">
        <v>1.9</v>
      </c>
      <c r="J30" s="3">
        <f>H30*I30</f>
        <v>5.2249999999999996</v>
      </c>
      <c r="K30" s="4">
        <f t="shared" ref="K30" si="27">J30*1.4</f>
        <v>7.3149999999999986</v>
      </c>
      <c r="L30" s="27"/>
      <c r="M30" s="22"/>
      <c r="N30" s="25" t="s">
        <v>12</v>
      </c>
      <c r="O30" s="22">
        <v>2.77</v>
      </c>
      <c r="P30" s="4">
        <f t="shared" ref="P30" si="28">M30+O30</f>
        <v>2.77</v>
      </c>
      <c r="Q30" s="5">
        <f>F30+J30+P30/1.4</f>
        <v>8.6035714285714278</v>
      </c>
      <c r="R30" s="4">
        <f t="shared" ref="R30" si="29">1.4*Q30</f>
        <v>12.044999999999998</v>
      </c>
      <c r="T30" s="19"/>
      <c r="U30" s="30"/>
    </row>
    <row r="31" spans="4:21" ht="15" thickBot="1" x14ac:dyDescent="0.4"/>
    <row r="32" spans="4:21" ht="19" thickBot="1" x14ac:dyDescent="0.4">
      <c r="D32" s="33" t="s">
        <v>36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/>
    </row>
    <row r="33" spans="4:21" ht="15" thickBot="1" x14ac:dyDescent="0.4"/>
    <row r="34" spans="4:21" x14ac:dyDescent="0.35">
      <c r="D34" s="36" t="s">
        <v>0</v>
      </c>
      <c r="E34" s="38" t="s">
        <v>4</v>
      </c>
      <c r="F34" s="39"/>
      <c r="G34" s="40"/>
      <c r="H34" s="39" t="s">
        <v>17</v>
      </c>
      <c r="I34" s="39"/>
      <c r="J34" s="39"/>
      <c r="K34" s="40"/>
      <c r="L34" s="41" t="s">
        <v>13</v>
      </c>
      <c r="M34" s="42"/>
      <c r="N34" s="42"/>
      <c r="O34" s="42"/>
      <c r="P34" s="43"/>
      <c r="Q34" s="38" t="s">
        <v>6</v>
      </c>
      <c r="R34" s="40"/>
      <c r="T34" s="38" t="s">
        <v>14</v>
      </c>
      <c r="U34" s="40"/>
    </row>
    <row r="35" spans="4:21" ht="15" thickBot="1" x14ac:dyDescent="0.4">
      <c r="D35" s="37"/>
      <c r="E35" s="6" t="s">
        <v>1</v>
      </c>
      <c r="F35" s="7" t="s">
        <v>2</v>
      </c>
      <c r="G35" s="8" t="s">
        <v>3</v>
      </c>
      <c r="H35" s="7" t="s">
        <v>5</v>
      </c>
      <c r="I35" s="9" t="s">
        <v>18</v>
      </c>
      <c r="J35" s="9" t="s">
        <v>2</v>
      </c>
      <c r="K35" s="10" t="s">
        <v>3</v>
      </c>
      <c r="L35" s="44" t="s">
        <v>9</v>
      </c>
      <c r="M35" s="45"/>
      <c r="N35" s="46" t="s">
        <v>10</v>
      </c>
      <c r="O35" s="45"/>
      <c r="P35" s="10" t="s">
        <v>7</v>
      </c>
      <c r="Q35" s="11" t="s">
        <v>2</v>
      </c>
      <c r="R35" s="10" t="s">
        <v>3</v>
      </c>
      <c r="T35" s="11" t="s">
        <v>15</v>
      </c>
      <c r="U35" s="10" t="s">
        <v>16</v>
      </c>
    </row>
    <row r="36" spans="4:21" x14ac:dyDescent="0.35">
      <c r="D36" s="16" t="s">
        <v>37</v>
      </c>
      <c r="E36" s="17">
        <f>0.4*0.14</f>
        <v>5.6000000000000008E-2</v>
      </c>
      <c r="F36" s="12">
        <f>25*E36</f>
        <v>1.4000000000000001</v>
      </c>
      <c r="G36" s="13">
        <f>1.4*F36</f>
        <v>1.96</v>
      </c>
      <c r="H36" s="20">
        <f>3.15-0.4</f>
        <v>2.75</v>
      </c>
      <c r="I36" s="21">
        <v>1.9</v>
      </c>
      <c r="J36" s="14">
        <f>H36*I36</f>
        <v>5.2249999999999996</v>
      </c>
      <c r="K36" s="13">
        <f>J36*1.4</f>
        <v>7.3149999999999986</v>
      </c>
      <c r="L36" s="26"/>
      <c r="M36" s="20"/>
      <c r="N36" s="24" t="s">
        <v>38</v>
      </c>
      <c r="O36" s="20">
        <v>2</v>
      </c>
      <c r="P36" s="13">
        <f>M36+O36</f>
        <v>2</v>
      </c>
      <c r="Q36" s="15">
        <f>F36+J36+P36/1.4</f>
        <v>8.0535714285714288</v>
      </c>
      <c r="R36" s="13">
        <f>1.4*Q36</f>
        <v>11.275</v>
      </c>
      <c r="T36" s="17"/>
      <c r="U36" s="29"/>
    </row>
    <row r="37" spans="4:21" ht="15" thickBot="1" x14ac:dyDescent="0.4"/>
    <row r="38" spans="4:21" ht="19" thickBot="1" x14ac:dyDescent="0.4">
      <c r="D38" s="33" t="s">
        <v>22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</row>
    <row r="39" spans="4:21" ht="15" thickBot="1" x14ac:dyDescent="0.4"/>
    <row r="40" spans="4:21" x14ac:dyDescent="0.35">
      <c r="D40" s="36" t="s">
        <v>0</v>
      </c>
      <c r="E40" s="38" t="s">
        <v>4</v>
      </c>
      <c r="F40" s="39"/>
      <c r="G40" s="40"/>
      <c r="H40" s="39" t="s">
        <v>17</v>
      </c>
      <c r="I40" s="39"/>
      <c r="J40" s="39"/>
      <c r="K40" s="40"/>
      <c r="L40" s="41" t="s">
        <v>13</v>
      </c>
      <c r="M40" s="42"/>
      <c r="N40" s="42"/>
      <c r="O40" s="42"/>
      <c r="P40" s="43"/>
      <c r="Q40" s="38" t="s">
        <v>6</v>
      </c>
      <c r="R40" s="40"/>
      <c r="T40" s="38" t="s">
        <v>14</v>
      </c>
      <c r="U40" s="40"/>
    </row>
    <row r="41" spans="4:21" ht="15" thickBot="1" x14ac:dyDescent="0.4">
      <c r="D41" s="37"/>
      <c r="E41" s="6" t="s">
        <v>1</v>
      </c>
      <c r="F41" s="7" t="s">
        <v>2</v>
      </c>
      <c r="G41" s="8" t="s">
        <v>3</v>
      </c>
      <c r="H41" s="7" t="s">
        <v>5</v>
      </c>
      <c r="I41" s="9" t="s">
        <v>18</v>
      </c>
      <c r="J41" s="9" t="s">
        <v>2</v>
      </c>
      <c r="K41" s="10" t="s">
        <v>3</v>
      </c>
      <c r="L41" s="44" t="s">
        <v>9</v>
      </c>
      <c r="M41" s="45"/>
      <c r="N41" s="46" t="s">
        <v>10</v>
      </c>
      <c r="O41" s="45"/>
      <c r="P41" s="10" t="s">
        <v>7</v>
      </c>
      <c r="Q41" s="11" t="s">
        <v>2</v>
      </c>
      <c r="R41" s="10" t="s">
        <v>3</v>
      </c>
      <c r="T41" s="11" t="s">
        <v>15</v>
      </c>
      <c r="U41" s="10" t="s">
        <v>16</v>
      </c>
    </row>
    <row r="42" spans="4:21" x14ac:dyDescent="0.35">
      <c r="D42" s="16" t="s">
        <v>39</v>
      </c>
      <c r="E42" s="17">
        <f>0.4*0.14</f>
        <v>5.6000000000000008E-2</v>
      </c>
      <c r="F42" s="12">
        <f>25*E42</f>
        <v>1.4000000000000001</v>
      </c>
      <c r="G42" s="13">
        <f>1.4*F42</f>
        <v>1.96</v>
      </c>
      <c r="H42" s="20">
        <v>0</v>
      </c>
      <c r="I42" s="21">
        <v>1.9</v>
      </c>
      <c r="J42" s="14">
        <f>H42*I42</f>
        <v>0</v>
      </c>
      <c r="K42" s="13">
        <f>J42*1.4</f>
        <v>0</v>
      </c>
      <c r="L42" s="26" t="s">
        <v>12</v>
      </c>
      <c r="M42" s="20">
        <v>2.77</v>
      </c>
      <c r="N42" s="24" t="s">
        <v>31</v>
      </c>
      <c r="O42" s="20">
        <v>0.72</v>
      </c>
      <c r="P42" s="13">
        <f>M42+O42</f>
        <v>3.49</v>
      </c>
      <c r="Q42" s="15">
        <f>F42+J42+P42/1.4</f>
        <v>3.8928571428571432</v>
      </c>
      <c r="R42" s="13">
        <f>1.4*Q42</f>
        <v>5.45</v>
      </c>
      <c r="T42" s="17"/>
      <c r="U42" s="29"/>
    </row>
    <row r="43" spans="4:21" x14ac:dyDescent="0.35">
      <c r="D43" s="18" t="s">
        <v>40</v>
      </c>
      <c r="E43" s="19">
        <f>E42</f>
        <v>5.6000000000000008E-2</v>
      </c>
      <c r="F43" s="3">
        <f t="shared" ref="F43:F44" si="30">25*E43</f>
        <v>1.4000000000000001</v>
      </c>
      <c r="G43" s="4">
        <f t="shared" ref="G43:G44" si="31">1.4*F43</f>
        <v>1.96</v>
      </c>
      <c r="H43" s="22">
        <f>H42</f>
        <v>0</v>
      </c>
      <c r="I43" s="23">
        <v>1.9</v>
      </c>
      <c r="J43" s="3">
        <f>H43*I43</f>
        <v>0</v>
      </c>
      <c r="K43" s="4">
        <f t="shared" ref="K43:K44" si="32">J43*1.4</f>
        <v>0</v>
      </c>
      <c r="L43" s="27" t="s">
        <v>38</v>
      </c>
      <c r="M43" s="22">
        <v>2</v>
      </c>
      <c r="N43" s="25" t="s">
        <v>32</v>
      </c>
      <c r="O43" s="22">
        <v>4.74</v>
      </c>
      <c r="P43" s="4">
        <f t="shared" ref="P43:P44" si="33">M43+O43</f>
        <v>6.74</v>
      </c>
      <c r="Q43" s="5">
        <f>F43+J43+P43/1.4</f>
        <v>6.2142857142857153</v>
      </c>
      <c r="R43" s="4">
        <f t="shared" ref="R43:R44" si="34">1.4*Q43</f>
        <v>8.7000000000000011</v>
      </c>
      <c r="T43" s="19"/>
      <c r="U43" s="30"/>
    </row>
    <row r="44" spans="4:21" x14ac:dyDescent="0.35">
      <c r="D44" s="18" t="s">
        <v>41</v>
      </c>
      <c r="E44" s="19">
        <f>0.14*0.7</f>
        <v>9.8000000000000004E-2</v>
      </c>
      <c r="F44" s="3">
        <f t="shared" si="30"/>
        <v>2.4500000000000002</v>
      </c>
      <c r="G44" s="4">
        <f t="shared" si="31"/>
        <v>3.43</v>
      </c>
      <c r="H44" s="22">
        <f>H43</f>
        <v>0</v>
      </c>
      <c r="I44" s="23">
        <v>1.9</v>
      </c>
      <c r="J44" s="2">
        <f>H44*I44</f>
        <v>0</v>
      </c>
      <c r="K44" s="4">
        <f t="shared" si="32"/>
        <v>0</v>
      </c>
      <c r="L44" s="27"/>
      <c r="M44" s="22"/>
      <c r="N44" s="25" t="s">
        <v>20</v>
      </c>
      <c r="O44" s="22">
        <v>0</v>
      </c>
      <c r="P44" s="4">
        <f t="shared" si="33"/>
        <v>0</v>
      </c>
      <c r="Q44" s="5">
        <f>F44+J44+P44/1.4</f>
        <v>2.4500000000000002</v>
      </c>
      <c r="R44" s="4">
        <f t="shared" si="34"/>
        <v>3.43</v>
      </c>
      <c r="S44" s="1" t="s">
        <v>42</v>
      </c>
      <c r="T44" s="19"/>
      <c r="U44" s="30"/>
    </row>
    <row r="45" spans="4:21" x14ac:dyDescent="0.35">
      <c r="D45" s="18" t="s">
        <v>41</v>
      </c>
      <c r="E45" s="19">
        <f>E44</f>
        <v>9.8000000000000004E-2</v>
      </c>
      <c r="F45" s="3">
        <f t="shared" ref="F45" si="35">25*E45</f>
        <v>2.4500000000000002</v>
      </c>
      <c r="G45" s="4">
        <f t="shared" ref="G45" si="36">1.4*F45</f>
        <v>3.43</v>
      </c>
      <c r="H45" s="22">
        <f>H44</f>
        <v>0</v>
      </c>
      <c r="I45" s="23">
        <f>I44</f>
        <v>1.9</v>
      </c>
      <c r="J45" s="2">
        <f>H45*I45</f>
        <v>0</v>
      </c>
      <c r="K45" s="4">
        <f t="shared" ref="K45" si="37">J45*1.4</f>
        <v>0</v>
      </c>
      <c r="L45" s="27"/>
      <c r="M45" s="22"/>
      <c r="N45" s="25" t="s">
        <v>20</v>
      </c>
      <c r="O45" s="22">
        <f>9.55</f>
        <v>9.5500000000000007</v>
      </c>
      <c r="P45" s="4">
        <f t="shared" ref="P45" si="38">M45+O45</f>
        <v>9.5500000000000007</v>
      </c>
      <c r="Q45" s="5">
        <f>F45+J45+P45/1.4</f>
        <v>9.2714285714285722</v>
      </c>
      <c r="R45" s="4">
        <f t="shared" ref="R45" si="39">1.4*Q45</f>
        <v>12.98</v>
      </c>
      <c r="S45" s="1" t="s">
        <v>42</v>
      </c>
      <c r="T45" s="19"/>
      <c r="U45" s="30"/>
    </row>
    <row r="46" spans="4:21" ht="15" thickBot="1" x14ac:dyDescent="0.4"/>
    <row r="47" spans="4:21" ht="19" thickBot="1" x14ac:dyDescent="0.4">
      <c r="D47" s="33" t="s">
        <v>43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</row>
    <row r="48" spans="4:21" ht="15" thickBot="1" x14ac:dyDescent="0.4"/>
    <row r="49" spans="4:21" x14ac:dyDescent="0.35">
      <c r="D49" s="36" t="s">
        <v>0</v>
      </c>
      <c r="E49" s="38" t="s">
        <v>4</v>
      </c>
      <c r="F49" s="39"/>
      <c r="G49" s="40"/>
      <c r="H49" s="39" t="s">
        <v>17</v>
      </c>
      <c r="I49" s="39"/>
      <c r="J49" s="39"/>
      <c r="K49" s="40"/>
      <c r="L49" s="41" t="s">
        <v>13</v>
      </c>
      <c r="M49" s="42"/>
      <c r="N49" s="42"/>
      <c r="O49" s="42"/>
      <c r="P49" s="43"/>
      <c r="Q49" s="38" t="s">
        <v>6</v>
      </c>
      <c r="R49" s="40"/>
      <c r="T49" s="38" t="s">
        <v>14</v>
      </c>
      <c r="U49" s="40"/>
    </row>
    <row r="50" spans="4:21" ht="15" thickBot="1" x14ac:dyDescent="0.4">
      <c r="D50" s="37"/>
      <c r="E50" s="6" t="s">
        <v>1</v>
      </c>
      <c r="F50" s="7" t="s">
        <v>2</v>
      </c>
      <c r="G50" s="8" t="s">
        <v>3</v>
      </c>
      <c r="H50" s="7" t="s">
        <v>5</v>
      </c>
      <c r="I50" s="9" t="s">
        <v>18</v>
      </c>
      <c r="J50" s="9" t="s">
        <v>2</v>
      </c>
      <c r="K50" s="10" t="s">
        <v>3</v>
      </c>
      <c r="L50" s="44" t="s">
        <v>9</v>
      </c>
      <c r="M50" s="45"/>
      <c r="N50" s="46" t="s">
        <v>10</v>
      </c>
      <c r="O50" s="45"/>
      <c r="P50" s="10" t="s">
        <v>7</v>
      </c>
      <c r="Q50" s="11" t="s">
        <v>2</v>
      </c>
      <c r="R50" s="10" t="s">
        <v>3</v>
      </c>
      <c r="T50" s="11" t="s">
        <v>15</v>
      </c>
      <c r="U50" s="10" t="s">
        <v>16</v>
      </c>
    </row>
    <row r="51" spans="4:21" x14ac:dyDescent="0.35">
      <c r="D51" s="16" t="s">
        <v>44</v>
      </c>
      <c r="E51" s="17">
        <f>0.4*0.14</f>
        <v>5.6000000000000008E-2</v>
      </c>
      <c r="F51" s="12">
        <f>25*E51</f>
        <v>1.4000000000000001</v>
      </c>
      <c r="G51" s="13">
        <f>1.4*F51</f>
        <v>1.96</v>
      </c>
      <c r="H51" s="20">
        <f>3.15-0.4</f>
        <v>2.75</v>
      </c>
      <c r="I51" s="21">
        <v>1.9</v>
      </c>
      <c r="J51" s="14">
        <f>H51*I51</f>
        <v>5.2249999999999996</v>
      </c>
      <c r="K51" s="13">
        <f>J51*1.4</f>
        <v>7.3149999999999986</v>
      </c>
      <c r="L51" s="26"/>
      <c r="M51" s="20"/>
      <c r="N51" s="24" t="s">
        <v>46</v>
      </c>
      <c r="O51" s="20">
        <v>3.02</v>
      </c>
      <c r="P51" s="13">
        <f>M51+O51</f>
        <v>3.02</v>
      </c>
      <c r="Q51" s="15">
        <f>F51+J51+P51/1.4</f>
        <v>8.7821428571428584</v>
      </c>
      <c r="R51" s="13">
        <f>1.4*Q51</f>
        <v>12.295000000000002</v>
      </c>
      <c r="T51" s="17"/>
      <c r="U51" s="29"/>
    </row>
    <row r="52" spans="4:21" x14ac:dyDescent="0.35">
      <c r="D52" s="18" t="s">
        <v>45</v>
      </c>
      <c r="E52" s="19">
        <f>E51</f>
        <v>5.6000000000000008E-2</v>
      </c>
      <c r="F52" s="3">
        <f t="shared" ref="F52" si="40">25*E52</f>
        <v>1.4000000000000001</v>
      </c>
      <c r="G52" s="4">
        <f t="shared" ref="G52" si="41">1.4*F52</f>
        <v>1.96</v>
      </c>
      <c r="H52" s="22">
        <f>H51</f>
        <v>2.75</v>
      </c>
      <c r="I52" s="23">
        <v>1.9</v>
      </c>
      <c r="J52" s="3">
        <f>H52*I52</f>
        <v>5.2249999999999996</v>
      </c>
      <c r="K52" s="4">
        <f t="shared" ref="K52" si="42">J52*1.4</f>
        <v>7.3149999999999986</v>
      </c>
      <c r="L52" s="27" t="s">
        <v>11</v>
      </c>
      <c r="M52" s="22">
        <v>8.77</v>
      </c>
      <c r="N52" s="25" t="s">
        <v>47</v>
      </c>
      <c r="O52" s="22">
        <v>6.71</v>
      </c>
      <c r="P52" s="4">
        <f t="shared" ref="P52" si="43">M52+O52</f>
        <v>15.48</v>
      </c>
      <c r="Q52" s="5">
        <f>F52+J52+P52/1.4</f>
        <v>17.682142857142857</v>
      </c>
      <c r="R52" s="4">
        <f t="shared" ref="R52" si="44">1.4*Q52</f>
        <v>24.754999999999999</v>
      </c>
      <c r="T52" s="19"/>
      <c r="U52" s="30"/>
    </row>
    <row r="53" spans="4:21" ht="15" thickBot="1" x14ac:dyDescent="0.4"/>
    <row r="54" spans="4:21" ht="19" thickBot="1" x14ac:dyDescent="0.4">
      <c r="D54" s="33" t="s">
        <v>27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/>
    </row>
    <row r="55" spans="4:21" ht="15" thickBot="1" x14ac:dyDescent="0.4"/>
    <row r="56" spans="4:21" x14ac:dyDescent="0.35">
      <c r="D56" s="36" t="s">
        <v>0</v>
      </c>
      <c r="E56" s="38" t="s">
        <v>4</v>
      </c>
      <c r="F56" s="39"/>
      <c r="G56" s="40"/>
      <c r="H56" s="39" t="s">
        <v>17</v>
      </c>
      <c r="I56" s="39"/>
      <c r="J56" s="39"/>
      <c r="K56" s="40"/>
      <c r="L56" s="41" t="s">
        <v>13</v>
      </c>
      <c r="M56" s="42"/>
      <c r="N56" s="42"/>
      <c r="O56" s="42"/>
      <c r="P56" s="43"/>
      <c r="Q56" s="38" t="s">
        <v>6</v>
      </c>
      <c r="R56" s="40"/>
      <c r="T56" s="38" t="s">
        <v>14</v>
      </c>
      <c r="U56" s="40"/>
    </row>
    <row r="57" spans="4:21" ht="15" thickBot="1" x14ac:dyDescent="0.4">
      <c r="D57" s="37"/>
      <c r="E57" s="6" t="s">
        <v>1</v>
      </c>
      <c r="F57" s="7" t="s">
        <v>2</v>
      </c>
      <c r="G57" s="8" t="s">
        <v>3</v>
      </c>
      <c r="H57" s="7" t="s">
        <v>5</v>
      </c>
      <c r="I57" s="9" t="s">
        <v>18</v>
      </c>
      <c r="J57" s="9" t="s">
        <v>2</v>
      </c>
      <c r="K57" s="10" t="s">
        <v>3</v>
      </c>
      <c r="L57" s="44" t="s">
        <v>9</v>
      </c>
      <c r="M57" s="45"/>
      <c r="N57" s="46" t="s">
        <v>10</v>
      </c>
      <c r="O57" s="45"/>
      <c r="P57" s="10" t="s">
        <v>7</v>
      </c>
      <c r="Q57" s="11" t="s">
        <v>2</v>
      </c>
      <c r="R57" s="10" t="s">
        <v>3</v>
      </c>
      <c r="T57" s="11" t="s">
        <v>15</v>
      </c>
      <c r="U57" s="10" t="s">
        <v>16</v>
      </c>
    </row>
    <row r="58" spans="4:21" x14ac:dyDescent="0.35">
      <c r="D58" s="16" t="s">
        <v>28</v>
      </c>
      <c r="E58" s="17">
        <f>0.4*0.14</f>
        <v>5.6000000000000008E-2</v>
      </c>
      <c r="F58" s="12">
        <f>25*E58</f>
        <v>1.4000000000000001</v>
      </c>
      <c r="G58" s="13">
        <f>1.4*F58</f>
        <v>1.96</v>
      </c>
      <c r="H58" s="20">
        <f>3.15-0.4</f>
        <v>2.75</v>
      </c>
      <c r="I58" s="21">
        <v>1.9</v>
      </c>
      <c r="J58" s="14">
        <f>H58*I58</f>
        <v>5.2249999999999996</v>
      </c>
      <c r="K58" s="13">
        <f>J58*1.4</f>
        <v>7.3149999999999986</v>
      </c>
      <c r="L58" s="26" t="s">
        <v>31</v>
      </c>
      <c r="M58" s="20">
        <v>0.72</v>
      </c>
      <c r="N58" s="24" t="s">
        <v>25</v>
      </c>
      <c r="O58" s="20">
        <v>1.79</v>
      </c>
      <c r="P58" s="13">
        <f>M58+O58</f>
        <v>2.5099999999999998</v>
      </c>
      <c r="Q58" s="15">
        <f>F58+J58+P58/1.4</f>
        <v>8.4178571428571427</v>
      </c>
      <c r="R58" s="13">
        <f>1.4*Q58</f>
        <v>11.784999999999998</v>
      </c>
      <c r="T58" s="17"/>
      <c r="U58" s="29"/>
    </row>
    <row r="59" spans="4:21" x14ac:dyDescent="0.35">
      <c r="D59" s="18" t="s">
        <v>29</v>
      </c>
      <c r="E59" s="19">
        <f>E58</f>
        <v>5.6000000000000008E-2</v>
      </c>
      <c r="F59" s="3">
        <f t="shared" ref="F59:F60" si="45">25*E59</f>
        <v>1.4000000000000001</v>
      </c>
      <c r="G59" s="4">
        <f t="shared" ref="G59:G60" si="46">1.4*F59</f>
        <v>1.96</v>
      </c>
      <c r="H59" s="22">
        <f>H58</f>
        <v>2.75</v>
      </c>
      <c r="I59" s="23">
        <v>1.9</v>
      </c>
      <c r="J59" s="3">
        <f>H59*I59</f>
        <v>5.2249999999999996</v>
      </c>
      <c r="K59" s="4">
        <f t="shared" ref="K59:K60" si="47">J59*1.4</f>
        <v>7.3149999999999986</v>
      </c>
      <c r="L59" s="27" t="s">
        <v>32</v>
      </c>
      <c r="M59" s="22">
        <v>1.65</v>
      </c>
      <c r="N59" s="25" t="s">
        <v>25</v>
      </c>
      <c r="O59" s="22">
        <v>1.79</v>
      </c>
      <c r="P59" s="4">
        <f t="shared" ref="P59:P60" si="48">M59+O59</f>
        <v>3.44</v>
      </c>
      <c r="Q59" s="5">
        <f>F59+J59+P59/1.4</f>
        <v>9.0821428571428573</v>
      </c>
      <c r="R59" s="4">
        <f t="shared" ref="R59:R60" si="49">1.4*Q59</f>
        <v>12.715</v>
      </c>
      <c r="T59" s="19"/>
      <c r="U59" s="30"/>
    </row>
    <row r="60" spans="4:21" x14ac:dyDescent="0.35">
      <c r="D60" s="18" t="s">
        <v>30</v>
      </c>
      <c r="E60" s="19">
        <f>E59</f>
        <v>5.6000000000000008E-2</v>
      </c>
      <c r="F60" s="3">
        <f t="shared" si="45"/>
        <v>1.4000000000000001</v>
      </c>
      <c r="G60" s="4">
        <f t="shared" si="46"/>
        <v>1.96</v>
      </c>
      <c r="H60" s="22">
        <f>H59</f>
        <v>2.75</v>
      </c>
      <c r="I60" s="23">
        <v>1.9</v>
      </c>
      <c r="J60" s="2">
        <f>H60*I60</f>
        <v>5.2249999999999996</v>
      </c>
      <c r="K60" s="4">
        <f t="shared" si="47"/>
        <v>7.3149999999999986</v>
      </c>
      <c r="L60" s="27" t="s">
        <v>32</v>
      </c>
      <c r="M60" s="22">
        <v>1.65</v>
      </c>
      <c r="N60" s="25" t="s">
        <v>26</v>
      </c>
      <c r="O60" s="22">
        <v>0</v>
      </c>
      <c r="P60" s="4">
        <f t="shared" si="48"/>
        <v>1.65</v>
      </c>
      <c r="Q60" s="5">
        <f>F60+J60+P60/1.4</f>
        <v>7.8035714285714288</v>
      </c>
      <c r="R60" s="4">
        <f t="shared" si="49"/>
        <v>10.924999999999999</v>
      </c>
      <c r="T60" s="19"/>
      <c r="U60" s="30"/>
    </row>
    <row r="61" spans="4:21" ht="15" thickBot="1" x14ac:dyDescent="0.4">
      <c r="F61" s="31"/>
      <c r="G61" s="31"/>
      <c r="H61" s="31"/>
      <c r="K61" s="31"/>
      <c r="L61" s="31"/>
      <c r="M61" s="31"/>
      <c r="N61" s="31"/>
      <c r="O61" s="31"/>
      <c r="P61" s="31"/>
      <c r="Q61" s="31"/>
      <c r="R61" s="31"/>
    </row>
    <row r="62" spans="4:21" ht="19" thickBot="1" x14ac:dyDescent="0.4">
      <c r="D62" s="33" t="s">
        <v>55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</row>
    <row r="63" spans="4:21" ht="15" thickBot="1" x14ac:dyDescent="0.4"/>
    <row r="64" spans="4:21" x14ac:dyDescent="0.35">
      <c r="D64" s="36" t="s">
        <v>0</v>
      </c>
      <c r="E64" s="38" t="s">
        <v>4</v>
      </c>
      <c r="F64" s="39"/>
      <c r="G64" s="40"/>
      <c r="H64" s="39" t="s">
        <v>17</v>
      </c>
      <c r="I64" s="39"/>
      <c r="J64" s="39"/>
      <c r="K64" s="40"/>
      <c r="L64" s="41" t="s">
        <v>13</v>
      </c>
      <c r="M64" s="42"/>
      <c r="N64" s="42"/>
      <c r="O64" s="42"/>
      <c r="P64" s="43"/>
      <c r="Q64" s="38" t="s">
        <v>6</v>
      </c>
      <c r="R64" s="40"/>
      <c r="T64" s="38" t="s">
        <v>14</v>
      </c>
      <c r="U64" s="40"/>
    </row>
    <row r="65" spans="4:21" ht="15" thickBot="1" x14ac:dyDescent="0.4">
      <c r="D65" s="37"/>
      <c r="E65" s="6" t="s">
        <v>1</v>
      </c>
      <c r="F65" s="7" t="s">
        <v>2</v>
      </c>
      <c r="G65" s="8" t="s">
        <v>3</v>
      </c>
      <c r="H65" s="7" t="s">
        <v>5</v>
      </c>
      <c r="I65" s="9" t="s">
        <v>18</v>
      </c>
      <c r="J65" s="9" t="s">
        <v>2</v>
      </c>
      <c r="K65" s="10" t="s">
        <v>3</v>
      </c>
      <c r="L65" s="44" t="s">
        <v>9</v>
      </c>
      <c r="M65" s="45"/>
      <c r="N65" s="46" t="s">
        <v>10</v>
      </c>
      <c r="O65" s="45"/>
      <c r="P65" s="10" t="s">
        <v>7</v>
      </c>
      <c r="Q65" s="11" t="s">
        <v>2</v>
      </c>
      <c r="R65" s="10" t="s">
        <v>3</v>
      </c>
      <c r="T65" s="11" t="s">
        <v>15</v>
      </c>
      <c r="U65" s="10" t="s">
        <v>16</v>
      </c>
    </row>
    <row r="66" spans="4:21" x14ac:dyDescent="0.35">
      <c r="D66" s="16" t="s">
        <v>56</v>
      </c>
      <c r="E66" s="17">
        <f>0.14*0.6</f>
        <v>8.4000000000000005E-2</v>
      </c>
      <c r="F66" s="12">
        <f>25*E66</f>
        <v>2.1</v>
      </c>
      <c r="G66" s="13">
        <f>1.4*F66</f>
        <v>2.94</v>
      </c>
      <c r="H66" s="20">
        <f>3.15-0.4</f>
        <v>2.75</v>
      </c>
      <c r="I66" s="21">
        <v>1.9</v>
      </c>
      <c r="J66" s="14">
        <f>H66*I66</f>
        <v>5.2249999999999996</v>
      </c>
      <c r="K66" s="13">
        <f>J66*1.4</f>
        <v>7.3149999999999986</v>
      </c>
      <c r="L66" s="26"/>
      <c r="M66" s="20"/>
      <c r="N66" s="24"/>
      <c r="O66" s="20"/>
      <c r="P66" s="13">
        <f>M66+O66</f>
        <v>0</v>
      </c>
      <c r="Q66" s="15">
        <f>F66+J66+P66/1.4</f>
        <v>7.3249999999999993</v>
      </c>
      <c r="R66" s="13">
        <f>1.4*Q66</f>
        <v>10.254999999999999</v>
      </c>
      <c r="T66" s="17"/>
      <c r="U66" s="29"/>
    </row>
    <row r="67" spans="4:21" ht="15" thickBot="1" x14ac:dyDescent="0.4">
      <c r="F67" s="31"/>
      <c r="G67" s="31"/>
      <c r="H67" s="31"/>
      <c r="K67" s="31"/>
      <c r="L67" s="31"/>
      <c r="M67" s="31"/>
      <c r="N67" s="31"/>
      <c r="O67" s="31"/>
      <c r="P67" s="31"/>
      <c r="Q67" s="31"/>
      <c r="R67" s="31"/>
    </row>
    <row r="68" spans="4:21" ht="19" thickBot="1" x14ac:dyDescent="0.4">
      <c r="D68" s="33" t="s">
        <v>48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</row>
    <row r="69" spans="4:21" ht="15" thickBot="1" x14ac:dyDescent="0.4"/>
    <row r="70" spans="4:21" x14ac:dyDescent="0.35">
      <c r="D70" s="36" t="s">
        <v>0</v>
      </c>
      <c r="E70" s="38" t="s">
        <v>4</v>
      </c>
      <c r="F70" s="39"/>
      <c r="G70" s="40"/>
      <c r="H70" s="39" t="s">
        <v>17</v>
      </c>
      <c r="I70" s="39"/>
      <c r="J70" s="39"/>
      <c r="K70" s="40"/>
      <c r="L70" s="41" t="s">
        <v>13</v>
      </c>
      <c r="M70" s="42"/>
      <c r="N70" s="42"/>
      <c r="O70" s="42"/>
      <c r="P70" s="43"/>
      <c r="Q70" s="38" t="s">
        <v>6</v>
      </c>
      <c r="R70" s="40"/>
      <c r="T70" s="38" t="s">
        <v>14</v>
      </c>
      <c r="U70" s="40"/>
    </row>
    <row r="71" spans="4:21" ht="15" thickBot="1" x14ac:dyDescent="0.4">
      <c r="D71" s="37"/>
      <c r="E71" s="6" t="s">
        <v>1</v>
      </c>
      <c r="F71" s="7" t="s">
        <v>2</v>
      </c>
      <c r="G71" s="8" t="s">
        <v>3</v>
      </c>
      <c r="H71" s="7" t="s">
        <v>5</v>
      </c>
      <c r="I71" s="9" t="s">
        <v>18</v>
      </c>
      <c r="J71" s="9" t="s">
        <v>2</v>
      </c>
      <c r="K71" s="10" t="s">
        <v>3</v>
      </c>
      <c r="L71" s="44" t="s">
        <v>9</v>
      </c>
      <c r="M71" s="45"/>
      <c r="N71" s="46" t="s">
        <v>10</v>
      </c>
      <c r="O71" s="45"/>
      <c r="P71" s="10" t="s">
        <v>7</v>
      </c>
      <c r="Q71" s="11" t="s">
        <v>2</v>
      </c>
      <c r="R71" s="10" t="s">
        <v>3</v>
      </c>
      <c r="T71" s="11" t="s">
        <v>15</v>
      </c>
      <c r="U71" s="10" t="s">
        <v>16</v>
      </c>
    </row>
    <row r="72" spans="4:21" x14ac:dyDescent="0.35">
      <c r="D72" s="16" t="s">
        <v>49</v>
      </c>
      <c r="E72" s="17">
        <f>0.4*0.14</f>
        <v>5.6000000000000008E-2</v>
      </c>
      <c r="F72" s="12">
        <f>25*E72</f>
        <v>1.4000000000000001</v>
      </c>
      <c r="G72" s="13">
        <f>1.4*F72</f>
        <v>1.96</v>
      </c>
      <c r="H72" s="20">
        <f>3.15-0.4</f>
        <v>2.75</v>
      </c>
      <c r="I72" s="21">
        <v>1.9</v>
      </c>
      <c r="J72" s="14">
        <f>H72*I72</f>
        <v>5.2249999999999996</v>
      </c>
      <c r="K72" s="13">
        <f>J72*1.4</f>
        <v>7.3149999999999986</v>
      </c>
      <c r="L72" s="26" t="s">
        <v>47</v>
      </c>
      <c r="M72" s="20">
        <v>10.27</v>
      </c>
      <c r="N72" s="24" t="s">
        <v>25</v>
      </c>
      <c r="O72" s="20">
        <v>9.5</v>
      </c>
      <c r="P72" s="13">
        <f>M72+O72</f>
        <v>19.77</v>
      </c>
      <c r="Q72" s="15">
        <f>F72+J72+P72/1.4</f>
        <v>20.746428571428574</v>
      </c>
      <c r="R72" s="13">
        <f>1.4*Q72</f>
        <v>29.045000000000002</v>
      </c>
      <c r="T72" s="17"/>
      <c r="U72" s="29"/>
    </row>
    <row r="73" spans="4:21" x14ac:dyDescent="0.35">
      <c r="D73" s="18" t="s">
        <v>50</v>
      </c>
      <c r="E73" s="19">
        <f>E72</f>
        <v>5.6000000000000008E-2</v>
      </c>
      <c r="F73" s="3">
        <f t="shared" ref="F73:F75" si="50">25*E73</f>
        <v>1.4000000000000001</v>
      </c>
      <c r="G73" s="4">
        <f t="shared" ref="G73:G75" si="51">1.4*F73</f>
        <v>1.96</v>
      </c>
      <c r="H73" s="22">
        <f>H72</f>
        <v>2.75</v>
      </c>
      <c r="I73" s="23">
        <v>1.9</v>
      </c>
      <c r="J73" s="3">
        <f>H73*I73</f>
        <v>5.2249999999999996</v>
      </c>
      <c r="K73" s="4">
        <f t="shared" ref="K73:K75" si="52">J73*1.4</f>
        <v>7.3149999999999986</v>
      </c>
      <c r="L73" s="27" t="s">
        <v>47</v>
      </c>
      <c r="M73" s="22">
        <v>10.27</v>
      </c>
      <c r="N73" s="25" t="s">
        <v>31</v>
      </c>
      <c r="O73" s="22">
        <v>7.02</v>
      </c>
      <c r="P73" s="4">
        <f t="shared" ref="P73:P75" si="53">M73+O73</f>
        <v>17.29</v>
      </c>
      <c r="Q73" s="5">
        <f>F73+J73+P73/1.4</f>
        <v>18.975000000000001</v>
      </c>
      <c r="R73" s="4">
        <f t="shared" ref="R73:R75" si="54">1.4*Q73</f>
        <v>26.565000000000001</v>
      </c>
      <c r="T73" s="19"/>
      <c r="U73" s="30"/>
    </row>
    <row r="74" spans="4:21" x14ac:dyDescent="0.35">
      <c r="D74" s="18" t="s">
        <v>51</v>
      </c>
      <c r="E74" s="19">
        <f>E73</f>
        <v>5.6000000000000008E-2</v>
      </c>
      <c r="F74" s="3">
        <f t="shared" si="50"/>
        <v>1.4000000000000001</v>
      </c>
      <c r="G74" s="4">
        <f t="shared" si="51"/>
        <v>1.96</v>
      </c>
      <c r="H74" s="22">
        <f>H73</f>
        <v>2.75</v>
      </c>
      <c r="I74" s="23">
        <v>1.9</v>
      </c>
      <c r="J74" s="2">
        <f>H74*I74</f>
        <v>5.2249999999999996</v>
      </c>
      <c r="K74" s="4">
        <f t="shared" si="52"/>
        <v>7.3149999999999986</v>
      </c>
      <c r="L74" s="27" t="s">
        <v>11</v>
      </c>
      <c r="M74" s="22">
        <v>2.21</v>
      </c>
      <c r="N74" s="25" t="s">
        <v>31</v>
      </c>
      <c r="O74" s="22">
        <v>7.02</v>
      </c>
      <c r="P74" s="4">
        <f t="shared" si="53"/>
        <v>9.23</v>
      </c>
      <c r="Q74" s="5">
        <f>F74+J74+P74/1.4</f>
        <v>13.217857142857143</v>
      </c>
      <c r="R74" s="4">
        <f t="shared" si="54"/>
        <v>18.504999999999999</v>
      </c>
      <c r="T74" s="19"/>
      <c r="U74" s="30"/>
    </row>
    <row r="75" spans="4:21" ht="15" thickBot="1" x14ac:dyDescent="0.4">
      <c r="D75" s="32" t="s">
        <v>52</v>
      </c>
      <c r="E75" s="19">
        <f>E74</f>
        <v>5.6000000000000008E-2</v>
      </c>
      <c r="F75" s="3">
        <f t="shared" si="50"/>
        <v>1.4000000000000001</v>
      </c>
      <c r="G75" s="4">
        <f t="shared" si="51"/>
        <v>1.96</v>
      </c>
      <c r="H75" s="22">
        <f>H74</f>
        <v>2.75</v>
      </c>
      <c r="I75" s="23">
        <f>I74</f>
        <v>1.9</v>
      </c>
      <c r="J75" s="2">
        <f>H75*I75</f>
        <v>5.2249999999999996</v>
      </c>
      <c r="K75" s="4">
        <f t="shared" si="52"/>
        <v>7.3149999999999986</v>
      </c>
      <c r="L75" s="27" t="s">
        <v>11</v>
      </c>
      <c r="M75" s="22">
        <v>2.21</v>
      </c>
      <c r="N75" s="25" t="s">
        <v>12</v>
      </c>
      <c r="O75" s="22">
        <v>1.95</v>
      </c>
      <c r="P75" s="4">
        <f t="shared" si="53"/>
        <v>4.16</v>
      </c>
      <c r="Q75" s="5">
        <f>F75+J75+P75/1.4</f>
        <v>9.5964285714285715</v>
      </c>
      <c r="R75" s="4">
        <f t="shared" si="54"/>
        <v>13.434999999999999</v>
      </c>
      <c r="T75" s="19"/>
      <c r="U75" s="30"/>
    </row>
    <row r="76" spans="4:21" ht="15" thickBot="1" x14ac:dyDescent="0.4">
      <c r="F76" s="31"/>
      <c r="G76" s="31"/>
      <c r="H76" s="31"/>
      <c r="K76" s="31"/>
      <c r="L76" s="31"/>
      <c r="M76" s="31"/>
      <c r="N76" s="31"/>
      <c r="O76" s="31"/>
      <c r="P76" s="31"/>
      <c r="Q76" s="31"/>
      <c r="R76" s="31"/>
    </row>
    <row r="77" spans="4:21" ht="19" thickBot="1" x14ac:dyDescent="0.4">
      <c r="D77" s="33" t="s">
        <v>57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</row>
    <row r="78" spans="4:21" ht="15" thickBot="1" x14ac:dyDescent="0.4"/>
    <row r="79" spans="4:21" x14ac:dyDescent="0.35">
      <c r="D79" s="36" t="s">
        <v>0</v>
      </c>
      <c r="E79" s="38" t="s">
        <v>4</v>
      </c>
      <c r="F79" s="39"/>
      <c r="G79" s="40"/>
      <c r="H79" s="39" t="s">
        <v>17</v>
      </c>
      <c r="I79" s="39"/>
      <c r="J79" s="39"/>
      <c r="K79" s="40"/>
      <c r="L79" s="41" t="s">
        <v>13</v>
      </c>
      <c r="M79" s="42"/>
      <c r="N79" s="42"/>
      <c r="O79" s="42"/>
      <c r="P79" s="43"/>
      <c r="Q79" s="38" t="s">
        <v>6</v>
      </c>
      <c r="R79" s="40"/>
      <c r="T79" s="38" t="s">
        <v>14</v>
      </c>
      <c r="U79" s="40"/>
    </row>
    <row r="80" spans="4:21" ht="15" thickBot="1" x14ac:dyDescent="0.4">
      <c r="D80" s="37"/>
      <c r="E80" s="6" t="s">
        <v>1</v>
      </c>
      <c r="F80" s="7" t="s">
        <v>2</v>
      </c>
      <c r="G80" s="8" t="s">
        <v>3</v>
      </c>
      <c r="H80" s="7" t="s">
        <v>5</v>
      </c>
      <c r="I80" s="9" t="s">
        <v>18</v>
      </c>
      <c r="J80" s="9" t="s">
        <v>2</v>
      </c>
      <c r="K80" s="10" t="s">
        <v>3</v>
      </c>
      <c r="L80" s="44" t="s">
        <v>9</v>
      </c>
      <c r="M80" s="45"/>
      <c r="N80" s="46" t="s">
        <v>10</v>
      </c>
      <c r="O80" s="45"/>
      <c r="P80" s="10" t="s">
        <v>7</v>
      </c>
      <c r="Q80" s="11" t="s">
        <v>2</v>
      </c>
      <c r="R80" s="10" t="s">
        <v>3</v>
      </c>
      <c r="T80" s="11" t="s">
        <v>15</v>
      </c>
      <c r="U80" s="10" t="s">
        <v>16</v>
      </c>
    </row>
    <row r="81" spans="4:21" x14ac:dyDescent="0.35">
      <c r="D81" s="16" t="s">
        <v>49</v>
      </c>
      <c r="E81" s="17">
        <f>0.4*0.14</f>
        <v>5.6000000000000008E-2</v>
      </c>
      <c r="F81" s="12">
        <f>25*E81</f>
        <v>1.4000000000000001</v>
      </c>
      <c r="G81" s="13">
        <f>1.4*F81</f>
        <v>1.96</v>
      </c>
      <c r="H81" s="20">
        <f>3.15-0.4</f>
        <v>2.75</v>
      </c>
      <c r="I81" s="21">
        <v>1.9</v>
      </c>
      <c r="J81" s="14">
        <f>H81*I81</f>
        <v>5.2249999999999996</v>
      </c>
      <c r="K81" s="13">
        <f>J81*1.4</f>
        <v>7.3149999999999986</v>
      </c>
      <c r="L81" s="26" t="s">
        <v>31</v>
      </c>
      <c r="M81" s="20">
        <v>4.21</v>
      </c>
      <c r="N81" s="24" t="s">
        <v>32</v>
      </c>
      <c r="O81" s="20">
        <v>4.74</v>
      </c>
      <c r="P81" s="13">
        <f>M81+O81</f>
        <v>8.9499999999999993</v>
      </c>
      <c r="Q81" s="15">
        <f>F81+J81+P81/1.4</f>
        <v>13.017857142857142</v>
      </c>
      <c r="R81" s="13">
        <f>1.4*Q81</f>
        <v>18.224999999999998</v>
      </c>
      <c r="T81" s="17"/>
      <c r="U81" s="29"/>
    </row>
    <row r="82" spans="4:21" x14ac:dyDescent="0.35">
      <c r="D82" s="18" t="s">
        <v>50</v>
      </c>
      <c r="E82" s="19">
        <f>E81</f>
        <v>5.6000000000000008E-2</v>
      </c>
      <c r="F82" s="3">
        <f t="shared" ref="F82:F83" si="55">25*E82</f>
        <v>1.4000000000000001</v>
      </c>
      <c r="G82" s="4">
        <f t="shared" ref="G82:G83" si="56">1.4*F82</f>
        <v>1.96</v>
      </c>
      <c r="H82" s="22">
        <f>H81</f>
        <v>2.75</v>
      </c>
      <c r="I82" s="23">
        <v>1.9</v>
      </c>
      <c r="J82" s="3">
        <f>H82*I82</f>
        <v>5.2249999999999996</v>
      </c>
      <c r="K82" s="4">
        <f t="shared" ref="K82:K83" si="57">J82*1.4</f>
        <v>7.3149999999999986</v>
      </c>
      <c r="L82" s="27" t="s">
        <v>12</v>
      </c>
      <c r="M82" s="22">
        <v>1.17</v>
      </c>
      <c r="N82" s="25" t="s">
        <v>38</v>
      </c>
      <c r="O82" s="22">
        <v>0</v>
      </c>
      <c r="P82" s="4">
        <f t="shared" ref="P82:P83" si="58">M82+O82</f>
        <v>1.17</v>
      </c>
      <c r="Q82" s="5">
        <f>F82+J82+P82/1.4</f>
        <v>7.4607142857142854</v>
      </c>
      <c r="R82" s="4">
        <f t="shared" ref="R82:R83" si="59">1.4*Q82</f>
        <v>10.444999999999999</v>
      </c>
      <c r="T82" s="19"/>
      <c r="U82" s="30"/>
    </row>
    <row r="83" spans="4:21" x14ac:dyDescent="0.35">
      <c r="D83" s="18" t="s">
        <v>51</v>
      </c>
      <c r="E83" s="19">
        <f>E82</f>
        <v>5.6000000000000008E-2</v>
      </c>
      <c r="F83" s="3">
        <f t="shared" si="55"/>
        <v>1.4000000000000001</v>
      </c>
      <c r="G83" s="4">
        <f t="shared" si="56"/>
        <v>1.96</v>
      </c>
      <c r="H83" s="22">
        <f>H82</f>
        <v>2.75</v>
      </c>
      <c r="I83" s="23">
        <v>1.9</v>
      </c>
      <c r="J83" s="2">
        <f>H83*I83</f>
        <v>5.2249999999999996</v>
      </c>
      <c r="K83" s="4">
        <f t="shared" si="57"/>
        <v>7.3149999999999986</v>
      </c>
      <c r="L83" s="27" t="s">
        <v>12</v>
      </c>
      <c r="M83" s="22">
        <v>1.17</v>
      </c>
      <c r="N83" s="25"/>
      <c r="O83" s="22"/>
      <c r="P83" s="4">
        <f t="shared" si="58"/>
        <v>1.17</v>
      </c>
      <c r="Q83" s="5">
        <f>F83+J83+P83/1.4</f>
        <v>7.4607142857142854</v>
      </c>
      <c r="R83" s="4">
        <f t="shared" si="59"/>
        <v>10.444999999999999</v>
      </c>
      <c r="T83" s="19"/>
      <c r="U83" s="30"/>
    </row>
    <row r="84" spans="4:21" ht="15" thickBot="1" x14ac:dyDescent="0.4"/>
    <row r="85" spans="4:21" ht="19" thickBot="1" x14ac:dyDescent="0.4">
      <c r="D85" s="33" t="s">
        <v>23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</row>
    <row r="86" spans="4:21" ht="15" thickBot="1" x14ac:dyDescent="0.4"/>
    <row r="87" spans="4:21" x14ac:dyDescent="0.35">
      <c r="D87" s="36" t="s">
        <v>0</v>
      </c>
      <c r="E87" s="38" t="s">
        <v>4</v>
      </c>
      <c r="F87" s="39"/>
      <c r="G87" s="40"/>
      <c r="H87" s="39" t="s">
        <v>17</v>
      </c>
      <c r="I87" s="39"/>
      <c r="J87" s="39"/>
      <c r="K87" s="40"/>
      <c r="L87" s="41" t="s">
        <v>13</v>
      </c>
      <c r="M87" s="42"/>
      <c r="N87" s="42"/>
      <c r="O87" s="42"/>
      <c r="P87" s="43"/>
      <c r="Q87" s="38" t="s">
        <v>6</v>
      </c>
      <c r="R87" s="40"/>
      <c r="T87" s="38" t="s">
        <v>14</v>
      </c>
      <c r="U87" s="40"/>
    </row>
    <row r="88" spans="4:21" ht="15" thickBot="1" x14ac:dyDescent="0.4">
      <c r="D88" s="37"/>
      <c r="E88" s="6" t="s">
        <v>1</v>
      </c>
      <c r="F88" s="7" t="s">
        <v>2</v>
      </c>
      <c r="G88" s="8" t="s">
        <v>3</v>
      </c>
      <c r="H88" s="7" t="s">
        <v>5</v>
      </c>
      <c r="I88" s="9" t="s">
        <v>18</v>
      </c>
      <c r="J88" s="9" t="s">
        <v>2</v>
      </c>
      <c r="K88" s="10" t="s">
        <v>3</v>
      </c>
      <c r="L88" s="44" t="s">
        <v>9</v>
      </c>
      <c r="M88" s="45"/>
      <c r="N88" s="46" t="s">
        <v>10</v>
      </c>
      <c r="O88" s="45"/>
      <c r="P88" s="10" t="s">
        <v>7</v>
      </c>
      <c r="Q88" s="11" t="s">
        <v>2</v>
      </c>
      <c r="R88" s="10" t="s">
        <v>3</v>
      </c>
      <c r="T88" s="11" t="s">
        <v>15</v>
      </c>
      <c r="U88" s="10" t="s">
        <v>16</v>
      </c>
    </row>
    <row r="89" spans="4:21" x14ac:dyDescent="0.35">
      <c r="D89" s="16" t="s">
        <v>24</v>
      </c>
      <c r="E89" s="17">
        <f>0.14*0.4</f>
        <v>5.6000000000000008E-2</v>
      </c>
      <c r="F89" s="12">
        <f>25*E89</f>
        <v>1.4000000000000001</v>
      </c>
      <c r="G89" s="13">
        <f>1.4*F89</f>
        <v>1.96</v>
      </c>
      <c r="H89" s="20">
        <f>3.15-0.4</f>
        <v>2.75</v>
      </c>
      <c r="I89" s="21">
        <v>1.9</v>
      </c>
      <c r="J89" s="14">
        <f>H89*I89</f>
        <v>5.2249999999999996</v>
      </c>
      <c r="K89" s="13">
        <f>J89*1.4</f>
        <v>7.3149999999999986</v>
      </c>
      <c r="L89" s="26" t="s">
        <v>25</v>
      </c>
      <c r="M89" s="20">
        <v>5.7</v>
      </c>
      <c r="N89" s="24" t="s">
        <v>26</v>
      </c>
      <c r="O89" s="20">
        <v>3.57</v>
      </c>
      <c r="P89" s="13">
        <f>M89+O89</f>
        <v>9.27</v>
      </c>
      <c r="Q89" s="15">
        <f>F89+J89+P89/1.4</f>
        <v>13.246428571428572</v>
      </c>
      <c r="R89" s="13">
        <f>1.4*Q89</f>
        <v>18.544999999999998</v>
      </c>
      <c r="T89" s="17"/>
      <c r="U89" s="29"/>
    </row>
    <row r="90" spans="4:21" ht="15" thickBot="1" x14ac:dyDescent="0.4"/>
    <row r="91" spans="4:21" ht="19" thickBot="1" x14ac:dyDescent="0.4">
      <c r="D91" s="33" t="s">
        <v>53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</row>
    <row r="92" spans="4:21" ht="15" thickBot="1" x14ac:dyDescent="0.4"/>
    <row r="93" spans="4:21" x14ac:dyDescent="0.35">
      <c r="D93" s="36" t="s">
        <v>0</v>
      </c>
      <c r="E93" s="38" t="s">
        <v>4</v>
      </c>
      <c r="F93" s="39"/>
      <c r="G93" s="40"/>
      <c r="H93" s="39" t="s">
        <v>17</v>
      </c>
      <c r="I93" s="39"/>
      <c r="J93" s="39"/>
      <c r="K93" s="40"/>
      <c r="L93" s="41" t="s">
        <v>13</v>
      </c>
      <c r="M93" s="42"/>
      <c r="N93" s="42"/>
      <c r="O93" s="42"/>
      <c r="P93" s="43"/>
      <c r="Q93" s="38" t="s">
        <v>6</v>
      </c>
      <c r="R93" s="40"/>
      <c r="T93" s="38" t="s">
        <v>14</v>
      </c>
      <c r="U93" s="40"/>
    </row>
    <row r="94" spans="4:21" ht="15" thickBot="1" x14ac:dyDescent="0.4">
      <c r="D94" s="37"/>
      <c r="E94" s="6" t="s">
        <v>1</v>
      </c>
      <c r="F94" s="7" t="s">
        <v>2</v>
      </c>
      <c r="G94" s="8" t="s">
        <v>3</v>
      </c>
      <c r="H94" s="7" t="s">
        <v>5</v>
      </c>
      <c r="I94" s="9" t="s">
        <v>18</v>
      </c>
      <c r="J94" s="9" t="s">
        <v>2</v>
      </c>
      <c r="K94" s="10" t="s">
        <v>3</v>
      </c>
      <c r="L94" s="44" t="s">
        <v>9</v>
      </c>
      <c r="M94" s="45"/>
      <c r="N94" s="46" t="s">
        <v>10</v>
      </c>
      <c r="O94" s="45"/>
      <c r="P94" s="10" t="s">
        <v>7</v>
      </c>
      <c r="Q94" s="11" t="s">
        <v>2</v>
      </c>
      <c r="R94" s="10" t="s">
        <v>3</v>
      </c>
      <c r="T94" s="11" t="s">
        <v>15</v>
      </c>
      <c r="U94" s="10" t="s">
        <v>16</v>
      </c>
    </row>
    <row r="95" spans="4:21" x14ac:dyDescent="0.35">
      <c r="D95" s="16" t="s">
        <v>49</v>
      </c>
      <c r="E95" s="17">
        <f>0.6*0.14</f>
        <v>8.4000000000000005E-2</v>
      </c>
      <c r="F95" s="12">
        <f>25*E95</f>
        <v>2.1</v>
      </c>
      <c r="G95" s="13">
        <f>1.4*F95</f>
        <v>2.94</v>
      </c>
      <c r="H95" s="20">
        <f>3.15-0.4</f>
        <v>2.75</v>
      </c>
      <c r="I95" s="21">
        <v>1.9</v>
      </c>
      <c r="J95" s="14">
        <f>H95*I95</f>
        <v>5.2249999999999996</v>
      </c>
      <c r="K95" s="13">
        <f>J95*1.4</f>
        <v>7.3149999999999986</v>
      </c>
      <c r="L95" s="26" t="s">
        <v>54</v>
      </c>
      <c r="M95" s="20">
        <v>1.95</v>
      </c>
      <c r="N95" s="24"/>
      <c r="O95" s="20"/>
      <c r="P95" s="13">
        <f>M95+O95</f>
        <v>1.95</v>
      </c>
      <c r="Q95" s="15">
        <f>F95+J95+P95/1.4</f>
        <v>8.7178571428571416</v>
      </c>
      <c r="R95" s="13">
        <f>1.4*Q95</f>
        <v>12.204999999999998</v>
      </c>
      <c r="T95" s="17"/>
      <c r="U95" s="29"/>
    </row>
    <row r="96" spans="4:21" x14ac:dyDescent="0.35">
      <c r="D96" s="18" t="s">
        <v>50</v>
      </c>
      <c r="E96" s="19">
        <f>E95</f>
        <v>8.4000000000000005E-2</v>
      </c>
      <c r="F96" s="3">
        <f t="shared" ref="F96" si="60">25*E96</f>
        <v>2.1</v>
      </c>
      <c r="G96" s="4">
        <f t="shared" ref="G96" si="61">1.4*F96</f>
        <v>2.94</v>
      </c>
      <c r="H96" s="22">
        <f>H95</f>
        <v>2.75</v>
      </c>
      <c r="I96" s="23">
        <v>1.9</v>
      </c>
      <c r="J96" s="3">
        <f>H96*I96</f>
        <v>5.2249999999999996</v>
      </c>
      <c r="K96" s="4">
        <f t="shared" ref="K96" si="62">J96*1.4</f>
        <v>7.3149999999999986</v>
      </c>
      <c r="L96" s="27" t="s">
        <v>20</v>
      </c>
      <c r="M96" s="22">
        <v>0</v>
      </c>
      <c r="N96" s="25"/>
      <c r="O96" s="22"/>
      <c r="P96" s="4">
        <f t="shared" ref="P96" si="63">M96+O96</f>
        <v>0</v>
      </c>
      <c r="Q96" s="5">
        <f>F96+J96+P96/1.4</f>
        <v>7.3249999999999993</v>
      </c>
      <c r="R96" s="4">
        <f t="shared" ref="R96" si="64">1.4*Q96</f>
        <v>10.254999999999999</v>
      </c>
      <c r="S96" s="1" t="s">
        <v>42</v>
      </c>
      <c r="T96" s="19"/>
      <c r="U96" s="30"/>
    </row>
    <row r="97" spans="4:21" x14ac:dyDescent="0.35">
      <c r="D97" s="18" t="s">
        <v>50</v>
      </c>
      <c r="E97" s="19">
        <f>E96</f>
        <v>8.4000000000000005E-2</v>
      </c>
      <c r="F97" s="3">
        <f t="shared" ref="F97" si="65">25*E97</f>
        <v>2.1</v>
      </c>
      <c r="G97" s="4">
        <f t="shared" ref="G97" si="66">1.4*F97</f>
        <v>2.94</v>
      </c>
      <c r="H97" s="22">
        <f>H96</f>
        <v>2.75</v>
      </c>
      <c r="I97" s="23">
        <v>2.9</v>
      </c>
      <c r="J97" s="3">
        <f>H97*I97</f>
        <v>7.9749999999999996</v>
      </c>
      <c r="K97" s="4">
        <f t="shared" ref="K97" si="67">J97*1.4</f>
        <v>11.164999999999999</v>
      </c>
      <c r="L97" s="27" t="s">
        <v>20</v>
      </c>
      <c r="M97" s="22">
        <v>9.5500000000000007</v>
      </c>
      <c r="N97" s="25"/>
      <c r="O97" s="22"/>
      <c r="P97" s="4">
        <f t="shared" ref="P97" si="68">M97+O97</f>
        <v>9.5500000000000007</v>
      </c>
      <c r="Q97" s="5">
        <f>F97+J97+P97/1.4</f>
        <v>16.896428571428572</v>
      </c>
      <c r="R97" s="4">
        <f t="shared" ref="R97" si="69">1.4*Q97</f>
        <v>23.655000000000001</v>
      </c>
      <c r="S97" s="1" t="s">
        <v>42</v>
      </c>
      <c r="T97" s="19"/>
      <c r="U97" s="30"/>
    </row>
    <row r="98" spans="4:21" ht="15" thickBot="1" x14ac:dyDescent="0.4"/>
    <row r="99" spans="4:21" ht="19" thickBot="1" x14ac:dyDescent="0.4">
      <c r="D99" s="33" t="s">
        <v>66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</row>
    <row r="100" spans="4:21" ht="15" thickBot="1" x14ac:dyDescent="0.4"/>
    <row r="101" spans="4:21" x14ac:dyDescent="0.35">
      <c r="D101" s="36" t="s">
        <v>0</v>
      </c>
      <c r="E101" s="38" t="s">
        <v>4</v>
      </c>
      <c r="F101" s="39"/>
      <c r="G101" s="40"/>
      <c r="H101" s="39" t="s">
        <v>17</v>
      </c>
      <c r="I101" s="39"/>
      <c r="J101" s="39"/>
      <c r="K101" s="40"/>
      <c r="L101" s="41" t="s">
        <v>13</v>
      </c>
      <c r="M101" s="42"/>
      <c r="N101" s="42"/>
      <c r="O101" s="42"/>
      <c r="P101" s="43"/>
      <c r="Q101" s="38" t="s">
        <v>6</v>
      </c>
      <c r="R101" s="40"/>
      <c r="T101" s="38" t="s">
        <v>14</v>
      </c>
      <c r="U101" s="40"/>
    </row>
    <row r="102" spans="4:21" ht="15" thickBot="1" x14ac:dyDescent="0.4">
      <c r="D102" s="37"/>
      <c r="E102" s="6" t="s">
        <v>1</v>
      </c>
      <c r="F102" s="7" t="s">
        <v>2</v>
      </c>
      <c r="G102" s="8" t="s">
        <v>3</v>
      </c>
      <c r="H102" s="7" t="s">
        <v>5</v>
      </c>
      <c r="I102" s="9" t="s">
        <v>18</v>
      </c>
      <c r="J102" s="9" t="s">
        <v>2</v>
      </c>
      <c r="K102" s="10" t="s">
        <v>3</v>
      </c>
      <c r="L102" s="44" t="s">
        <v>9</v>
      </c>
      <c r="M102" s="45"/>
      <c r="N102" s="46" t="s">
        <v>10</v>
      </c>
      <c r="O102" s="45"/>
      <c r="P102" s="10" t="s">
        <v>7</v>
      </c>
      <c r="Q102" s="11" t="s">
        <v>2</v>
      </c>
      <c r="R102" s="10" t="s">
        <v>3</v>
      </c>
      <c r="T102" s="11" t="s">
        <v>15</v>
      </c>
      <c r="U102" s="10" t="s">
        <v>16</v>
      </c>
    </row>
    <row r="103" spans="4:21" x14ac:dyDescent="0.35">
      <c r="D103" s="16" t="s">
        <v>67</v>
      </c>
      <c r="E103" s="17">
        <f>0.4*0.14</f>
        <v>5.6000000000000008E-2</v>
      </c>
      <c r="F103" s="12">
        <f>25*E103</f>
        <v>1.4000000000000001</v>
      </c>
      <c r="G103" s="13">
        <f>1.4*F103</f>
        <v>1.96</v>
      </c>
      <c r="H103" s="20">
        <v>1.3</v>
      </c>
      <c r="I103" s="21">
        <v>1.9</v>
      </c>
      <c r="J103" s="14">
        <f>H103*I103</f>
        <v>2.4699999999999998</v>
      </c>
      <c r="K103" s="13">
        <f>J103*1.4</f>
        <v>3.4579999999999993</v>
      </c>
      <c r="L103" s="26"/>
      <c r="M103" s="20"/>
      <c r="N103" s="24" t="s">
        <v>68</v>
      </c>
      <c r="O103" s="20">
        <v>7.31</v>
      </c>
      <c r="P103" s="13">
        <f>M103+O103</f>
        <v>7.31</v>
      </c>
      <c r="Q103" s="15">
        <f>F103+J103+P103/1.4</f>
        <v>9.0914285714285725</v>
      </c>
      <c r="R103" s="13">
        <f>1.4*Q103</f>
        <v>12.728000000000002</v>
      </c>
      <c r="T103" s="17"/>
      <c r="U103" s="29"/>
    </row>
    <row r="104" spans="4:21" ht="15" thickBot="1" x14ac:dyDescent="0.4"/>
    <row r="105" spans="4:21" ht="19" thickBot="1" x14ac:dyDescent="0.4">
      <c r="D105" s="33" t="s">
        <v>69</v>
      </c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</row>
    <row r="106" spans="4:21" ht="15" thickBot="1" x14ac:dyDescent="0.4"/>
    <row r="107" spans="4:21" x14ac:dyDescent="0.35">
      <c r="D107" s="36" t="s">
        <v>0</v>
      </c>
      <c r="E107" s="38" t="s">
        <v>4</v>
      </c>
      <c r="F107" s="39"/>
      <c r="G107" s="40"/>
      <c r="H107" s="39" t="s">
        <v>17</v>
      </c>
      <c r="I107" s="39"/>
      <c r="J107" s="39"/>
      <c r="K107" s="40"/>
      <c r="L107" s="41" t="s">
        <v>13</v>
      </c>
      <c r="M107" s="42"/>
      <c r="N107" s="42"/>
      <c r="O107" s="42"/>
      <c r="P107" s="43"/>
      <c r="Q107" s="38" t="s">
        <v>6</v>
      </c>
      <c r="R107" s="40"/>
      <c r="T107" s="38" t="s">
        <v>14</v>
      </c>
      <c r="U107" s="40"/>
    </row>
    <row r="108" spans="4:21" ht="15" thickBot="1" x14ac:dyDescent="0.4">
      <c r="D108" s="37"/>
      <c r="E108" s="6" t="s">
        <v>1</v>
      </c>
      <c r="F108" s="7" t="s">
        <v>2</v>
      </c>
      <c r="G108" s="8" t="s">
        <v>3</v>
      </c>
      <c r="H108" s="7" t="s">
        <v>5</v>
      </c>
      <c r="I108" s="9" t="s">
        <v>18</v>
      </c>
      <c r="J108" s="9" t="s">
        <v>2</v>
      </c>
      <c r="K108" s="10" t="s">
        <v>3</v>
      </c>
      <c r="L108" s="44" t="s">
        <v>9</v>
      </c>
      <c r="M108" s="45"/>
      <c r="N108" s="46" t="s">
        <v>10</v>
      </c>
      <c r="O108" s="45"/>
      <c r="P108" s="10" t="s">
        <v>7</v>
      </c>
      <c r="Q108" s="11" t="s">
        <v>2</v>
      </c>
      <c r="R108" s="10" t="s">
        <v>3</v>
      </c>
      <c r="T108" s="11" t="s">
        <v>15</v>
      </c>
      <c r="U108" s="10" t="s">
        <v>16</v>
      </c>
    </row>
    <row r="109" spans="4:21" x14ac:dyDescent="0.35">
      <c r="D109" s="16" t="s">
        <v>70</v>
      </c>
      <c r="E109" s="17">
        <f>0.4*0.14</f>
        <v>5.6000000000000008E-2</v>
      </c>
      <c r="F109" s="12">
        <f>25*E109</f>
        <v>1.4000000000000001</v>
      </c>
      <c r="G109" s="13">
        <f>1.4*F109</f>
        <v>1.96</v>
      </c>
      <c r="H109" s="20">
        <f>3.15-0.4</f>
        <v>2.75</v>
      </c>
      <c r="I109" s="21">
        <v>1.9</v>
      </c>
      <c r="J109" s="14">
        <f>H109*I109</f>
        <v>5.2249999999999996</v>
      </c>
      <c r="K109" s="13">
        <f>J109*1.4</f>
        <v>7.3149999999999986</v>
      </c>
      <c r="L109" s="26" t="s">
        <v>71</v>
      </c>
      <c r="M109" s="20">
        <v>3.22</v>
      </c>
      <c r="N109" s="24"/>
      <c r="O109" s="20"/>
      <c r="P109" s="13">
        <f>M109+O109</f>
        <v>3.22</v>
      </c>
      <c r="Q109" s="15">
        <f>F109+J109+P109/1.4</f>
        <v>8.9250000000000007</v>
      </c>
      <c r="R109" s="13">
        <f>1.4*Q109</f>
        <v>12.495000000000001</v>
      </c>
      <c r="T109" s="17"/>
      <c r="U109" s="29"/>
    </row>
    <row r="110" spans="4:21" ht="15" thickBot="1" x14ac:dyDescent="0.4"/>
    <row r="111" spans="4:21" ht="19" thickBot="1" x14ac:dyDescent="0.4">
      <c r="D111" s="33" t="s">
        <v>72</v>
      </c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</row>
    <row r="112" spans="4:21" ht="15" thickBot="1" x14ac:dyDescent="0.4"/>
    <row r="113" spans="4:21" x14ac:dyDescent="0.35">
      <c r="D113" s="36" t="s">
        <v>0</v>
      </c>
      <c r="E113" s="38" t="s">
        <v>4</v>
      </c>
      <c r="F113" s="39"/>
      <c r="G113" s="40"/>
      <c r="H113" s="39" t="s">
        <v>17</v>
      </c>
      <c r="I113" s="39"/>
      <c r="J113" s="39"/>
      <c r="K113" s="40"/>
      <c r="L113" s="41" t="s">
        <v>13</v>
      </c>
      <c r="M113" s="42"/>
      <c r="N113" s="42"/>
      <c r="O113" s="42"/>
      <c r="P113" s="43"/>
      <c r="Q113" s="38" t="s">
        <v>6</v>
      </c>
      <c r="R113" s="40"/>
      <c r="T113" s="38" t="s">
        <v>14</v>
      </c>
      <c r="U113" s="40"/>
    </row>
    <row r="114" spans="4:21" ht="15" thickBot="1" x14ac:dyDescent="0.4">
      <c r="D114" s="37"/>
      <c r="E114" s="6" t="s">
        <v>1</v>
      </c>
      <c r="F114" s="7" t="s">
        <v>2</v>
      </c>
      <c r="G114" s="8" t="s">
        <v>3</v>
      </c>
      <c r="H114" s="7" t="s">
        <v>5</v>
      </c>
      <c r="I114" s="9" t="s">
        <v>18</v>
      </c>
      <c r="J114" s="9" t="s">
        <v>2</v>
      </c>
      <c r="K114" s="10" t="s">
        <v>3</v>
      </c>
      <c r="L114" s="44" t="s">
        <v>9</v>
      </c>
      <c r="M114" s="45"/>
      <c r="N114" s="46" t="s">
        <v>10</v>
      </c>
      <c r="O114" s="45"/>
      <c r="P114" s="10" t="s">
        <v>7</v>
      </c>
      <c r="Q114" s="11" t="s">
        <v>2</v>
      </c>
      <c r="R114" s="10" t="s">
        <v>3</v>
      </c>
      <c r="T114" s="11" t="s">
        <v>15</v>
      </c>
      <c r="U114" s="10" t="s">
        <v>16</v>
      </c>
    </row>
    <row r="115" spans="4:21" x14ac:dyDescent="0.35">
      <c r="D115" s="16" t="s">
        <v>73</v>
      </c>
      <c r="E115" s="17">
        <f>0.4*0.14</f>
        <v>5.6000000000000008E-2</v>
      </c>
      <c r="F115" s="12">
        <f>25*E115</f>
        <v>1.4000000000000001</v>
      </c>
      <c r="G115" s="13">
        <f>1.4*F115</f>
        <v>1.96</v>
      </c>
      <c r="H115" s="20">
        <f>3.15-0.4</f>
        <v>2.75</v>
      </c>
      <c r="I115" s="21">
        <v>1.9</v>
      </c>
      <c r="J115" s="14">
        <f>H115*I115</f>
        <v>5.2249999999999996</v>
      </c>
      <c r="K115" s="13">
        <f>J115*1.4</f>
        <v>7.3149999999999986</v>
      </c>
      <c r="L115" s="26" t="s">
        <v>75</v>
      </c>
      <c r="M115" s="20">
        <v>4.32</v>
      </c>
      <c r="N115" s="24"/>
      <c r="O115" s="20"/>
      <c r="P115" s="13">
        <f>M115+O115</f>
        <v>4.32</v>
      </c>
      <c r="Q115" s="15">
        <f>F115+J115+P115/1.4</f>
        <v>9.7107142857142854</v>
      </c>
      <c r="R115" s="13">
        <f>1.4*Q115</f>
        <v>13.594999999999999</v>
      </c>
      <c r="T115" s="17"/>
      <c r="U115" s="29"/>
    </row>
    <row r="116" spans="4:21" x14ac:dyDescent="0.35">
      <c r="D116" s="18" t="s">
        <v>74</v>
      </c>
      <c r="E116" s="19">
        <f>E115</f>
        <v>5.6000000000000008E-2</v>
      </c>
      <c r="F116" s="3">
        <f t="shared" ref="F116" si="70">25*E116</f>
        <v>1.4000000000000001</v>
      </c>
      <c r="G116" s="4">
        <f t="shared" ref="G116" si="71">1.4*F116</f>
        <v>1.96</v>
      </c>
      <c r="H116" s="22">
        <f>H115</f>
        <v>2.75</v>
      </c>
      <c r="I116" s="23">
        <v>1.9</v>
      </c>
      <c r="J116" s="3">
        <f>H116*I116</f>
        <v>5.2249999999999996</v>
      </c>
      <c r="K116" s="4">
        <f t="shared" ref="K116" si="72">J116*1.4</f>
        <v>7.3149999999999986</v>
      </c>
      <c r="L116" s="27" t="s">
        <v>75</v>
      </c>
      <c r="M116" s="22">
        <v>4.32</v>
      </c>
      <c r="N116" s="25" t="s">
        <v>71</v>
      </c>
      <c r="O116" s="22">
        <v>0</v>
      </c>
      <c r="P116" s="4">
        <f t="shared" ref="P116" si="73">M116+O116</f>
        <v>4.32</v>
      </c>
      <c r="Q116" s="5">
        <f>F116+J116+P116/1.4</f>
        <v>9.7107142857142854</v>
      </c>
      <c r="R116" s="4">
        <f t="shared" ref="R116" si="74">1.4*Q116</f>
        <v>13.594999999999999</v>
      </c>
      <c r="T116" s="19"/>
      <c r="U116" s="30"/>
    </row>
    <row r="117" spans="4:21" ht="15" thickBot="1" x14ac:dyDescent="0.4"/>
    <row r="118" spans="4:21" ht="19" thickBot="1" x14ac:dyDescent="0.4">
      <c r="D118" s="33" t="s">
        <v>76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</row>
    <row r="119" spans="4:21" ht="15" thickBot="1" x14ac:dyDescent="0.4"/>
    <row r="120" spans="4:21" x14ac:dyDescent="0.35">
      <c r="D120" s="36" t="s">
        <v>0</v>
      </c>
      <c r="E120" s="38" t="s">
        <v>4</v>
      </c>
      <c r="F120" s="39"/>
      <c r="G120" s="40"/>
      <c r="H120" s="39" t="s">
        <v>17</v>
      </c>
      <c r="I120" s="39"/>
      <c r="J120" s="39"/>
      <c r="K120" s="40"/>
      <c r="L120" s="41" t="s">
        <v>13</v>
      </c>
      <c r="M120" s="42"/>
      <c r="N120" s="42"/>
      <c r="O120" s="42"/>
      <c r="P120" s="43"/>
      <c r="Q120" s="38" t="s">
        <v>6</v>
      </c>
      <c r="R120" s="40"/>
      <c r="T120" s="38" t="s">
        <v>14</v>
      </c>
      <c r="U120" s="40"/>
    </row>
    <row r="121" spans="4:21" ht="15" thickBot="1" x14ac:dyDescent="0.4">
      <c r="D121" s="37"/>
      <c r="E121" s="6" t="s">
        <v>1</v>
      </c>
      <c r="F121" s="7" t="s">
        <v>2</v>
      </c>
      <c r="G121" s="8" t="s">
        <v>3</v>
      </c>
      <c r="H121" s="7" t="s">
        <v>5</v>
      </c>
      <c r="I121" s="9" t="s">
        <v>18</v>
      </c>
      <c r="J121" s="9" t="s">
        <v>2</v>
      </c>
      <c r="K121" s="10" t="s">
        <v>3</v>
      </c>
      <c r="L121" s="44" t="s">
        <v>9</v>
      </c>
      <c r="M121" s="45"/>
      <c r="N121" s="46" t="s">
        <v>10</v>
      </c>
      <c r="O121" s="45"/>
      <c r="P121" s="10" t="s">
        <v>7</v>
      </c>
      <c r="Q121" s="11" t="s">
        <v>2</v>
      </c>
      <c r="R121" s="10" t="s">
        <v>3</v>
      </c>
      <c r="T121" s="11" t="s">
        <v>15</v>
      </c>
      <c r="U121" s="10" t="s">
        <v>16</v>
      </c>
    </row>
    <row r="122" spans="4:21" x14ac:dyDescent="0.35">
      <c r="D122" s="16" t="s">
        <v>77</v>
      </c>
      <c r="E122" s="17">
        <f>0.4*0.14</f>
        <v>5.6000000000000008E-2</v>
      </c>
      <c r="F122" s="12">
        <f>25*E122</f>
        <v>1.4000000000000001</v>
      </c>
      <c r="G122" s="13">
        <f>1.4*F122</f>
        <v>1.96</v>
      </c>
      <c r="H122" s="20">
        <f>3.15-0.4</f>
        <v>2.75</v>
      </c>
      <c r="I122" s="21">
        <v>1.9</v>
      </c>
      <c r="J122" s="14">
        <f>H122*I122</f>
        <v>5.2249999999999996</v>
      </c>
      <c r="K122" s="13">
        <f>J122*1.4</f>
        <v>7.3149999999999986</v>
      </c>
      <c r="L122" s="26" t="s">
        <v>19</v>
      </c>
      <c r="M122" s="20">
        <v>4.8899999999999997</v>
      </c>
      <c r="N122" s="24" t="s">
        <v>80</v>
      </c>
      <c r="O122" s="20">
        <v>6.01</v>
      </c>
      <c r="P122" s="13">
        <f>M122+O122</f>
        <v>10.899999999999999</v>
      </c>
      <c r="Q122" s="15">
        <f>F122+J122+P122/1.4</f>
        <v>14.410714285714285</v>
      </c>
      <c r="R122" s="13">
        <f>1.4*Q122</f>
        <v>20.174999999999997</v>
      </c>
      <c r="T122" s="17"/>
      <c r="U122" s="29"/>
    </row>
    <row r="123" spans="4:21" x14ac:dyDescent="0.35">
      <c r="D123" s="18" t="s">
        <v>78</v>
      </c>
      <c r="E123" s="19">
        <f>E122</f>
        <v>5.6000000000000008E-2</v>
      </c>
      <c r="F123" s="3">
        <f t="shared" ref="F123:F124" si="75">25*E123</f>
        <v>1.4000000000000001</v>
      </c>
      <c r="G123" s="4">
        <f t="shared" ref="G123:G124" si="76">1.4*F123</f>
        <v>1.96</v>
      </c>
      <c r="H123" s="22">
        <f>H122</f>
        <v>2.75</v>
      </c>
      <c r="I123" s="23">
        <v>1.9</v>
      </c>
      <c r="J123" s="3">
        <f>H123*I123</f>
        <v>5.2249999999999996</v>
      </c>
      <c r="K123" s="4">
        <f t="shared" ref="K123:K124" si="77">J123*1.4</f>
        <v>7.3149999999999986</v>
      </c>
      <c r="L123" s="27" t="s">
        <v>65</v>
      </c>
      <c r="M123" s="22">
        <v>3.92</v>
      </c>
      <c r="N123" s="25" t="s">
        <v>75</v>
      </c>
      <c r="O123" s="22">
        <v>0</v>
      </c>
      <c r="P123" s="4">
        <f t="shared" ref="P123:P124" si="78">M123+O123</f>
        <v>3.92</v>
      </c>
      <c r="Q123" s="5">
        <f>F123+J123+P123/1.4</f>
        <v>9.4250000000000007</v>
      </c>
      <c r="R123" s="4">
        <f t="shared" ref="R123:R124" si="79">1.4*Q123</f>
        <v>13.195</v>
      </c>
      <c r="T123" s="19"/>
      <c r="U123" s="30"/>
    </row>
    <row r="124" spans="4:21" x14ac:dyDescent="0.35">
      <c r="D124" s="18" t="s">
        <v>79</v>
      </c>
      <c r="E124" s="19">
        <f>E123</f>
        <v>5.6000000000000008E-2</v>
      </c>
      <c r="F124" s="3">
        <f t="shared" si="75"/>
        <v>1.4000000000000001</v>
      </c>
      <c r="G124" s="4">
        <f t="shared" si="76"/>
        <v>1.96</v>
      </c>
      <c r="H124" s="22">
        <f>H123</f>
        <v>2.75</v>
      </c>
      <c r="I124" s="23">
        <v>1.9</v>
      </c>
      <c r="J124" s="2">
        <f>H124*I124</f>
        <v>5.2249999999999996</v>
      </c>
      <c r="K124" s="4">
        <f t="shared" si="77"/>
        <v>7.3149999999999986</v>
      </c>
      <c r="L124" s="27" t="s">
        <v>65</v>
      </c>
      <c r="M124" s="22">
        <v>3.92</v>
      </c>
      <c r="N124" s="25" t="s">
        <v>71</v>
      </c>
      <c r="O124" s="22">
        <v>3.22</v>
      </c>
      <c r="P124" s="4">
        <f t="shared" si="78"/>
        <v>7.1400000000000006</v>
      </c>
      <c r="Q124" s="5">
        <f>F124+J124+P124/1.4</f>
        <v>11.725000000000001</v>
      </c>
      <c r="R124" s="4">
        <f t="shared" si="79"/>
        <v>16.415000000000003</v>
      </c>
      <c r="T124" s="19"/>
      <c r="U124" s="30"/>
    </row>
    <row r="125" spans="4:21" ht="15" thickBot="1" x14ac:dyDescent="0.4"/>
    <row r="126" spans="4:21" ht="19" thickBot="1" x14ac:dyDescent="0.4">
      <c r="D126" s="33" t="s">
        <v>81</v>
      </c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</row>
    <row r="127" spans="4:21" ht="15" thickBot="1" x14ac:dyDescent="0.4"/>
    <row r="128" spans="4:21" x14ac:dyDescent="0.35">
      <c r="D128" s="36" t="s">
        <v>0</v>
      </c>
      <c r="E128" s="38" t="s">
        <v>4</v>
      </c>
      <c r="F128" s="39"/>
      <c r="G128" s="40"/>
      <c r="H128" s="39" t="s">
        <v>17</v>
      </c>
      <c r="I128" s="39"/>
      <c r="J128" s="39"/>
      <c r="K128" s="40"/>
      <c r="L128" s="41" t="s">
        <v>13</v>
      </c>
      <c r="M128" s="42"/>
      <c r="N128" s="42"/>
      <c r="O128" s="42"/>
      <c r="P128" s="43"/>
      <c r="Q128" s="38" t="s">
        <v>6</v>
      </c>
      <c r="R128" s="40"/>
      <c r="T128" s="38" t="s">
        <v>14</v>
      </c>
      <c r="U128" s="40"/>
    </row>
    <row r="129" spans="4:21" ht="15" thickBot="1" x14ac:dyDescent="0.4">
      <c r="D129" s="37"/>
      <c r="E129" s="6" t="s">
        <v>1</v>
      </c>
      <c r="F129" s="7" t="s">
        <v>2</v>
      </c>
      <c r="G129" s="8" t="s">
        <v>3</v>
      </c>
      <c r="H129" s="7" t="s">
        <v>5</v>
      </c>
      <c r="I129" s="9" t="s">
        <v>18</v>
      </c>
      <c r="J129" s="9" t="s">
        <v>2</v>
      </c>
      <c r="K129" s="10" t="s">
        <v>3</v>
      </c>
      <c r="L129" s="44" t="s">
        <v>9</v>
      </c>
      <c r="M129" s="45"/>
      <c r="N129" s="46" t="s">
        <v>10</v>
      </c>
      <c r="O129" s="45"/>
      <c r="P129" s="10" t="s">
        <v>7</v>
      </c>
      <c r="Q129" s="11" t="s">
        <v>2</v>
      </c>
      <c r="R129" s="10" t="s">
        <v>3</v>
      </c>
      <c r="T129" s="11" t="s">
        <v>15</v>
      </c>
      <c r="U129" s="10" t="s">
        <v>16</v>
      </c>
    </row>
    <row r="130" spans="4:21" x14ac:dyDescent="0.35">
      <c r="D130" s="16" t="s">
        <v>82</v>
      </c>
      <c r="E130" s="17">
        <f>0.4*0.14</f>
        <v>5.6000000000000008E-2</v>
      </c>
      <c r="F130" s="12">
        <f>25*E130</f>
        <v>1.4000000000000001</v>
      </c>
      <c r="G130" s="13">
        <f>1.4*F130</f>
        <v>1.96</v>
      </c>
      <c r="H130" s="20">
        <f>3.15-0.4</f>
        <v>2.75</v>
      </c>
      <c r="I130" s="21">
        <v>1.9</v>
      </c>
      <c r="J130" s="14">
        <f>H130*I130</f>
        <v>5.2249999999999996</v>
      </c>
      <c r="K130" s="13">
        <f>J130*1.4</f>
        <v>7.3149999999999986</v>
      </c>
      <c r="L130" s="26" t="s">
        <v>68</v>
      </c>
      <c r="M130" s="20">
        <v>3.59</v>
      </c>
      <c r="N130" s="24" t="s">
        <v>80</v>
      </c>
      <c r="O130" s="20">
        <v>9.65</v>
      </c>
      <c r="P130" s="13">
        <f>M130+O130</f>
        <v>13.24</v>
      </c>
      <c r="Q130" s="15">
        <f>F130+J130+P130/1.4</f>
        <v>16.082142857142856</v>
      </c>
      <c r="R130" s="13">
        <f>1.4*Q130</f>
        <v>22.514999999999997</v>
      </c>
      <c r="T130" s="17"/>
      <c r="U130" s="29"/>
    </row>
    <row r="131" spans="4:21" x14ac:dyDescent="0.35">
      <c r="D131" s="18" t="s">
        <v>83</v>
      </c>
      <c r="E131" s="19">
        <f>E130</f>
        <v>5.6000000000000008E-2</v>
      </c>
      <c r="F131" s="3">
        <f t="shared" ref="F131:F132" si="80">25*E131</f>
        <v>1.4000000000000001</v>
      </c>
      <c r="G131" s="4">
        <f t="shared" ref="G131:G132" si="81">1.4*F131</f>
        <v>1.96</v>
      </c>
      <c r="H131" s="22">
        <f>H130</f>
        <v>2.75</v>
      </c>
      <c r="I131" s="23">
        <f>I130</f>
        <v>1.9</v>
      </c>
      <c r="J131" s="3">
        <f>H131*I131</f>
        <v>5.2249999999999996</v>
      </c>
      <c r="K131" s="4">
        <f t="shared" ref="K131:K132" si="82">J131*1.4</f>
        <v>7.3149999999999986</v>
      </c>
      <c r="L131" s="27" t="s">
        <v>68</v>
      </c>
      <c r="M131" s="22">
        <v>3.59</v>
      </c>
      <c r="N131" s="25" t="s">
        <v>19</v>
      </c>
      <c r="O131" s="22">
        <v>0</v>
      </c>
      <c r="P131" s="4">
        <f t="shared" ref="P131:P132" si="83">M131+O131</f>
        <v>3.59</v>
      </c>
      <c r="Q131" s="5">
        <f>F131+J131+P131/1.4</f>
        <v>9.1892857142857149</v>
      </c>
      <c r="R131" s="4">
        <f t="shared" ref="R131:R132" si="84">1.4*Q131</f>
        <v>12.865</v>
      </c>
      <c r="T131" s="19"/>
      <c r="U131" s="30"/>
    </row>
    <row r="132" spans="4:21" x14ac:dyDescent="0.35">
      <c r="D132" s="18" t="s">
        <v>84</v>
      </c>
      <c r="E132" s="19">
        <f>E131</f>
        <v>5.6000000000000008E-2</v>
      </c>
      <c r="F132" s="3">
        <f t="shared" si="80"/>
        <v>1.4000000000000001</v>
      </c>
      <c r="G132" s="4">
        <f t="shared" si="81"/>
        <v>1.96</v>
      </c>
      <c r="H132" s="22">
        <f>H131</f>
        <v>2.75</v>
      </c>
      <c r="I132" s="23">
        <f t="shared" ref="I132:I135" si="85">I131</f>
        <v>1.9</v>
      </c>
      <c r="J132" s="2">
        <f>H132*I132</f>
        <v>5.2249999999999996</v>
      </c>
      <c r="K132" s="4">
        <f t="shared" si="82"/>
        <v>7.3149999999999986</v>
      </c>
      <c r="L132" s="27" t="s">
        <v>68</v>
      </c>
      <c r="M132" s="22">
        <v>3.59</v>
      </c>
      <c r="N132" s="25" t="s">
        <v>47</v>
      </c>
      <c r="O132" s="22">
        <v>6.16</v>
      </c>
      <c r="P132" s="4">
        <f t="shared" si="83"/>
        <v>9.75</v>
      </c>
      <c r="Q132" s="5">
        <f>F132+J132+P132/1.4</f>
        <v>13.589285714285715</v>
      </c>
      <c r="R132" s="4">
        <f t="shared" si="84"/>
        <v>19.024999999999999</v>
      </c>
      <c r="T132" s="19"/>
      <c r="U132" s="30"/>
    </row>
    <row r="133" spans="4:21" x14ac:dyDescent="0.35">
      <c r="D133" s="18" t="s">
        <v>85</v>
      </c>
      <c r="E133" s="19">
        <f t="shared" ref="E133:E135" si="86">E132</f>
        <v>5.6000000000000008E-2</v>
      </c>
      <c r="F133" s="3">
        <f t="shared" ref="F133:F135" si="87">25*E133</f>
        <v>1.4000000000000001</v>
      </c>
      <c r="G133" s="4">
        <f t="shared" ref="G133:G135" si="88">1.4*F133</f>
        <v>1.96</v>
      </c>
      <c r="H133" s="22">
        <f t="shared" ref="H133:H135" si="89">H132</f>
        <v>2.75</v>
      </c>
      <c r="I133" s="23">
        <f t="shared" si="85"/>
        <v>1.9</v>
      </c>
      <c r="J133" s="2">
        <f t="shared" ref="J133:J135" si="90">H133*I133</f>
        <v>5.2249999999999996</v>
      </c>
      <c r="K133" s="4">
        <f t="shared" ref="K133:K135" si="91">J133*1.4</f>
        <v>7.3149999999999986</v>
      </c>
      <c r="L133" s="27"/>
      <c r="M133" s="22"/>
      <c r="N133" s="25" t="s">
        <v>47</v>
      </c>
      <c r="O133" s="22">
        <v>6.16</v>
      </c>
      <c r="P133" s="4">
        <f t="shared" ref="P133:P135" si="92">M133+O133</f>
        <v>6.16</v>
      </c>
      <c r="Q133" s="5">
        <f t="shared" ref="Q133:Q135" si="93">F133+J133+P133/1.4</f>
        <v>11.025</v>
      </c>
      <c r="R133" s="4">
        <f t="shared" ref="R133:R135" si="94">1.4*Q133</f>
        <v>15.434999999999999</v>
      </c>
      <c r="T133" s="19"/>
      <c r="U133" s="30"/>
    </row>
    <row r="134" spans="4:21" x14ac:dyDescent="0.35">
      <c r="D134" s="18" t="s">
        <v>86</v>
      </c>
      <c r="E134" s="19">
        <f t="shared" si="86"/>
        <v>5.6000000000000008E-2</v>
      </c>
      <c r="F134" s="3">
        <f t="shared" si="87"/>
        <v>1.4000000000000001</v>
      </c>
      <c r="G134" s="4">
        <f t="shared" si="88"/>
        <v>1.96</v>
      </c>
      <c r="H134" s="22">
        <f t="shared" si="89"/>
        <v>2.75</v>
      </c>
      <c r="I134" s="23">
        <f t="shared" si="85"/>
        <v>1.9</v>
      </c>
      <c r="J134" s="2">
        <f t="shared" si="90"/>
        <v>5.2249999999999996</v>
      </c>
      <c r="K134" s="4">
        <f t="shared" si="91"/>
        <v>7.3149999999999986</v>
      </c>
      <c r="L134" s="27" t="s">
        <v>46</v>
      </c>
      <c r="M134" s="22">
        <v>5.0999999999999996</v>
      </c>
      <c r="N134" s="25" t="s">
        <v>11</v>
      </c>
      <c r="O134" s="22">
        <v>1.32</v>
      </c>
      <c r="P134" s="4">
        <f t="shared" si="92"/>
        <v>6.42</v>
      </c>
      <c r="Q134" s="5">
        <f t="shared" si="93"/>
        <v>11.210714285714285</v>
      </c>
      <c r="R134" s="4">
        <f t="shared" si="94"/>
        <v>15.694999999999999</v>
      </c>
      <c r="T134" s="19"/>
      <c r="U134" s="30"/>
    </row>
    <row r="135" spans="4:21" x14ac:dyDescent="0.35">
      <c r="D135" s="18" t="s">
        <v>87</v>
      </c>
      <c r="E135" s="19">
        <f t="shared" si="86"/>
        <v>5.6000000000000008E-2</v>
      </c>
      <c r="F135" s="3">
        <f t="shared" si="87"/>
        <v>1.4000000000000001</v>
      </c>
      <c r="G135" s="4">
        <f t="shared" si="88"/>
        <v>1.96</v>
      </c>
      <c r="H135" s="22">
        <f t="shared" si="89"/>
        <v>2.75</v>
      </c>
      <c r="I135" s="23">
        <f t="shared" si="85"/>
        <v>1.9</v>
      </c>
      <c r="J135" s="2">
        <f t="shared" si="90"/>
        <v>5.2249999999999996</v>
      </c>
      <c r="K135" s="4">
        <f t="shared" si="91"/>
        <v>7.3149999999999986</v>
      </c>
      <c r="L135" s="27"/>
      <c r="M135" s="22"/>
      <c r="N135" s="25" t="s">
        <v>11</v>
      </c>
      <c r="O135" s="22">
        <v>1.32</v>
      </c>
      <c r="P135" s="4">
        <f t="shared" si="92"/>
        <v>1.32</v>
      </c>
      <c r="Q135" s="5">
        <f t="shared" si="93"/>
        <v>7.5678571428571431</v>
      </c>
      <c r="R135" s="4">
        <f t="shared" si="94"/>
        <v>10.594999999999999</v>
      </c>
      <c r="T135" s="19"/>
      <c r="U135" s="30"/>
    </row>
  </sheetData>
  <mergeCells count="145">
    <mergeCell ref="D126:U126"/>
    <mergeCell ref="D128:D129"/>
    <mergeCell ref="E128:G128"/>
    <mergeCell ref="H128:K128"/>
    <mergeCell ref="L128:P128"/>
    <mergeCell ref="Q128:R128"/>
    <mergeCell ref="T128:U128"/>
    <mergeCell ref="L129:M129"/>
    <mergeCell ref="N129:O129"/>
    <mergeCell ref="D118:U118"/>
    <mergeCell ref="D120:D121"/>
    <mergeCell ref="E120:G120"/>
    <mergeCell ref="H120:K120"/>
    <mergeCell ref="L120:P120"/>
    <mergeCell ref="Q120:R120"/>
    <mergeCell ref="T120:U120"/>
    <mergeCell ref="L121:M121"/>
    <mergeCell ref="N121:O121"/>
    <mergeCell ref="D111:U111"/>
    <mergeCell ref="D113:D114"/>
    <mergeCell ref="E113:G113"/>
    <mergeCell ref="H113:K113"/>
    <mergeCell ref="L113:P113"/>
    <mergeCell ref="Q113:R113"/>
    <mergeCell ref="T113:U113"/>
    <mergeCell ref="L114:M114"/>
    <mergeCell ref="N114:O114"/>
    <mergeCell ref="D105:U105"/>
    <mergeCell ref="D107:D108"/>
    <mergeCell ref="E107:G107"/>
    <mergeCell ref="H107:K107"/>
    <mergeCell ref="L107:P107"/>
    <mergeCell ref="Q107:R107"/>
    <mergeCell ref="T107:U107"/>
    <mergeCell ref="L108:M108"/>
    <mergeCell ref="N108:O108"/>
    <mergeCell ref="D99:U99"/>
    <mergeCell ref="D101:D102"/>
    <mergeCell ref="E101:G101"/>
    <mergeCell ref="H101:K101"/>
    <mergeCell ref="L101:P101"/>
    <mergeCell ref="Q101:R101"/>
    <mergeCell ref="T101:U101"/>
    <mergeCell ref="L102:M102"/>
    <mergeCell ref="N102:O102"/>
    <mergeCell ref="D68:U68"/>
    <mergeCell ref="D70:D71"/>
    <mergeCell ref="E70:G70"/>
    <mergeCell ref="H70:K70"/>
    <mergeCell ref="L70:P70"/>
    <mergeCell ref="Q70:R70"/>
    <mergeCell ref="T70:U70"/>
    <mergeCell ref="L71:M71"/>
    <mergeCell ref="N71:O71"/>
    <mergeCell ref="D47:U47"/>
    <mergeCell ref="D49:D50"/>
    <mergeCell ref="E49:G49"/>
    <mergeCell ref="H49:K49"/>
    <mergeCell ref="L49:P49"/>
    <mergeCell ref="Q49:R49"/>
    <mergeCell ref="T49:U49"/>
    <mergeCell ref="L50:M50"/>
    <mergeCell ref="N50:O50"/>
    <mergeCell ref="D38:U38"/>
    <mergeCell ref="D40:D41"/>
    <mergeCell ref="E40:G40"/>
    <mergeCell ref="H40:K40"/>
    <mergeCell ref="L40:P40"/>
    <mergeCell ref="Q40:R40"/>
    <mergeCell ref="T40:U40"/>
    <mergeCell ref="L41:M41"/>
    <mergeCell ref="N41:O41"/>
    <mergeCell ref="D32:U32"/>
    <mergeCell ref="D34:D35"/>
    <mergeCell ref="E34:G34"/>
    <mergeCell ref="H34:K34"/>
    <mergeCell ref="L34:P34"/>
    <mergeCell ref="Q34:R34"/>
    <mergeCell ref="T34:U34"/>
    <mergeCell ref="L35:M35"/>
    <mergeCell ref="N35:O35"/>
    <mergeCell ref="D25:U25"/>
    <mergeCell ref="D27:D28"/>
    <mergeCell ref="E27:G27"/>
    <mergeCell ref="H27:K27"/>
    <mergeCell ref="L27:P27"/>
    <mergeCell ref="Q27:R27"/>
    <mergeCell ref="T27:U27"/>
    <mergeCell ref="L28:M28"/>
    <mergeCell ref="N28:O28"/>
    <mergeCell ref="D54:U54"/>
    <mergeCell ref="D56:D57"/>
    <mergeCell ref="E56:G56"/>
    <mergeCell ref="H56:K56"/>
    <mergeCell ref="L56:P56"/>
    <mergeCell ref="Q56:R56"/>
    <mergeCell ref="T56:U56"/>
    <mergeCell ref="L57:M57"/>
    <mergeCell ref="N57:O57"/>
    <mergeCell ref="D85:U85"/>
    <mergeCell ref="D87:D88"/>
    <mergeCell ref="E87:G87"/>
    <mergeCell ref="H87:K87"/>
    <mergeCell ref="L87:P87"/>
    <mergeCell ref="Q87:R87"/>
    <mergeCell ref="T87:U87"/>
    <mergeCell ref="L88:M88"/>
    <mergeCell ref="N88:O88"/>
    <mergeCell ref="T4:U4"/>
    <mergeCell ref="D2:U2"/>
    <mergeCell ref="B4:B8"/>
    <mergeCell ref="D4:D5"/>
    <mergeCell ref="E4:G4"/>
    <mergeCell ref="H4:K4"/>
    <mergeCell ref="Q4:R4"/>
    <mergeCell ref="L4:P4"/>
    <mergeCell ref="L5:M5"/>
    <mergeCell ref="N5:O5"/>
    <mergeCell ref="D91:U91"/>
    <mergeCell ref="D93:D94"/>
    <mergeCell ref="E93:G93"/>
    <mergeCell ref="H93:K93"/>
    <mergeCell ref="L93:P93"/>
    <mergeCell ref="Q93:R93"/>
    <mergeCell ref="T93:U93"/>
    <mergeCell ref="L94:M94"/>
    <mergeCell ref="N94:O94"/>
    <mergeCell ref="D62:U62"/>
    <mergeCell ref="D64:D65"/>
    <mergeCell ref="E64:G64"/>
    <mergeCell ref="H64:K64"/>
    <mergeCell ref="L64:P64"/>
    <mergeCell ref="Q64:R64"/>
    <mergeCell ref="T64:U64"/>
    <mergeCell ref="L65:M65"/>
    <mergeCell ref="N65:O65"/>
    <mergeCell ref="D77:U77"/>
    <mergeCell ref="D79:D80"/>
    <mergeCell ref="E79:G79"/>
    <mergeCell ref="H79:K79"/>
    <mergeCell ref="L79:P79"/>
    <mergeCell ref="Q79:R79"/>
    <mergeCell ref="T79:U79"/>
    <mergeCell ref="L80:M80"/>
    <mergeCell ref="N80:O80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carini</dc:creator>
  <cp:lastModifiedBy>Matheus Carini</cp:lastModifiedBy>
  <dcterms:created xsi:type="dcterms:W3CDTF">2017-10-16T21:50:53Z</dcterms:created>
  <dcterms:modified xsi:type="dcterms:W3CDTF">2024-08-27T12:47:33Z</dcterms:modified>
</cp:coreProperties>
</file>