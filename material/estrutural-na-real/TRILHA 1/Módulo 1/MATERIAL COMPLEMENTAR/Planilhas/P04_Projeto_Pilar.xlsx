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Introdução ao CA/X Projeto/Planilhas/"/>
    </mc:Choice>
  </mc:AlternateContent>
  <xr:revisionPtr revIDLastSave="34" documentId="8_{18F206AB-398A-4D23-80F1-F6E7496B500C}" xr6:coauthVersionLast="47" xr6:coauthVersionMax="47" xr10:uidLastSave="{E2E23D04-33DC-4420-A899-1B67D705EF43}"/>
  <bookViews>
    <workbookView xWindow="7560" yWindow="660" windowWidth="27710" windowHeight="17590" xr2:uid="{1576287D-3545-4BFB-B589-EB57FF6F6DC5}"/>
  </bookViews>
  <sheets>
    <sheet name="Fundação" sheetId="5" r:id="rId1"/>
    <sheet name="Térreo" sheetId="4" r:id="rId2"/>
    <sheet name="1o andar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3" i="6" l="1"/>
  <c r="AC103" i="6" s="1"/>
  <c r="AB102" i="6"/>
  <c r="AB101" i="6"/>
  <c r="AB100" i="6"/>
  <c r="AC100" i="6" s="1"/>
  <c r="AB99" i="6"/>
  <c r="AB98" i="6"/>
  <c r="AC98" i="6" s="1"/>
  <c r="AB97" i="6"/>
  <c r="AB96" i="6"/>
  <c r="AC96" i="6" s="1"/>
  <c r="AB95" i="6"/>
  <c r="AC95" i="6" s="1"/>
  <c r="AB94" i="6"/>
  <c r="AC94" i="6" s="1"/>
  <c r="AB93" i="6"/>
  <c r="AC93" i="6" s="1"/>
  <c r="AB92" i="6"/>
  <c r="AC92" i="6" s="1"/>
  <c r="AB91" i="6"/>
  <c r="AC91" i="6" s="1"/>
  <c r="AB90" i="6"/>
  <c r="AC90" i="6" s="1"/>
  <c r="AB89" i="6"/>
  <c r="AC89" i="6" s="1"/>
  <c r="AB88" i="6"/>
  <c r="AC88" i="6" s="1"/>
  <c r="AB87" i="6"/>
  <c r="AC87" i="6" s="1"/>
  <c r="AB86" i="6"/>
  <c r="AC86" i="6" s="1"/>
  <c r="AB85" i="6"/>
  <c r="AC85" i="6" s="1"/>
  <c r="AB84" i="6"/>
  <c r="AC84" i="6" s="1"/>
  <c r="AB83" i="6"/>
  <c r="AC83" i="6" s="1"/>
  <c r="AB82" i="6"/>
  <c r="AC82" i="6" s="1"/>
  <c r="AB81" i="6"/>
  <c r="AC81" i="6" s="1"/>
  <c r="AB80" i="6"/>
  <c r="AC80" i="6" s="1"/>
  <c r="AB79" i="6"/>
  <c r="AC79" i="6" s="1"/>
  <c r="AB78" i="6"/>
  <c r="AC78" i="6" s="1"/>
  <c r="AB77" i="6"/>
  <c r="AC77" i="6" s="1"/>
  <c r="AB76" i="6"/>
  <c r="AC76" i="6" s="1"/>
  <c r="AB75" i="6"/>
  <c r="AC75" i="6" s="1"/>
  <c r="AB74" i="6"/>
  <c r="AC74" i="6" s="1"/>
  <c r="AB73" i="6"/>
  <c r="AC73" i="6" s="1"/>
  <c r="AB72" i="6"/>
  <c r="AC72" i="6" s="1"/>
  <c r="AB71" i="6"/>
  <c r="AC71" i="6" s="1"/>
  <c r="AB70" i="6"/>
  <c r="AC70" i="6" s="1"/>
  <c r="AB69" i="6"/>
  <c r="AC69" i="6" s="1"/>
  <c r="AB68" i="6"/>
  <c r="AC68" i="6" s="1"/>
  <c r="AB67" i="6"/>
  <c r="AC67" i="6" s="1"/>
  <c r="AB66" i="6"/>
  <c r="AC66" i="6" s="1"/>
  <c r="AB65" i="6"/>
  <c r="AC65" i="6" s="1"/>
  <c r="AB64" i="6"/>
  <c r="AC64" i="6" s="1"/>
  <c r="AB63" i="6"/>
  <c r="AC63" i="6" s="1"/>
  <c r="AB62" i="6"/>
  <c r="AC62" i="6" s="1"/>
  <c r="AB61" i="6"/>
  <c r="AC61" i="6" s="1"/>
  <c r="AB60" i="6"/>
  <c r="AC60" i="6" s="1"/>
  <c r="AB59" i="6"/>
  <c r="AC59" i="6" s="1"/>
  <c r="AB58" i="6"/>
  <c r="AC58" i="6" s="1"/>
  <c r="AB57" i="6"/>
  <c r="AC57" i="6" s="1"/>
  <c r="AB56" i="6"/>
  <c r="AC56" i="6" s="1"/>
  <c r="AB55" i="6"/>
  <c r="AC55" i="6" s="1"/>
  <c r="AB54" i="6"/>
  <c r="AC54" i="6" s="1"/>
  <c r="AB53" i="6"/>
  <c r="AC53" i="6" s="1"/>
  <c r="AC52" i="6"/>
  <c r="AB52" i="6"/>
  <c r="AB51" i="6"/>
  <c r="AC51" i="6" s="1"/>
  <c r="AB50" i="6"/>
  <c r="AC50" i="6" s="1"/>
  <c r="AB49" i="6"/>
  <c r="AC49" i="6" s="1"/>
  <c r="AB48" i="6"/>
  <c r="AC48" i="6" s="1"/>
  <c r="AB47" i="6"/>
  <c r="AC47" i="6" s="1"/>
  <c r="AB46" i="6"/>
  <c r="AC46" i="6" s="1"/>
  <c r="AB45" i="6"/>
  <c r="AC45" i="6" s="1"/>
  <c r="AB44" i="6"/>
  <c r="AC44" i="6" s="1"/>
  <c r="AB43" i="6"/>
  <c r="AC43" i="6" s="1"/>
  <c r="AB42" i="6"/>
  <c r="AC42" i="6" s="1"/>
  <c r="AB41" i="6"/>
  <c r="AC41" i="6" s="1"/>
  <c r="AB40" i="6"/>
  <c r="AC40" i="6" s="1"/>
  <c r="AB39" i="6"/>
  <c r="AC39" i="6" s="1"/>
  <c r="AB38" i="6"/>
  <c r="AC38" i="6" s="1"/>
  <c r="AB37" i="6"/>
  <c r="AC37" i="6" s="1"/>
  <c r="AB36" i="6"/>
  <c r="AC36" i="6" s="1"/>
  <c r="AB35" i="6"/>
  <c r="AC35" i="6" s="1"/>
  <c r="AB34" i="6"/>
  <c r="AC34" i="6" s="1"/>
  <c r="AB33" i="6"/>
  <c r="AC33" i="6" s="1"/>
  <c r="AB32" i="6"/>
  <c r="AC32" i="6" s="1"/>
  <c r="AB31" i="6"/>
  <c r="AC31" i="6" s="1"/>
  <c r="AB30" i="6"/>
  <c r="AC30" i="6" s="1"/>
  <c r="AB29" i="6"/>
  <c r="AC29" i="6" s="1"/>
  <c r="AC28" i="6"/>
  <c r="AB28" i="6"/>
  <c r="AB27" i="6"/>
  <c r="AC27" i="6" s="1"/>
  <c r="AB26" i="6"/>
  <c r="AC26" i="6" s="1"/>
  <c r="AB25" i="6"/>
  <c r="AC25" i="6" s="1"/>
  <c r="AB24" i="6"/>
  <c r="AC24" i="6" s="1"/>
  <c r="AB23" i="6"/>
  <c r="AC23" i="6" s="1"/>
  <c r="AB22" i="6"/>
  <c r="AC22" i="6" s="1"/>
  <c r="AB21" i="6"/>
  <c r="AC21" i="6" s="1"/>
  <c r="AB20" i="6"/>
  <c r="AC20" i="6" s="1"/>
  <c r="AB19" i="6"/>
  <c r="AC19" i="6" s="1"/>
  <c r="J19" i="6"/>
  <c r="AB18" i="6"/>
  <c r="AC18" i="6" s="1"/>
  <c r="AB17" i="6"/>
  <c r="AC17" i="6" s="1"/>
  <c r="AB16" i="6"/>
  <c r="AC16" i="6" s="1"/>
  <c r="AB15" i="6"/>
  <c r="AC15" i="6" s="1"/>
  <c r="J15" i="6"/>
  <c r="R7" i="6" s="1"/>
  <c r="AB14" i="6"/>
  <c r="AC14" i="6" s="1"/>
  <c r="M14" i="6"/>
  <c r="J14" i="6"/>
  <c r="AB13" i="6"/>
  <c r="AC13" i="6" s="1"/>
  <c r="AB12" i="6"/>
  <c r="AC12" i="6" s="1"/>
  <c r="AB11" i="6"/>
  <c r="AC11" i="6" s="1"/>
  <c r="AB10" i="6"/>
  <c r="AC10" i="6" s="1"/>
  <c r="J10" i="6"/>
  <c r="AB9" i="6"/>
  <c r="AC9" i="6" s="1"/>
  <c r="AB8" i="6"/>
  <c r="AC8" i="6" s="1"/>
  <c r="R8" i="6"/>
  <c r="AB7" i="6"/>
  <c r="AC7" i="6" s="1"/>
  <c r="AB6" i="6"/>
  <c r="AC6" i="6" s="1"/>
  <c r="J6" i="6"/>
  <c r="Q8" i="6" s="1"/>
  <c r="AB5" i="6"/>
  <c r="AC5" i="6" s="1"/>
  <c r="S5" i="6"/>
  <c r="S6" i="6" s="1"/>
  <c r="S7" i="6" s="1"/>
  <c r="S8" i="6" s="1"/>
  <c r="M5" i="6"/>
  <c r="J5" i="6"/>
  <c r="AB4" i="6"/>
  <c r="AC4" i="6" s="1"/>
  <c r="AB3" i="6"/>
  <c r="AC3" i="6" s="1"/>
  <c r="AB103" i="5"/>
  <c r="AC103" i="5" s="1"/>
  <c r="AB102" i="5"/>
  <c r="AB101" i="5"/>
  <c r="AB100" i="5"/>
  <c r="AC100" i="5" s="1"/>
  <c r="AB99" i="5"/>
  <c r="AC99" i="5" s="1"/>
  <c r="AB98" i="5"/>
  <c r="AC98" i="5" s="1"/>
  <c r="AB97" i="5"/>
  <c r="AC97" i="5" s="1"/>
  <c r="AB96" i="5"/>
  <c r="AB95" i="5"/>
  <c r="AB94" i="5"/>
  <c r="AB93" i="5"/>
  <c r="AB92" i="5"/>
  <c r="AB91" i="5"/>
  <c r="AB90" i="5"/>
  <c r="AB89" i="5"/>
  <c r="AB88" i="5"/>
  <c r="AC88" i="5" s="1"/>
  <c r="AB87" i="5"/>
  <c r="AC87" i="5" s="1"/>
  <c r="AB86" i="5"/>
  <c r="AC86" i="5" s="1"/>
  <c r="AB85" i="5"/>
  <c r="AC85" i="5" s="1"/>
  <c r="AB84" i="5"/>
  <c r="AB83" i="5"/>
  <c r="AB82" i="5"/>
  <c r="AB81" i="5"/>
  <c r="AB80" i="5"/>
  <c r="AB79" i="5"/>
  <c r="AB78" i="5"/>
  <c r="AB77" i="5"/>
  <c r="AB76" i="5"/>
  <c r="AC76" i="5" s="1"/>
  <c r="AB75" i="5"/>
  <c r="AC75" i="5" s="1"/>
  <c r="AB74" i="5"/>
  <c r="AC74" i="5" s="1"/>
  <c r="AB73" i="5"/>
  <c r="AC73" i="5" s="1"/>
  <c r="AB72" i="5"/>
  <c r="AB71" i="5"/>
  <c r="AB70" i="5"/>
  <c r="AB69" i="5"/>
  <c r="AB68" i="5"/>
  <c r="AB67" i="5"/>
  <c r="AB66" i="5"/>
  <c r="AC66" i="5" s="1"/>
  <c r="AB65" i="5"/>
  <c r="AB64" i="5"/>
  <c r="AB63" i="5"/>
  <c r="AC63" i="5" s="1"/>
  <c r="AB62" i="5"/>
  <c r="AC62" i="5" s="1"/>
  <c r="AB61" i="5"/>
  <c r="AC61" i="5" s="1"/>
  <c r="AB60" i="5"/>
  <c r="AB59" i="5"/>
  <c r="AB58" i="5"/>
  <c r="AB57" i="5"/>
  <c r="AB56" i="5"/>
  <c r="AB55" i="5"/>
  <c r="AB54" i="5"/>
  <c r="AC54" i="5" s="1"/>
  <c r="AB53" i="5"/>
  <c r="AB52" i="5"/>
  <c r="AC52" i="5" s="1"/>
  <c r="AB51" i="5"/>
  <c r="AC51" i="5" s="1"/>
  <c r="AB50" i="5"/>
  <c r="AC50" i="5" s="1"/>
  <c r="AB49" i="5"/>
  <c r="AC49" i="5" s="1"/>
  <c r="AB48" i="5"/>
  <c r="AB47" i="5"/>
  <c r="AB46" i="5"/>
  <c r="AB45" i="5"/>
  <c r="AB44" i="5"/>
  <c r="AB43" i="5"/>
  <c r="AC43" i="5" s="1"/>
  <c r="AB42" i="5"/>
  <c r="AC42" i="5" s="1"/>
  <c r="AB41" i="5"/>
  <c r="AC41" i="5" s="1"/>
  <c r="AB40" i="5"/>
  <c r="AC40" i="5" s="1"/>
  <c r="AB39" i="5"/>
  <c r="AC39" i="5" s="1"/>
  <c r="AB38" i="5"/>
  <c r="AC38" i="5" s="1"/>
  <c r="AB37" i="5"/>
  <c r="AC37" i="5" s="1"/>
  <c r="AB36" i="5"/>
  <c r="AB35" i="5"/>
  <c r="AB34" i="5"/>
  <c r="AB33" i="5"/>
  <c r="AB32" i="5"/>
  <c r="AB31" i="5"/>
  <c r="AC31" i="5" s="1"/>
  <c r="AB30" i="5"/>
  <c r="AC30" i="5" s="1"/>
  <c r="AB29" i="5"/>
  <c r="AC29" i="5" s="1"/>
  <c r="AB28" i="5"/>
  <c r="AC28" i="5" s="1"/>
  <c r="AB27" i="5"/>
  <c r="AC27" i="5" s="1"/>
  <c r="AB26" i="5"/>
  <c r="AC26" i="5" s="1"/>
  <c r="AB25" i="5"/>
  <c r="AC25" i="5" s="1"/>
  <c r="AB24" i="5"/>
  <c r="AB23" i="5"/>
  <c r="AB22" i="5"/>
  <c r="AB21" i="5"/>
  <c r="AB20" i="5"/>
  <c r="AB19" i="5"/>
  <c r="AC19" i="5" s="1"/>
  <c r="J19" i="5"/>
  <c r="R8" i="5" s="1"/>
  <c r="AB18" i="5"/>
  <c r="AB17" i="5"/>
  <c r="AC17" i="5" s="1"/>
  <c r="J17" i="5"/>
  <c r="AB16" i="5"/>
  <c r="AC16" i="5" s="1"/>
  <c r="J16" i="5"/>
  <c r="AB15" i="5"/>
  <c r="J15" i="5"/>
  <c r="R7" i="5" s="1"/>
  <c r="AB14" i="5"/>
  <c r="M14" i="5"/>
  <c r="J14" i="5"/>
  <c r="R5" i="5" s="1"/>
  <c r="AB13" i="5"/>
  <c r="AC13" i="5" s="1"/>
  <c r="AB12" i="5"/>
  <c r="AC12" i="5" s="1"/>
  <c r="AB11" i="5"/>
  <c r="AC11" i="5" s="1"/>
  <c r="AB10" i="5"/>
  <c r="AC10" i="5" s="1"/>
  <c r="J10" i="5"/>
  <c r="Q5" i="5" s="1"/>
  <c r="AB9" i="5"/>
  <c r="AC9" i="5" s="1"/>
  <c r="AB8" i="5"/>
  <c r="AB7" i="5"/>
  <c r="AB6" i="5"/>
  <c r="J6" i="5"/>
  <c r="AB5" i="5"/>
  <c r="S5" i="5"/>
  <c r="S6" i="5" s="1"/>
  <c r="M5" i="5"/>
  <c r="J5" i="5"/>
  <c r="Q6" i="5" s="1"/>
  <c r="AB4" i="5"/>
  <c r="AC4" i="5" s="1"/>
  <c r="AB3" i="5"/>
  <c r="AC3" i="5" s="1"/>
  <c r="J6" i="4"/>
  <c r="J5" i="4"/>
  <c r="J7" i="5" l="1"/>
  <c r="AC53" i="5"/>
  <c r="AC65" i="5"/>
  <c r="AC77" i="5"/>
  <c r="AC89" i="5"/>
  <c r="AC78" i="5"/>
  <c r="AC79" i="5"/>
  <c r="AC32" i="5"/>
  <c r="AC55" i="5"/>
  <c r="AC20" i="5"/>
  <c r="AC14" i="5"/>
  <c r="AC21" i="5"/>
  <c r="AC33" i="5"/>
  <c r="AC67" i="5"/>
  <c r="AC5" i="5"/>
  <c r="AC6" i="5"/>
  <c r="AC22" i="5"/>
  <c r="AC34" i="5"/>
  <c r="AC91" i="5"/>
  <c r="AC23" i="5"/>
  <c r="AC35" i="5"/>
  <c r="AC8" i="5"/>
  <c r="AC15" i="5"/>
  <c r="AC24" i="5"/>
  <c r="AC36" i="5"/>
  <c r="AC48" i="5"/>
  <c r="AC60" i="5"/>
  <c r="AC72" i="5"/>
  <c r="AC84" i="5"/>
  <c r="AC44" i="5"/>
  <c r="AC56" i="5"/>
  <c r="AC68" i="5"/>
  <c r="AC80" i="5"/>
  <c r="AC92" i="5"/>
  <c r="AC45" i="5"/>
  <c r="AC57" i="5"/>
  <c r="AC69" i="5"/>
  <c r="AC81" i="5"/>
  <c r="AC93" i="5"/>
  <c r="AC46" i="5"/>
  <c r="AC58" i="5"/>
  <c r="AC70" i="5"/>
  <c r="AC82" i="5"/>
  <c r="AC47" i="5"/>
  <c r="AC59" i="5"/>
  <c r="AC71" i="5"/>
  <c r="AC83" i="5"/>
  <c r="AC90" i="5"/>
  <c r="AC101" i="5"/>
  <c r="AC102" i="5"/>
  <c r="AC94" i="5"/>
  <c r="AC95" i="5"/>
  <c r="AC96" i="5"/>
  <c r="AC97" i="6"/>
  <c r="AC99" i="6"/>
  <c r="AC101" i="6"/>
  <c r="AC102" i="6"/>
  <c r="Q7" i="6"/>
  <c r="J7" i="6"/>
  <c r="J16" i="6"/>
  <c r="M15" i="6"/>
  <c r="M16" i="6" s="1"/>
  <c r="M17" i="6" s="1"/>
  <c r="T8" i="6"/>
  <c r="S9" i="6"/>
  <c r="U8" i="6"/>
  <c r="J17" i="6"/>
  <c r="J18" i="6" s="1"/>
  <c r="R9" i="6" s="1"/>
  <c r="Q6" i="6"/>
  <c r="T6" i="6" s="1"/>
  <c r="T7" i="6"/>
  <c r="R6" i="6"/>
  <c r="U6" i="6" s="1"/>
  <c r="U7" i="6"/>
  <c r="Q5" i="6"/>
  <c r="T5" i="6" s="1"/>
  <c r="R5" i="6"/>
  <c r="U5" i="6" s="1"/>
  <c r="J8" i="6"/>
  <c r="T5" i="5"/>
  <c r="Q7" i="5"/>
  <c r="U5" i="5"/>
  <c r="J8" i="5"/>
  <c r="M6" i="5" s="1"/>
  <c r="M7" i="5" s="1"/>
  <c r="M8" i="5" s="1"/>
  <c r="Q8" i="5"/>
  <c r="T6" i="5"/>
  <c r="S7" i="5"/>
  <c r="R6" i="5"/>
  <c r="U6" i="5" s="1"/>
  <c r="AC64" i="5"/>
  <c r="J18" i="5"/>
  <c r="R9" i="5" s="1"/>
  <c r="AC7" i="5"/>
  <c r="M15" i="5"/>
  <c r="M16" i="5" s="1"/>
  <c r="M17" i="5" s="1"/>
  <c r="AC18" i="5"/>
  <c r="Q6" i="4"/>
  <c r="Q8" i="4"/>
  <c r="J9" i="5" l="1"/>
  <c r="Q10" i="5" s="1"/>
  <c r="J9" i="6"/>
  <c r="Q10" i="6" s="1"/>
  <c r="R10" i="6"/>
  <c r="U9" i="6"/>
  <c r="S10" i="6"/>
  <c r="M6" i="6"/>
  <c r="M7" i="6" s="1"/>
  <c r="M8" i="6" s="1"/>
  <c r="R10" i="5"/>
  <c r="S8" i="5"/>
  <c r="U7" i="5"/>
  <c r="T7" i="5"/>
  <c r="S5" i="4"/>
  <c r="Q9" i="5" l="1"/>
  <c r="Q9" i="6"/>
  <c r="T9" i="6" s="1"/>
  <c r="U10" i="6"/>
  <c r="T10" i="6"/>
  <c r="S9" i="5"/>
  <c r="T8" i="5"/>
  <c r="U8" i="5"/>
  <c r="S6" i="4"/>
  <c r="T9" i="5" l="1"/>
  <c r="S10" i="5"/>
  <c r="U9" i="5"/>
  <c r="S7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C103" i="4" s="1"/>
  <c r="AB4" i="4"/>
  <c r="AB3" i="4"/>
  <c r="AC3" i="4" s="1"/>
  <c r="J15" i="4"/>
  <c r="R7" i="4" s="1"/>
  <c r="J14" i="4"/>
  <c r="R5" i="4" s="1"/>
  <c r="J19" i="4"/>
  <c r="M14" i="4"/>
  <c r="J10" i="4"/>
  <c r="M5" i="4"/>
  <c r="U10" i="5" l="1"/>
  <c r="T10" i="5"/>
  <c r="Q7" i="4"/>
  <c r="T7" i="4" s="1"/>
  <c r="Q5" i="4"/>
  <c r="T5" i="4" s="1"/>
  <c r="R6" i="4"/>
  <c r="U6" i="4" s="1"/>
  <c r="R8" i="4"/>
  <c r="J8" i="4"/>
  <c r="AC4" i="4"/>
  <c r="AC98" i="4"/>
  <c r="J17" i="4"/>
  <c r="U5" i="4"/>
  <c r="U7" i="4"/>
  <c r="T6" i="4"/>
  <c r="S8" i="4"/>
  <c r="AC90" i="4"/>
  <c r="AC82" i="4"/>
  <c r="AC99" i="4"/>
  <c r="AC74" i="4"/>
  <c r="AC66" i="4"/>
  <c r="AC58" i="4"/>
  <c r="AC50" i="4"/>
  <c r="AC42" i="4"/>
  <c r="AC34" i="4"/>
  <c r="AC97" i="4"/>
  <c r="AC96" i="4"/>
  <c r="AC26" i="4"/>
  <c r="AC18" i="4"/>
  <c r="AC89" i="4"/>
  <c r="AC88" i="4"/>
  <c r="AC91" i="4"/>
  <c r="AC83" i="4"/>
  <c r="AC75" i="4"/>
  <c r="AC67" i="4"/>
  <c r="AC59" i="4"/>
  <c r="AC81" i="4"/>
  <c r="AC73" i="4"/>
  <c r="AC65" i="4"/>
  <c r="AC57" i="4"/>
  <c r="AC49" i="4"/>
  <c r="AC41" i="4"/>
  <c r="AC33" i="4"/>
  <c r="AC25" i="4"/>
  <c r="AC17" i="4"/>
  <c r="AC9" i="4"/>
  <c r="AC80" i="4"/>
  <c r="AC72" i="4"/>
  <c r="AC64" i="4"/>
  <c r="AC56" i="4"/>
  <c r="AC48" i="4"/>
  <c r="AC40" i="4"/>
  <c r="AC32" i="4"/>
  <c r="AC24" i="4"/>
  <c r="AC16" i="4"/>
  <c r="AC95" i="4"/>
  <c r="AC71" i="4"/>
  <c r="AC63" i="4"/>
  <c r="AC55" i="4"/>
  <c r="AC47" i="4"/>
  <c r="AC39" i="4"/>
  <c r="AC31" i="4"/>
  <c r="AC23" i="4"/>
  <c r="AC15" i="4"/>
  <c r="AC102" i="4"/>
  <c r="AC94" i="4"/>
  <c r="AC86" i="4"/>
  <c r="AC78" i="4"/>
  <c r="AC70" i="4"/>
  <c r="AC62" i="4"/>
  <c r="AC54" i="4"/>
  <c r="AC87" i="4"/>
  <c r="AC101" i="4"/>
  <c r="AC93" i="4"/>
  <c r="AC85" i="4"/>
  <c r="AC77" i="4"/>
  <c r="AC69" i="4"/>
  <c r="AC61" i="4"/>
  <c r="AC53" i="4"/>
  <c r="AC79" i="4"/>
  <c r="AC100" i="4"/>
  <c r="AC92" i="4"/>
  <c r="AC84" i="4"/>
  <c r="AC76" i="4"/>
  <c r="AC68" i="4"/>
  <c r="AC60" i="4"/>
  <c r="AC52" i="4"/>
  <c r="AC44" i="4"/>
  <c r="AC36" i="4"/>
  <c r="AC28" i="4"/>
  <c r="AC20" i="4"/>
  <c r="AC12" i="4"/>
  <c r="AC51" i="4"/>
  <c r="AC43" i="4"/>
  <c r="AC35" i="4"/>
  <c r="AC27" i="4"/>
  <c r="AC19" i="4"/>
  <c r="AC11" i="4"/>
  <c r="AC10" i="4"/>
  <c r="AC8" i="4"/>
  <c r="AC7" i="4"/>
  <c r="AC46" i="4"/>
  <c r="AC38" i="4"/>
  <c r="AC30" i="4"/>
  <c r="AC22" i="4"/>
  <c r="AC14" i="4"/>
  <c r="AC6" i="4"/>
  <c r="AC45" i="4"/>
  <c r="AC37" i="4"/>
  <c r="AC29" i="4"/>
  <c r="AC21" i="4"/>
  <c r="AC13" i="4"/>
  <c r="AC5" i="4"/>
  <c r="J16" i="4"/>
  <c r="J7" i="4"/>
  <c r="M6" i="4" s="1"/>
  <c r="M15" i="4" l="1"/>
  <c r="M16" i="4" s="1"/>
  <c r="M17" i="4" s="1"/>
  <c r="J18" i="4"/>
  <c r="R9" i="4" s="1"/>
  <c r="J9" i="4"/>
  <c r="Q10" i="4" s="1"/>
  <c r="M7" i="4"/>
  <c r="M8" i="4" s="1"/>
  <c r="Q9" i="4" s="1"/>
  <c r="S9" i="4"/>
  <c r="U8" i="4"/>
  <c r="T8" i="4"/>
  <c r="R10" i="4" l="1"/>
  <c r="T9" i="4"/>
  <c r="U9" i="4"/>
  <c r="S10" i="4"/>
  <c r="T10" i="4" l="1"/>
  <c r="U10" i="4"/>
</calcChain>
</file>

<file path=xl/sharedStrings.xml><?xml version="1.0" encoding="utf-8"?>
<sst xmlns="http://schemas.openxmlformats.org/spreadsheetml/2006/main" count="180" uniqueCount="59">
  <si>
    <t>Geometria</t>
  </si>
  <si>
    <t>hx</t>
  </si>
  <si>
    <t>Dados</t>
  </si>
  <si>
    <t>hy</t>
  </si>
  <si>
    <t>le</t>
  </si>
  <si>
    <t>Nd</t>
  </si>
  <si>
    <t>Mx,d,sup</t>
  </si>
  <si>
    <t>Mx,d,inf</t>
  </si>
  <si>
    <t>fck</t>
  </si>
  <si>
    <t>e1x,A</t>
  </si>
  <si>
    <t>e1x,B</t>
  </si>
  <si>
    <t>e1x,C</t>
  </si>
  <si>
    <t>e1x,mín</t>
  </si>
  <si>
    <t>e1y,A</t>
  </si>
  <si>
    <t>e1y,B</t>
  </si>
  <si>
    <t>e1y,C</t>
  </si>
  <si>
    <t>e1y,mín</t>
  </si>
  <si>
    <t>λx</t>
  </si>
  <si>
    <t>λy</t>
  </si>
  <si>
    <t>λ1x</t>
  </si>
  <si>
    <t>αbx</t>
  </si>
  <si>
    <t>αby</t>
  </si>
  <si>
    <t>λ1y</t>
  </si>
  <si>
    <t>e2x,C</t>
  </si>
  <si>
    <t>ex</t>
  </si>
  <si>
    <t>ey</t>
  </si>
  <si>
    <t>e2y,C</t>
  </si>
  <si>
    <t>Excentricidades de 1a ordem em x</t>
  </si>
  <si>
    <t>Excentricidades de 1a ordem em y</t>
  </si>
  <si>
    <t>Excentricidades de 2a ordem em x</t>
  </si>
  <si>
    <t>Excentricidades de 2a ordem em y</t>
  </si>
  <si>
    <t>Situações de Cálculo</t>
  </si>
  <si>
    <t>#</t>
  </si>
  <si>
    <t>1a</t>
  </si>
  <si>
    <t>2a</t>
  </si>
  <si>
    <t>3a</t>
  </si>
  <si>
    <t>4a</t>
  </si>
  <si>
    <t>My,d,sup</t>
  </si>
  <si>
    <t>My,d,inf</t>
  </si>
  <si>
    <t>e1x,topo</t>
  </si>
  <si>
    <t>e1x,base</t>
  </si>
  <si>
    <t>e1y,topo</t>
  </si>
  <si>
    <t>e1y,base</t>
  </si>
  <si>
    <t>5a</t>
  </si>
  <si>
    <t>6a</t>
  </si>
  <si>
    <t>x</t>
  </si>
  <si>
    <t>Resistênciais</t>
  </si>
  <si>
    <t>MRdxx</t>
  </si>
  <si>
    <t>MRdyy</t>
  </si>
  <si>
    <t>y</t>
  </si>
  <si>
    <t>i</t>
  </si>
  <si>
    <t>Solicitações de Projeto</t>
  </si>
  <si>
    <t>Material</t>
  </si>
  <si>
    <t>Mx</t>
  </si>
  <si>
    <t>My</t>
  </si>
  <si>
    <t>Seção</t>
  </si>
  <si>
    <t>Topo</t>
  </si>
  <si>
    <t>Base</t>
  </si>
  <si>
    <t>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</si>
</sst>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&quot; cm&quot;"/>
    <numFmt numFmtId="165" formatCode="0&quot; cm&quot;"/>
    <numFmt numFmtId="166" formatCode="0&quot; kNcm&quot;"/>
    <numFmt numFmtId="167" formatCode="0.0&quot; kN/cm²&quot;"/>
    <numFmt numFmtId="168" formatCode="0.0&quot; kN&quot;"/>
    <numFmt numFmtId="169" formatCode="0.00&quot; cm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0" xfId="0" applyFont="1" applyFill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165" fontId="1" fillId="2" borderId="10" xfId="0" applyNumberFormat="1" applyFont="1" applyFill="1" applyBorder="1" applyAlignment="1" applyProtection="1">
      <alignment horizontal="right" vertical="center"/>
      <protection locked="0"/>
    </xf>
    <xf numFmtId="166" fontId="1" fillId="2" borderId="10" xfId="0" applyNumberFormat="1" applyFont="1" applyFill="1" applyBorder="1" applyAlignment="1" applyProtection="1">
      <alignment horizontal="right" vertical="center"/>
      <protection locked="0"/>
    </xf>
    <xf numFmtId="167" fontId="1" fillId="2" borderId="10" xfId="0" applyNumberFormat="1" applyFont="1" applyFill="1" applyBorder="1" applyAlignment="1" applyProtection="1">
      <alignment horizontal="right" vertical="center"/>
      <protection locked="0"/>
    </xf>
    <xf numFmtId="168" fontId="1" fillId="2" borderId="10" xfId="0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/>
    <xf numFmtId="164" fontId="1" fillId="3" borderId="0" xfId="0" applyNumberFormat="1" applyFont="1" applyFill="1" applyAlignment="1" applyProtection="1">
      <alignment horizontal="right" vertical="center"/>
      <protection locked="0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169" fontId="0" fillId="2" borderId="10" xfId="0" applyNumberFormat="1" applyFill="1" applyBorder="1"/>
    <xf numFmtId="0" fontId="4" fillId="2" borderId="9" xfId="0" applyFont="1" applyFill="1" applyBorder="1" applyAlignment="1">
      <alignment horizontal="center"/>
    </xf>
    <xf numFmtId="2" fontId="0" fillId="2" borderId="10" xfId="0" applyNumberFormat="1" applyFill="1" applyBorder="1"/>
    <xf numFmtId="0" fontId="0" fillId="2" borderId="10" xfId="0" applyFill="1" applyBorder="1"/>
    <xf numFmtId="0" fontId="2" fillId="2" borderId="15" xfId="0" applyFont="1" applyFill="1" applyBorder="1" applyAlignment="1">
      <alignment horizontal="center"/>
    </xf>
    <xf numFmtId="169" fontId="0" fillId="2" borderId="15" xfId="0" applyNumberForma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168" fontId="0" fillId="2" borderId="15" xfId="0" applyNumberFormat="1" applyFill="1" applyBorder="1" applyAlignment="1" applyProtection="1">
      <alignment horizontal="right"/>
      <protection locked="0"/>
    </xf>
    <xf numFmtId="166" fontId="0" fillId="2" borderId="15" xfId="0" applyNumberFormat="1" applyFill="1" applyBorder="1" applyAlignment="1" applyProtection="1">
      <alignment horizontal="right"/>
      <protection locked="0"/>
    </xf>
    <xf numFmtId="0" fontId="0" fillId="3" borderId="1" xfId="0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3" borderId="13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4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Protection="1">
      <protection locked="0"/>
    </xf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406736495600393E-2"/>
          <c:y val="0.14248209510088841"/>
          <c:w val="0.75189438982464851"/>
          <c:h val="0.75994369788949878"/>
        </c:manualLayout>
      </c:layout>
      <c:scatterChart>
        <c:scatterStyle val="lineMarker"/>
        <c:varyColors val="0"/>
        <c:ser>
          <c:idx val="0"/>
          <c:order val="0"/>
          <c:tx>
            <c:v>Situações de Cálculo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676-437D-B818-866E4225EE3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676-437D-B818-866E4225EE3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676-437D-B818-866E4225EE3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676-437D-B818-866E4225EE3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5a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676-437D-B818-866E4225EE3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6a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676-437D-B818-866E4225EE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Fundação!$Q$5:$Q$10</c:f>
              <c:numCache>
                <c:formatCode>0.00" cm"</c:formatCode>
                <c:ptCount val="6"/>
                <c:pt idx="0">
                  <c:v>2.750415973377704</c:v>
                </c:pt>
                <c:pt idx="1">
                  <c:v>2.750415973377704</c:v>
                </c:pt>
                <c:pt idx="2">
                  <c:v>2.750415973377704</c:v>
                </c:pt>
                <c:pt idx="3">
                  <c:v>2.750415973377704</c:v>
                </c:pt>
                <c:pt idx="4">
                  <c:v>2.0699999999999998</c:v>
                </c:pt>
                <c:pt idx="5">
                  <c:v>1.1001663893510816</c:v>
                </c:pt>
              </c:numCache>
            </c:numRef>
          </c:xVal>
          <c:yVal>
            <c:numRef>
              <c:f>Fundação!$R$5:$R$10</c:f>
              <c:numCache>
                <c:formatCode>0.00" cm"</c:formatCode>
                <c:ptCount val="6"/>
                <c:pt idx="0">
                  <c:v>0</c:v>
                </c:pt>
                <c:pt idx="1">
                  <c:v>2.4</c:v>
                </c:pt>
                <c:pt idx="2">
                  <c:v>0</c:v>
                </c:pt>
                <c:pt idx="3">
                  <c:v>2.4</c:v>
                </c:pt>
                <c:pt idx="4">
                  <c:v>0</c:v>
                </c:pt>
                <c:pt idx="5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76-437D-B818-866E4225EE34}"/>
            </c:ext>
          </c:extLst>
        </c:ser>
        <c:ser>
          <c:idx val="1"/>
          <c:order val="1"/>
          <c:tx>
            <c:v>Envoltória Resistente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Fundação!$AB$3:$AB$103</c:f>
              <c:numCache>
                <c:formatCode>General</c:formatCode>
                <c:ptCount val="101"/>
                <c:pt idx="0">
                  <c:v>0</c:v>
                </c:pt>
                <c:pt idx="1">
                  <c:v>3.8735440931780364E-2</c:v>
                </c:pt>
                <c:pt idx="2">
                  <c:v>7.7470881863560728E-2</c:v>
                </c:pt>
                <c:pt idx="3">
                  <c:v>0.1162063227953411</c:v>
                </c:pt>
                <c:pt idx="4">
                  <c:v>0.15494176372712146</c:v>
                </c:pt>
                <c:pt idx="5">
                  <c:v>0.19367720465890184</c:v>
                </c:pt>
                <c:pt idx="6">
                  <c:v>0.2324126455906822</c:v>
                </c:pt>
                <c:pt idx="7">
                  <c:v>0.27114808652246258</c:v>
                </c:pt>
                <c:pt idx="8">
                  <c:v>0.30988352745424291</c:v>
                </c:pt>
                <c:pt idx="9">
                  <c:v>0.34861896838602324</c:v>
                </c:pt>
                <c:pt idx="10">
                  <c:v>0.38735440931780368</c:v>
                </c:pt>
                <c:pt idx="11">
                  <c:v>0.42608985024958401</c:v>
                </c:pt>
                <c:pt idx="12">
                  <c:v>0.4648252911813644</c:v>
                </c:pt>
                <c:pt idx="13">
                  <c:v>0.50356073211314478</c:v>
                </c:pt>
                <c:pt idx="14">
                  <c:v>0.54229617304492517</c:v>
                </c:pt>
                <c:pt idx="15">
                  <c:v>0.58103161397670544</c:v>
                </c:pt>
                <c:pt idx="16">
                  <c:v>0.61976705490848583</c:v>
                </c:pt>
                <c:pt idx="17">
                  <c:v>0.65850249584026632</c:v>
                </c:pt>
                <c:pt idx="18">
                  <c:v>0.69723793677204648</c:v>
                </c:pt>
                <c:pt idx="19">
                  <c:v>0.73597337770382698</c:v>
                </c:pt>
                <c:pt idx="20">
                  <c:v>0.77470881863560737</c:v>
                </c:pt>
                <c:pt idx="21">
                  <c:v>0.81344425956738775</c:v>
                </c:pt>
                <c:pt idx="22">
                  <c:v>0.85217970049916802</c:v>
                </c:pt>
                <c:pt idx="23">
                  <c:v>0.89091514143094841</c:v>
                </c:pt>
                <c:pt idx="24">
                  <c:v>0.92965058236272879</c:v>
                </c:pt>
                <c:pt idx="25">
                  <c:v>0.96838602329450918</c:v>
                </c:pt>
                <c:pt idx="26">
                  <c:v>1.0071214642262896</c:v>
                </c:pt>
                <c:pt idx="27">
                  <c:v>1.0458569051580699</c:v>
                </c:pt>
                <c:pt idx="28">
                  <c:v>1.0845923460898503</c:v>
                </c:pt>
                <c:pt idx="29">
                  <c:v>1.1233277870216307</c:v>
                </c:pt>
                <c:pt idx="30">
                  <c:v>1.1620632279534109</c:v>
                </c:pt>
                <c:pt idx="31">
                  <c:v>1.2007986688851913</c:v>
                </c:pt>
                <c:pt idx="32">
                  <c:v>1.2395341098169717</c:v>
                </c:pt>
                <c:pt idx="33">
                  <c:v>1.278269550748752</c:v>
                </c:pt>
                <c:pt idx="34">
                  <c:v>1.3170049916805326</c:v>
                </c:pt>
                <c:pt idx="35">
                  <c:v>1.3557404326123128</c:v>
                </c:pt>
                <c:pt idx="36">
                  <c:v>1.394475873544093</c:v>
                </c:pt>
                <c:pt idx="37">
                  <c:v>1.4332113144758736</c:v>
                </c:pt>
                <c:pt idx="38">
                  <c:v>1.471946755407654</c:v>
                </c:pt>
                <c:pt idx="39">
                  <c:v>1.5106821963394341</c:v>
                </c:pt>
                <c:pt idx="40">
                  <c:v>1.5494176372712147</c:v>
                </c:pt>
                <c:pt idx="41">
                  <c:v>1.5881530782029949</c:v>
                </c:pt>
                <c:pt idx="42">
                  <c:v>1.6268885191347755</c:v>
                </c:pt>
                <c:pt idx="43">
                  <c:v>1.6656239600665557</c:v>
                </c:pt>
                <c:pt idx="44">
                  <c:v>1.704359400998336</c:v>
                </c:pt>
                <c:pt idx="45">
                  <c:v>1.7430948419301167</c:v>
                </c:pt>
                <c:pt idx="46">
                  <c:v>1.7818302828618968</c:v>
                </c:pt>
                <c:pt idx="47">
                  <c:v>1.820565723793677</c:v>
                </c:pt>
                <c:pt idx="48">
                  <c:v>1.8593011647254576</c:v>
                </c:pt>
                <c:pt idx="49">
                  <c:v>1.898036605657238</c:v>
                </c:pt>
                <c:pt idx="50">
                  <c:v>1.9367720465890184</c:v>
                </c:pt>
                <c:pt idx="51">
                  <c:v>1.9755074875207987</c:v>
                </c:pt>
                <c:pt idx="52">
                  <c:v>2.0142429284525791</c:v>
                </c:pt>
                <c:pt idx="53">
                  <c:v>2.0529783693843595</c:v>
                </c:pt>
                <c:pt idx="54">
                  <c:v>2.0917138103161399</c:v>
                </c:pt>
                <c:pt idx="55">
                  <c:v>2.1304492512479198</c:v>
                </c:pt>
                <c:pt idx="56">
                  <c:v>2.1691846921797007</c:v>
                </c:pt>
                <c:pt idx="57">
                  <c:v>2.2079201331114806</c:v>
                </c:pt>
                <c:pt idx="58">
                  <c:v>2.2466555740432614</c:v>
                </c:pt>
                <c:pt idx="59">
                  <c:v>2.2853910149750418</c:v>
                </c:pt>
                <c:pt idx="60">
                  <c:v>2.3241264559068218</c:v>
                </c:pt>
                <c:pt idx="61">
                  <c:v>2.3628618968386026</c:v>
                </c:pt>
                <c:pt idx="62">
                  <c:v>2.4015973377703825</c:v>
                </c:pt>
                <c:pt idx="63">
                  <c:v>2.4403327787021629</c:v>
                </c:pt>
                <c:pt idx="64">
                  <c:v>2.4790682196339433</c:v>
                </c:pt>
                <c:pt idx="65">
                  <c:v>2.5178036605657237</c:v>
                </c:pt>
                <c:pt idx="66">
                  <c:v>2.5565391014975041</c:v>
                </c:pt>
                <c:pt idx="67">
                  <c:v>2.5952745424292845</c:v>
                </c:pt>
                <c:pt idx="68">
                  <c:v>2.6340099833610653</c:v>
                </c:pt>
                <c:pt idx="69">
                  <c:v>2.6727454242928452</c:v>
                </c:pt>
                <c:pt idx="70">
                  <c:v>2.7114808652246256</c:v>
                </c:pt>
                <c:pt idx="71">
                  <c:v>2.750216306156406</c:v>
                </c:pt>
                <c:pt idx="72">
                  <c:v>2.7889517470881859</c:v>
                </c:pt>
                <c:pt idx="73">
                  <c:v>2.8276871880199668</c:v>
                </c:pt>
                <c:pt idx="74">
                  <c:v>2.8664226289517472</c:v>
                </c:pt>
                <c:pt idx="75">
                  <c:v>2.9051580698835271</c:v>
                </c:pt>
                <c:pt idx="76">
                  <c:v>2.9438935108153079</c:v>
                </c:pt>
                <c:pt idx="77">
                  <c:v>2.9826289517470883</c:v>
                </c:pt>
                <c:pt idx="78">
                  <c:v>3.0213643926788682</c:v>
                </c:pt>
                <c:pt idx="79">
                  <c:v>3.0600998336106486</c:v>
                </c:pt>
                <c:pt idx="80">
                  <c:v>3.0988352745424295</c:v>
                </c:pt>
                <c:pt idx="81">
                  <c:v>3.1375707154742098</c:v>
                </c:pt>
                <c:pt idx="82">
                  <c:v>3.1763061564059898</c:v>
                </c:pt>
                <c:pt idx="83">
                  <c:v>3.2150415973377706</c:v>
                </c:pt>
                <c:pt idx="84">
                  <c:v>3.253777038269551</c:v>
                </c:pt>
                <c:pt idx="85">
                  <c:v>3.2925124792013309</c:v>
                </c:pt>
                <c:pt idx="86">
                  <c:v>3.3312479201331113</c:v>
                </c:pt>
                <c:pt idx="87">
                  <c:v>3.3699833610648922</c:v>
                </c:pt>
                <c:pt idx="88">
                  <c:v>3.4087188019966721</c:v>
                </c:pt>
                <c:pt idx="89">
                  <c:v>3.4474542429284525</c:v>
                </c:pt>
                <c:pt idx="90">
                  <c:v>3.4861896838602333</c:v>
                </c:pt>
                <c:pt idx="91">
                  <c:v>3.5249251247920133</c:v>
                </c:pt>
                <c:pt idx="92">
                  <c:v>3.5636605657237936</c:v>
                </c:pt>
                <c:pt idx="93">
                  <c:v>3.602396006655574</c:v>
                </c:pt>
                <c:pt idx="94">
                  <c:v>3.641131447587354</c:v>
                </c:pt>
                <c:pt idx="95">
                  <c:v>3.6798668885191348</c:v>
                </c:pt>
                <c:pt idx="96">
                  <c:v>3.7186023294509152</c:v>
                </c:pt>
                <c:pt idx="97">
                  <c:v>3.7573377703826951</c:v>
                </c:pt>
                <c:pt idx="98">
                  <c:v>3.7960732113144759</c:v>
                </c:pt>
                <c:pt idx="99">
                  <c:v>3.8348086522462563</c:v>
                </c:pt>
                <c:pt idx="100">
                  <c:v>3.8735440931780367</c:v>
                </c:pt>
              </c:numCache>
            </c:numRef>
          </c:xVal>
          <c:yVal>
            <c:numRef>
              <c:f>Fundação!$AC$3:$AC$103</c:f>
              <c:numCache>
                <c:formatCode>General</c:formatCode>
                <c:ptCount val="101"/>
                <c:pt idx="0">
                  <c:v>6.5024958402662234</c:v>
                </c:pt>
                <c:pt idx="1">
                  <c:v>6.4809162538792382</c:v>
                </c:pt>
                <c:pt idx="2">
                  <c:v>6.4528975282397338</c:v>
                </c:pt>
                <c:pt idx="3">
                  <c:v>6.4217750137680474</c:v>
                </c:pt>
                <c:pt idx="4">
                  <c:v>6.3884349140392134</c:v>
                </c:pt>
                <c:pt idx="5">
                  <c:v>6.353331018271084</c:v>
                </c:pt>
                <c:pt idx="6">
                  <c:v>6.3167443408983059</c:v>
                </c:pt>
                <c:pt idx="7">
                  <c:v>6.2788676190458386</c:v>
                </c:pt>
                <c:pt idx="8">
                  <c:v>6.2398418905455344</c:v>
                </c:pt>
                <c:pt idx="9">
                  <c:v>6.1997751058674249</c:v>
                </c:pt>
                <c:pt idx="10">
                  <c:v>6.1587526652113675</c:v>
                </c:pt>
                <c:pt idx="11">
                  <c:v>6.1168438584688563</c:v>
                </c:pt>
                <c:pt idx="12">
                  <c:v>6.0741060354438368</c:v>
                </c:pt>
                <c:pt idx="13">
                  <c:v>6.0305874315859649</c:v>
                </c:pt>
                <c:pt idx="14">
                  <c:v>5.9863291540264649</c:v>
                </c:pt>
                <c:pt idx="15">
                  <c:v>5.9413666201530058</c:v>
                </c:pt>
                <c:pt idx="16">
                  <c:v>5.895730626302055</c:v>
                </c:pt>
                <c:pt idx="17">
                  <c:v>5.8494481589160054</c:v>
                </c:pt>
                <c:pt idx="18">
                  <c:v>5.8025430217124896</c:v>
                </c:pt>
                <c:pt idx="19">
                  <c:v>5.7550363284449775</c:v>
                </c:pt>
                <c:pt idx="20">
                  <c:v>5.7069468955377829</c:v>
                </c:pt>
                <c:pt idx="21">
                  <c:v>5.6582915588360114</c:v>
                </c:pt>
                <c:pt idx="22">
                  <c:v>5.6090854319512902</c:v>
                </c:pt>
                <c:pt idx="23">
                  <c:v>5.559342119032312</c:v>
                </c:pt>
                <c:pt idx="24">
                  <c:v>5.5090738915243094</c:v>
                </c:pt>
                <c:pt idx="25">
                  <c:v>5.4582918361489305</c:v>
                </c:pt>
                <c:pt idx="26">
                  <c:v>5.40700597964255</c:v>
                </c:pt>
                <c:pt idx="27">
                  <c:v>5.3552253945435231</c:v>
                </c:pt>
                <c:pt idx="28">
                  <c:v>5.3029582893875302</c:v>
                </c:pt>
                <c:pt idx="29">
                  <c:v>5.2502120859662913</c:v>
                </c:pt>
                <c:pt idx="30">
                  <c:v>5.1969934857668632</c:v>
                </c:pt>
                <c:pt idx="31">
                  <c:v>5.1433085272931178</c:v>
                </c:pt>
                <c:pt idx="32">
                  <c:v>5.0891626356467858</c:v>
                </c:pt>
                <c:pt idx="33">
                  <c:v>5.0345606654901225</c:v>
                </c:pt>
                <c:pt idx="34">
                  <c:v>4.9795069383094708</c:v>
                </c:pt>
                <c:pt idx="35">
                  <c:v>4.924005274736599</c:v>
                </c:pt>
                <c:pt idx="36">
                  <c:v>4.8680590225533793</c:v>
                </c:pt>
                <c:pt idx="37">
                  <c:v>4.8116710808986882</c:v>
                </c:pt>
                <c:pt idx="38">
                  <c:v>4.7548439211086144</c:v>
                </c:pt>
                <c:pt idx="39">
                  <c:v>4.6975796045485376</c:v>
                </c:pt>
                <c:pt idx="40">
                  <c:v>4.6398797977350901</c:v>
                </c:pt>
                <c:pt idx="41">
                  <c:v>4.5817457849949301</c:v>
                </c:pt>
                <c:pt idx="42">
                  <c:v>4.5231784788638816</c:v>
                </c:pt>
                <c:pt idx="43">
                  <c:v>4.4641784283925912</c:v>
                </c:pt>
                <c:pt idx="44">
                  <c:v>4.4047458254923617</c:v>
                </c:pt>
                <c:pt idx="45">
                  <c:v>4.3448805094260399</c:v>
                </c:pt>
                <c:pt idx="46">
                  <c:v>4.2845819695230833</c:v>
                </c:pt>
                <c:pt idx="47">
                  <c:v>4.2238493461743696</c:v>
                </c:pt>
                <c:pt idx="48">
                  <c:v>4.1626814301404069</c:v>
                </c:pt>
                <c:pt idx="49">
                  <c:v>4.1010766601857833</c:v>
                </c:pt>
                <c:pt idx="50">
                  <c:v>4.039033119032438</c:v>
                </c:pt>
                <c:pt idx="51">
                  <c:v>3.9765485276042449</c:v>
                </c:pt>
                <c:pt idx="52">
                  <c:v>3.9136202375149551</c:v>
                </c:pt>
                <c:pt idx="53">
                  <c:v>3.8502452217303169</c:v>
                </c:pt>
                <c:pt idx="54">
                  <c:v>3.7864200633127463</c:v>
                </c:pt>
                <c:pt idx="55">
                  <c:v>3.7221409421325995</c:v>
                </c:pt>
                <c:pt idx="56">
                  <c:v>3.6574036194035715</c:v>
                </c:pt>
                <c:pt idx="57">
                  <c:v>3.5922034198700579</c:v>
                </c:pt>
                <c:pt idx="58">
                  <c:v>3.5265352114409829</c:v>
                </c:pt>
                <c:pt idx="59">
                  <c:v>3.4603933820265702</c:v>
                </c:pt>
                <c:pt idx="60">
                  <c:v>3.3937718132907069</c:v>
                </c:pt>
                <c:pt idx="61">
                  <c:v>3.326663850980847</c:v>
                </c:pt>
                <c:pt idx="62">
                  <c:v>3.2590622714379616</c:v>
                </c:pt>
                <c:pt idx="63">
                  <c:v>3.1909592438190488</c:v>
                </c:pt>
                <c:pt idx="64">
                  <c:v>3.1223462874818977</c:v>
                </c:pt>
                <c:pt idx="65">
                  <c:v>3.0532142238827653</c:v>
                </c:pt>
                <c:pt idx="66">
                  <c:v>2.9835531222189386</c:v>
                </c:pt>
                <c:pt idx="67">
                  <c:v>2.9133522379047769</c:v>
                </c:pt>
                <c:pt idx="68">
                  <c:v>2.8425999427956317</c:v>
                </c:pt>
                <c:pt idx="69">
                  <c:v>2.7712836458611223</c:v>
                </c:pt>
                <c:pt idx="70">
                  <c:v>2.6993897027472982</c:v>
                </c:pt>
                <c:pt idx="71">
                  <c:v>2.6269033123428516</c:v>
                </c:pt>
                <c:pt idx="72">
                  <c:v>2.5538083980599868</c:v>
                </c:pt>
                <c:pt idx="73">
                  <c:v>2.480087471032479</c:v>
                </c:pt>
                <c:pt idx="74">
                  <c:v>2.4057214717901676</c:v>
                </c:pt>
                <c:pt idx="75">
                  <c:v>2.3306895861481589</c:v>
                </c:pt>
                <c:pt idx="76">
                  <c:v>2.2549690299919263</c:v>
                </c:pt>
                <c:pt idx="77">
                  <c:v>2.1785347962655588</c:v>
                </c:pt>
                <c:pt idx="78">
                  <c:v>2.1013593556664687</c:v>
                </c:pt>
                <c:pt idx="79">
                  <c:v>2.0234123001555235</c:v>
                </c:pt>
                <c:pt idx="80">
                  <c:v>1.9446599151757247</c:v>
                </c:pt>
                <c:pt idx="81">
                  <c:v>1.8650646620974918</c:v>
                </c:pt>
                <c:pt idx="82">
                  <c:v>1.7845845463728496</c:v>
                </c:pt>
                <c:pt idx="83">
                  <c:v>1.7031723384247794</c:v>
                </c:pt>
                <c:pt idx="84">
                  <c:v>1.620774602249597</c:v>
                </c:pt>
                <c:pt idx="85">
                  <c:v>1.5373304692188146</c:v>
                </c:pt>
                <c:pt idx="86">
                  <c:v>1.4527700686395111</c:v>
                </c:pt>
                <c:pt idx="87">
                  <c:v>1.3670124872923592</c:v>
                </c:pt>
                <c:pt idx="88">
                  <c:v>1.2799630688830046</c:v>
                </c:pt>
                <c:pt idx="89">
                  <c:v>1.1915097659706175</c:v>
                </c:pt>
                <c:pt idx="90">
                  <c:v>1.1015180934986213</c:v>
                </c:pt>
                <c:pt idx="91">
                  <c:v>1.0098239504213613</c:v>
                </c:pt>
                <c:pt idx="92">
                  <c:v>0.91622306358761552</c:v>
                </c:pt>
                <c:pt idx="93">
                  <c:v>0.82045482542666781</c:v>
                </c:pt>
                <c:pt idx="94">
                  <c:v>0.72217627797754957</c:v>
                </c:pt>
                <c:pt idx="95">
                  <c:v>0.62091747306780654</c:v>
                </c:pt>
                <c:pt idx="96">
                  <c:v>0.51599810512458288</c:v>
                </c:pt>
                <c:pt idx="97">
                  <c:v>0.40635221728574972</c:v>
                </c:pt>
                <c:pt idx="98">
                  <c:v>0.29008659843640899</c:v>
                </c:pt>
                <c:pt idx="99">
                  <c:v>0.16294263100330647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76-437D-B818-866E4225E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070040"/>
        <c:axId val="575970952"/>
      </c:scatterChart>
      <c:valAx>
        <c:axId val="57407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970952"/>
        <c:crosses val="autoZero"/>
        <c:crossBetween val="midCat"/>
      </c:valAx>
      <c:valAx>
        <c:axId val="57597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070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406736495600393E-2"/>
          <c:y val="0.14248209510088841"/>
          <c:w val="0.75189438982464851"/>
          <c:h val="0.75994369788949878"/>
        </c:manualLayout>
      </c:layout>
      <c:scatterChart>
        <c:scatterStyle val="lineMarker"/>
        <c:varyColors val="0"/>
        <c:ser>
          <c:idx val="0"/>
          <c:order val="0"/>
          <c:tx>
            <c:v>Situações de Cálculo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CC2-460C-A09C-6C62811B9C8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CC2-460C-A09C-6C62811B9C8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CC2-460C-A09C-6C62811B9C8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5CC2-460C-A09C-6C62811B9C8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5a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CC2-460C-A09C-6C62811B9C8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6a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CC2-460C-A09C-6C62811B9C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Térreo!$Q$5:$Q$10</c:f>
              <c:numCache>
                <c:formatCode>0.00" cm"</c:formatCode>
                <c:ptCount val="6"/>
                <c:pt idx="0">
                  <c:v>1.92</c:v>
                </c:pt>
                <c:pt idx="1">
                  <c:v>1.784394250513347</c:v>
                </c:pt>
                <c:pt idx="2">
                  <c:v>1.92</c:v>
                </c:pt>
                <c:pt idx="3">
                  <c:v>0.97125256673511295</c:v>
                </c:pt>
                <c:pt idx="4">
                  <c:v>4.8106508949287372</c:v>
                </c:pt>
                <c:pt idx="5">
                  <c:v>0.7137577002053388</c:v>
                </c:pt>
              </c:numCache>
            </c:numRef>
          </c:xVal>
          <c:yVal>
            <c:numRef>
              <c:f>Térreo!$R$5:$R$10</c:f>
              <c:numCache>
                <c:formatCode>0.00" cm"</c:formatCode>
                <c:ptCount val="6"/>
                <c:pt idx="0">
                  <c:v>0</c:v>
                </c:pt>
                <c:pt idx="1">
                  <c:v>2.4</c:v>
                </c:pt>
                <c:pt idx="2">
                  <c:v>0</c:v>
                </c:pt>
                <c:pt idx="3">
                  <c:v>2.4</c:v>
                </c:pt>
                <c:pt idx="4">
                  <c:v>0</c:v>
                </c:pt>
                <c:pt idx="5">
                  <c:v>3.7489704176334109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5-4E7F-B4BB-E905B94FA46F}"/>
            </c:ext>
          </c:extLst>
        </c:ser>
        <c:ser>
          <c:idx val="1"/>
          <c:order val="1"/>
          <c:tx>
            <c:v>Envoltória Resistente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Térreo!$AB$3:$AB$103</c:f>
              <c:numCache>
                <c:formatCode>General</c:formatCode>
                <c:ptCount val="101"/>
                <c:pt idx="0">
                  <c:v>0</c:v>
                </c:pt>
                <c:pt idx="1">
                  <c:v>3.6960985626283367E-2</c:v>
                </c:pt>
                <c:pt idx="2">
                  <c:v>7.3921971252566734E-2</c:v>
                </c:pt>
                <c:pt idx="3">
                  <c:v>0.11088295687885009</c:v>
                </c:pt>
                <c:pt idx="4">
                  <c:v>0.14784394250513347</c:v>
                </c:pt>
                <c:pt idx="5">
                  <c:v>0.18480492813141683</c:v>
                </c:pt>
                <c:pt idx="6">
                  <c:v>0.22176591375770019</c:v>
                </c:pt>
                <c:pt idx="7">
                  <c:v>0.25872689938398358</c:v>
                </c:pt>
                <c:pt idx="8">
                  <c:v>0.29568788501026694</c:v>
                </c:pt>
                <c:pt idx="9">
                  <c:v>0.3326488706365503</c:v>
                </c:pt>
                <c:pt idx="10">
                  <c:v>0.36960985626283366</c:v>
                </c:pt>
                <c:pt idx="11">
                  <c:v>0.40657084188911702</c:v>
                </c:pt>
                <c:pt idx="12">
                  <c:v>0.44353182751540038</c:v>
                </c:pt>
                <c:pt idx="13">
                  <c:v>0.48049281314168374</c:v>
                </c:pt>
                <c:pt idx="14">
                  <c:v>0.51745379876796715</c:v>
                </c:pt>
                <c:pt idx="15">
                  <c:v>0.55441478439425051</c:v>
                </c:pt>
                <c:pt idx="16">
                  <c:v>0.59137577002053388</c:v>
                </c:pt>
                <c:pt idx="17">
                  <c:v>0.62833675564681724</c:v>
                </c:pt>
                <c:pt idx="18">
                  <c:v>0.6652977412731006</c:v>
                </c:pt>
                <c:pt idx="19">
                  <c:v>0.70225872689938396</c:v>
                </c:pt>
                <c:pt idx="20">
                  <c:v>0.73921971252566732</c:v>
                </c:pt>
                <c:pt idx="21">
                  <c:v>0.77618069815195068</c:v>
                </c:pt>
                <c:pt idx="22">
                  <c:v>0.81314168377823404</c:v>
                </c:pt>
                <c:pt idx="23">
                  <c:v>0.8501026694045174</c:v>
                </c:pt>
                <c:pt idx="24">
                  <c:v>0.88706365503080076</c:v>
                </c:pt>
                <c:pt idx="25">
                  <c:v>0.92402464065708412</c:v>
                </c:pt>
                <c:pt idx="26">
                  <c:v>0.96098562628336748</c:v>
                </c:pt>
                <c:pt idx="27">
                  <c:v>0.99794661190965084</c:v>
                </c:pt>
                <c:pt idx="28">
                  <c:v>1.0349075975359343</c:v>
                </c:pt>
                <c:pt idx="29">
                  <c:v>1.0718685831622177</c:v>
                </c:pt>
                <c:pt idx="30">
                  <c:v>1.108829568788501</c:v>
                </c:pt>
                <c:pt idx="31">
                  <c:v>1.1457905544147844</c:v>
                </c:pt>
                <c:pt idx="32">
                  <c:v>1.1827515400410678</c:v>
                </c:pt>
                <c:pt idx="33">
                  <c:v>1.2197125256673511</c:v>
                </c:pt>
                <c:pt idx="34">
                  <c:v>1.2566735112936345</c:v>
                </c:pt>
                <c:pt idx="35">
                  <c:v>1.2936344969199178</c:v>
                </c:pt>
                <c:pt idx="36">
                  <c:v>1.3305954825462012</c:v>
                </c:pt>
                <c:pt idx="37">
                  <c:v>1.3675564681724846</c:v>
                </c:pt>
                <c:pt idx="38">
                  <c:v>1.4045174537987679</c:v>
                </c:pt>
                <c:pt idx="39">
                  <c:v>1.4414784394250515</c:v>
                </c:pt>
                <c:pt idx="40">
                  <c:v>1.4784394250513346</c:v>
                </c:pt>
                <c:pt idx="41">
                  <c:v>1.5154004106776182</c:v>
                </c:pt>
                <c:pt idx="42">
                  <c:v>1.5523613963039014</c:v>
                </c:pt>
                <c:pt idx="43">
                  <c:v>1.5893223819301849</c:v>
                </c:pt>
                <c:pt idx="44">
                  <c:v>1.6262833675564681</c:v>
                </c:pt>
                <c:pt idx="45">
                  <c:v>1.6632443531827517</c:v>
                </c:pt>
                <c:pt idx="46">
                  <c:v>1.7002053388090348</c:v>
                </c:pt>
                <c:pt idx="47">
                  <c:v>1.7371663244353184</c:v>
                </c:pt>
                <c:pt idx="48">
                  <c:v>1.7741273100616015</c:v>
                </c:pt>
                <c:pt idx="49">
                  <c:v>1.8110882956878851</c:v>
                </c:pt>
                <c:pt idx="50">
                  <c:v>1.8480492813141682</c:v>
                </c:pt>
                <c:pt idx="51">
                  <c:v>1.8850102669404518</c:v>
                </c:pt>
                <c:pt idx="52">
                  <c:v>1.921971252566735</c:v>
                </c:pt>
                <c:pt idx="53">
                  <c:v>1.9589322381930185</c:v>
                </c:pt>
                <c:pt idx="54">
                  <c:v>1.9958932238193017</c:v>
                </c:pt>
                <c:pt idx="55">
                  <c:v>2.0328542094455853</c:v>
                </c:pt>
                <c:pt idx="56">
                  <c:v>2.0698151950718686</c:v>
                </c:pt>
                <c:pt idx="57">
                  <c:v>2.106776180698152</c:v>
                </c:pt>
                <c:pt idx="58">
                  <c:v>2.1437371663244353</c:v>
                </c:pt>
                <c:pt idx="59">
                  <c:v>2.1806981519507187</c:v>
                </c:pt>
                <c:pt idx="60">
                  <c:v>2.2176591375770021</c:v>
                </c:pt>
                <c:pt idx="61">
                  <c:v>2.2546201232032854</c:v>
                </c:pt>
                <c:pt idx="62">
                  <c:v>2.2915811088295688</c:v>
                </c:pt>
                <c:pt idx="63">
                  <c:v>2.3285420944558521</c:v>
                </c:pt>
                <c:pt idx="64">
                  <c:v>2.3655030800821355</c:v>
                </c:pt>
                <c:pt idx="65">
                  <c:v>2.4024640657084189</c:v>
                </c:pt>
                <c:pt idx="66">
                  <c:v>2.4394250513347022</c:v>
                </c:pt>
                <c:pt idx="67">
                  <c:v>2.4763860369609856</c:v>
                </c:pt>
                <c:pt idx="68">
                  <c:v>2.5133470225872689</c:v>
                </c:pt>
                <c:pt idx="69">
                  <c:v>2.5503080082135523</c:v>
                </c:pt>
                <c:pt idx="70">
                  <c:v>2.5872689938398357</c:v>
                </c:pt>
                <c:pt idx="71">
                  <c:v>2.6242299794661195</c:v>
                </c:pt>
                <c:pt idx="72">
                  <c:v>2.6611909650924024</c:v>
                </c:pt>
                <c:pt idx="73">
                  <c:v>2.6981519507186857</c:v>
                </c:pt>
                <c:pt idx="74">
                  <c:v>2.7351129363449691</c:v>
                </c:pt>
                <c:pt idx="75">
                  <c:v>2.7720739219712529</c:v>
                </c:pt>
                <c:pt idx="76">
                  <c:v>2.8090349075975358</c:v>
                </c:pt>
                <c:pt idx="77">
                  <c:v>2.8459958932238192</c:v>
                </c:pt>
                <c:pt idx="78">
                  <c:v>2.882956878850103</c:v>
                </c:pt>
                <c:pt idx="79">
                  <c:v>2.9199178644763863</c:v>
                </c:pt>
                <c:pt idx="80">
                  <c:v>2.9568788501026693</c:v>
                </c:pt>
                <c:pt idx="81">
                  <c:v>2.9938398357289526</c:v>
                </c:pt>
                <c:pt idx="82">
                  <c:v>3.0308008213552364</c:v>
                </c:pt>
                <c:pt idx="83">
                  <c:v>3.0677618069815198</c:v>
                </c:pt>
                <c:pt idx="84">
                  <c:v>3.1047227926078027</c:v>
                </c:pt>
                <c:pt idx="85">
                  <c:v>3.1416837782340861</c:v>
                </c:pt>
                <c:pt idx="86">
                  <c:v>3.1786447638603699</c:v>
                </c:pt>
                <c:pt idx="87">
                  <c:v>3.2156057494866532</c:v>
                </c:pt>
                <c:pt idx="88">
                  <c:v>3.2525667351129361</c:v>
                </c:pt>
                <c:pt idx="89">
                  <c:v>3.2895277207392195</c:v>
                </c:pt>
                <c:pt idx="90">
                  <c:v>3.3264887063655033</c:v>
                </c:pt>
                <c:pt idx="91">
                  <c:v>3.3634496919917867</c:v>
                </c:pt>
                <c:pt idx="92">
                  <c:v>3.4004106776180696</c:v>
                </c:pt>
                <c:pt idx="93">
                  <c:v>3.4373716632443529</c:v>
                </c:pt>
                <c:pt idx="94">
                  <c:v>3.4743326488706368</c:v>
                </c:pt>
                <c:pt idx="95">
                  <c:v>3.5112936344969201</c:v>
                </c:pt>
                <c:pt idx="96">
                  <c:v>3.548254620123203</c:v>
                </c:pt>
                <c:pt idx="97">
                  <c:v>3.5852156057494864</c:v>
                </c:pt>
                <c:pt idx="98">
                  <c:v>3.6221765913757702</c:v>
                </c:pt>
                <c:pt idx="99">
                  <c:v>3.6591375770020536</c:v>
                </c:pt>
                <c:pt idx="100">
                  <c:v>3.6960985626283365</c:v>
                </c:pt>
              </c:numCache>
            </c:numRef>
          </c:xVal>
          <c:yVal>
            <c:numRef>
              <c:f>Térreo!$AC$3:$AC$103</c:f>
              <c:numCache>
                <c:formatCode>General</c:formatCode>
                <c:ptCount val="101"/>
                <c:pt idx="0">
                  <c:v>3.7987679671457903</c:v>
                </c:pt>
                <c:pt idx="1">
                  <c:v>3.7861611399328443</c:v>
                </c:pt>
                <c:pt idx="2">
                  <c:v>3.7697925577677482</c:v>
                </c:pt>
                <c:pt idx="3">
                  <c:v>3.7516107374427028</c:v>
                </c:pt>
                <c:pt idx="4">
                  <c:v>3.7321334004351092</c:v>
                </c:pt>
                <c:pt idx="5">
                  <c:v>3.7116256510967363</c:v>
                </c:pt>
                <c:pt idx="6">
                  <c:v>3.6902516584880276</c:v>
                </c:pt>
                <c:pt idx="7">
                  <c:v>3.6681240199307452</c:v>
                </c:pt>
                <c:pt idx="8">
                  <c:v>3.6453251299409266</c:v>
                </c:pt>
                <c:pt idx="9">
                  <c:v>3.6219180533474722</c:v>
                </c:pt>
                <c:pt idx="10">
                  <c:v>3.5979526810771238</c:v>
                </c:pt>
                <c:pt idx="11">
                  <c:v>3.5734694923899575</c:v>
                </c:pt>
                <c:pt idx="12">
                  <c:v>3.5485019911287274</c:v>
                </c:pt>
                <c:pt idx="13">
                  <c:v>3.5230783565165411</c:v>
                </c:pt>
                <c:pt idx="14">
                  <c:v>3.4972226034020268</c:v>
                </c:pt>
                <c:pt idx="15">
                  <c:v>3.4709554226769703</c:v>
                </c:pt>
                <c:pt idx="16">
                  <c:v>3.444294805608008</c:v>
                </c:pt>
                <c:pt idx="17">
                  <c:v>3.4172565177158631</c:v>
                </c:pt>
                <c:pt idx="18">
                  <c:v>3.389854465168606</c:v>
                </c:pt>
                <c:pt idx="19">
                  <c:v>3.3621009826531516</c:v>
                </c:pt>
                <c:pt idx="20">
                  <c:v>3.3340070627532232</c:v>
                </c:pt>
                <c:pt idx="21">
                  <c:v>3.3055825409951569</c:v>
                </c:pt>
                <c:pt idx="22">
                  <c:v>3.2768362467738692</c:v>
                </c:pt>
                <c:pt idx="23">
                  <c:v>3.2477761276537338</c:v>
                </c:pt>
                <c:pt idx="24">
                  <c:v>3.2184093526317326</c:v>
                </c:pt>
                <c:pt idx="25">
                  <c:v>3.1887423985875274</c:v>
                </c:pt>
                <c:pt idx="26">
                  <c:v>3.1587811231557699</c:v>
                </c:pt>
                <c:pt idx="27">
                  <c:v>3.1285308265271761</c:v>
                </c:pt>
                <c:pt idx="28">
                  <c:v>3.0979963041407843</c:v>
                </c:pt>
                <c:pt idx="29">
                  <c:v>3.0671818918186151</c:v>
                </c:pt>
                <c:pt idx="30">
                  <c:v>3.0360915045796051</c:v>
                </c:pt>
                <c:pt idx="31">
                  <c:v>3.0047286701269087</c:v>
                </c:pt>
                <c:pt idx="32">
                  <c:v>2.9730965578132138</c:v>
                </c:pt>
                <c:pt idx="33">
                  <c:v>2.9411980037395997</c:v>
                </c:pt>
                <c:pt idx="34">
                  <c:v>2.9090355325249657</c:v>
                </c:pt>
                <c:pt idx="35">
                  <c:v>2.8766113761882046</c:v>
                </c:pt>
                <c:pt idx="36">
                  <c:v>2.8439274905085825</c:v>
                </c:pt>
                <c:pt idx="37">
                  <c:v>2.8109855691674457</c:v>
                </c:pt>
                <c:pt idx="38">
                  <c:v>2.7777870559230959</c:v>
                </c:pt>
                <c:pt idx="39">
                  <c:v>2.7443331550283263</c:v>
                </c:pt>
                <c:pt idx="40">
                  <c:v>2.7106248400646904</c:v>
                </c:pt>
                <c:pt idx="41">
                  <c:v>2.6766628613377774</c:v>
                </c:pt>
                <c:pt idx="42">
                  <c:v>2.6424477519524037</c:v>
                </c:pt>
                <c:pt idx="43">
                  <c:v>2.6079798326647925</c:v>
                </c:pt>
                <c:pt idx="44">
                  <c:v>2.5732592155898191</c:v>
                </c:pt>
                <c:pt idx="45">
                  <c:v>2.5382858068245944</c:v>
                </c:pt>
                <c:pt idx="46">
                  <c:v>2.5030593080346106</c:v>
                </c:pt>
                <c:pt idx="47">
                  <c:v>2.4675792170349093</c:v>
                </c:pt>
                <c:pt idx="48">
                  <c:v>2.4318448273859397</c:v>
                </c:pt>
                <c:pt idx="49">
                  <c:v>2.3958552270115967</c:v>
                </c:pt>
                <c:pt idx="50">
                  <c:v>2.3596092958351194</c:v>
                </c:pt>
                <c:pt idx="51">
                  <c:v>2.3231057024167661</c:v>
                </c:pt>
                <c:pt idx="52">
                  <c:v>2.2863428995652586</c:v>
                </c:pt>
                <c:pt idx="53">
                  <c:v>2.249319118882581</c:v>
                </c:pt>
                <c:pt idx="54">
                  <c:v>2.2120323641885946</c:v>
                </c:pt>
                <c:pt idx="55">
                  <c:v>2.1744804037577476</c:v>
                </c:pt>
                <c:pt idx="56">
                  <c:v>2.1366607612846287</c:v>
                </c:pt>
                <c:pt idx="57">
                  <c:v>2.0985707054777971</c:v>
                </c:pt>
                <c:pt idx="58">
                  <c:v>2.0602072381618375</c:v>
                </c:pt>
                <c:pt idx="59">
                  <c:v>2.0215670807453576</c:v>
                </c:pt>
                <c:pt idx="60">
                  <c:v>1.9826466588870879</c:v>
                </c:pt>
                <c:pt idx="61">
                  <c:v>1.9434420851625656</c:v>
                </c:pt>
                <c:pt idx="62">
                  <c:v>1.9039491394991881</c:v>
                </c:pt>
                <c:pt idx="63">
                  <c:v>1.8641632471065555</c:v>
                </c:pt>
                <c:pt idx="64">
                  <c:v>1.8240794535805807</c:v>
                </c:pt>
                <c:pt idx="65">
                  <c:v>1.7836923968020377</c:v>
                </c:pt>
                <c:pt idx="66">
                  <c:v>1.7429962751808672</c:v>
                </c:pt>
                <c:pt idx="67">
                  <c:v>1.7019848117137828</c:v>
                </c:pt>
                <c:pt idx="68">
                  <c:v>1.6606512132209832</c:v>
                </c:pt>
                <c:pt idx="69">
                  <c:v>1.6189881240033541</c:v>
                </c:pt>
                <c:pt idx="70">
                  <c:v>1.5769875730085512</c:v>
                </c:pt>
                <c:pt idx="71">
                  <c:v>1.5346409134048187</c:v>
                </c:pt>
                <c:pt idx="72">
                  <c:v>1.4919387532250985</c:v>
                </c:pt>
                <c:pt idx="73">
                  <c:v>1.4488708754471222</c:v>
                </c:pt>
                <c:pt idx="74">
                  <c:v>1.4054261454994113</c:v>
                </c:pt>
                <c:pt idx="75">
                  <c:v>1.3615924037034695</c:v>
                </c:pt>
                <c:pt idx="76">
                  <c:v>1.3173563395449144</c:v>
                </c:pt>
                <c:pt idx="77">
                  <c:v>1.2727033438636175</c:v>
                </c:pt>
                <c:pt idx="78">
                  <c:v>1.2276173339991052</c:v>
                </c:pt>
                <c:pt idx="79">
                  <c:v>1.1820805455286354</c:v>
                </c:pt>
                <c:pt idx="80">
                  <c:v>1.1360732823566932</c:v>
                </c:pt>
                <c:pt idx="81">
                  <c:v>1.0895736143587396</c:v>
                </c:pt>
                <c:pt idx="82">
                  <c:v>1.042557008255929</c:v>
                </c:pt>
                <c:pt idx="83">
                  <c:v>0.994995872457482</c:v>
                </c:pt>
                <c:pt idx="84">
                  <c:v>0.94685898956871239</c:v>
                </c:pt>
                <c:pt idx="85">
                  <c:v>0.89811080004420918</c:v>
                </c:pt>
                <c:pt idx="86">
                  <c:v>0.84871048531882132</c:v>
                </c:pt>
                <c:pt idx="87">
                  <c:v>0.79861077576666273</c:v>
                </c:pt>
                <c:pt idx="88">
                  <c:v>0.74775637303649589</c:v>
                </c:pt>
                <c:pt idx="89">
                  <c:v>0.69608181884284648</c:v>
                </c:pt>
                <c:pt idx="90">
                  <c:v>0.6435085468109647</c:v>
                </c:pt>
                <c:pt idx="91">
                  <c:v>0.58994068886020545</c:v>
                </c:pt>
                <c:pt idx="92">
                  <c:v>0.53525890830470924</c:v>
                </c:pt>
                <c:pt idx="93">
                  <c:v>0.47931095780499672</c:v>
                </c:pt>
                <c:pt idx="94">
                  <c:v>0.42189648079826464</c:v>
                </c:pt>
                <c:pt idx="95">
                  <c:v>0.36274093284687364</c:v>
                </c:pt>
                <c:pt idx="96">
                  <c:v>0.30144687839968526</c:v>
                </c:pt>
                <c:pt idx="97">
                  <c:v>0.23739158383537984</c:v>
                </c:pt>
                <c:pt idx="98">
                  <c:v>0.16946903233903393</c:v>
                </c:pt>
                <c:pt idx="99">
                  <c:v>9.5191333042431492E-2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55-4E7F-B4BB-E905B94FA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070040"/>
        <c:axId val="575970952"/>
      </c:scatterChart>
      <c:valAx>
        <c:axId val="57407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970952"/>
        <c:crosses val="autoZero"/>
        <c:crossBetween val="midCat"/>
      </c:valAx>
      <c:valAx>
        <c:axId val="57597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070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406736495600393E-2"/>
          <c:y val="0.14248209510088841"/>
          <c:w val="0.75189438982464851"/>
          <c:h val="0.75994369788949878"/>
        </c:manualLayout>
      </c:layout>
      <c:scatterChart>
        <c:scatterStyle val="lineMarker"/>
        <c:varyColors val="0"/>
        <c:ser>
          <c:idx val="0"/>
          <c:order val="0"/>
          <c:tx>
            <c:v>Situações de Cálculo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2DC-4DF8-B9C4-1E94B6A733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2DC-4DF8-B9C4-1E94B6A733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2DC-4DF8-B9C4-1E94B6A733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2DC-4DF8-B9C4-1E94B6A733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5a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2DC-4DF8-B9C4-1E94B6A733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6a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2DC-4DF8-B9C4-1E94B6A73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'1o andar'!$Q$5:$Q$10</c:f>
              <c:numCache>
                <c:formatCode>0.00" cm"</c:formatCode>
                <c:ptCount val="6"/>
                <c:pt idx="0">
                  <c:v>1.92</c:v>
                </c:pt>
                <c:pt idx="1">
                  <c:v>0</c:v>
                </c:pt>
                <c:pt idx="2">
                  <c:v>1.9594594594594594</c:v>
                </c:pt>
                <c:pt idx="3">
                  <c:v>1.9594594594594594</c:v>
                </c:pt>
                <c:pt idx="4">
                  <c:v>5.2423214285714286</c:v>
                </c:pt>
                <c:pt idx="5">
                  <c:v>1.1756756756756757</c:v>
                </c:pt>
              </c:numCache>
            </c:numRef>
          </c:xVal>
          <c:yVal>
            <c:numRef>
              <c:f>'1o andar'!$R$5:$R$10</c:f>
              <c:numCache>
                <c:formatCode>0.00" cm"</c:formatCode>
                <c:ptCount val="6"/>
                <c:pt idx="0">
                  <c:v>0</c:v>
                </c:pt>
                <c:pt idx="1">
                  <c:v>2.4</c:v>
                </c:pt>
                <c:pt idx="2">
                  <c:v>0</c:v>
                </c:pt>
                <c:pt idx="3">
                  <c:v>2.4</c:v>
                </c:pt>
                <c:pt idx="4">
                  <c:v>0</c:v>
                </c:pt>
                <c:pt idx="5">
                  <c:v>3.9504166666666665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2DC-4DF8-B9C4-1E94B6A7332A}"/>
            </c:ext>
          </c:extLst>
        </c:ser>
        <c:ser>
          <c:idx val="1"/>
          <c:order val="1"/>
          <c:tx>
            <c:v>Envoltória Resistente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'1o andar'!$AB$3:$AB$103</c:f>
              <c:numCache>
                <c:formatCode>General</c:formatCode>
                <c:ptCount val="101"/>
                <c:pt idx="0">
                  <c:v>0</c:v>
                </c:pt>
                <c:pt idx="1">
                  <c:v>5.2432432432432431E-2</c:v>
                </c:pt>
                <c:pt idx="2">
                  <c:v>0.10486486486486486</c:v>
                </c:pt>
                <c:pt idx="3">
                  <c:v>0.1572972972972973</c:v>
                </c:pt>
                <c:pt idx="4">
                  <c:v>0.20972972972972972</c:v>
                </c:pt>
                <c:pt idx="5">
                  <c:v>0.26216216216216215</c:v>
                </c:pt>
                <c:pt idx="6">
                  <c:v>0.3145945945945946</c:v>
                </c:pt>
                <c:pt idx="7">
                  <c:v>0.367027027027027</c:v>
                </c:pt>
                <c:pt idx="8">
                  <c:v>0.41945945945945945</c:v>
                </c:pt>
                <c:pt idx="9">
                  <c:v>0.47189189189189185</c:v>
                </c:pt>
                <c:pt idx="10">
                  <c:v>0.5243243243243243</c:v>
                </c:pt>
                <c:pt idx="11">
                  <c:v>0.57675675675675675</c:v>
                </c:pt>
                <c:pt idx="12">
                  <c:v>0.6291891891891892</c:v>
                </c:pt>
                <c:pt idx="13">
                  <c:v>0.68162162162162165</c:v>
                </c:pt>
                <c:pt idx="14">
                  <c:v>0.73405405405405399</c:v>
                </c:pt>
                <c:pt idx="15">
                  <c:v>0.78648648648648645</c:v>
                </c:pt>
                <c:pt idx="16">
                  <c:v>0.8389189189189189</c:v>
                </c:pt>
                <c:pt idx="17">
                  <c:v>0.89135135135135135</c:v>
                </c:pt>
                <c:pt idx="18">
                  <c:v>0.94378378378378369</c:v>
                </c:pt>
                <c:pt idx="19">
                  <c:v>0.99621621621621625</c:v>
                </c:pt>
                <c:pt idx="20">
                  <c:v>1.0486486486486486</c:v>
                </c:pt>
                <c:pt idx="21">
                  <c:v>1.1010810810810812</c:v>
                </c:pt>
                <c:pt idx="22">
                  <c:v>1.1535135135135135</c:v>
                </c:pt>
                <c:pt idx="23">
                  <c:v>1.2059459459459461</c:v>
                </c:pt>
                <c:pt idx="24">
                  <c:v>1.2583783783783784</c:v>
                </c:pt>
                <c:pt idx="25">
                  <c:v>1.310810810810811</c:v>
                </c:pt>
                <c:pt idx="26">
                  <c:v>1.3632432432432433</c:v>
                </c:pt>
                <c:pt idx="27">
                  <c:v>1.4156756756756759</c:v>
                </c:pt>
                <c:pt idx="28">
                  <c:v>1.468108108108108</c:v>
                </c:pt>
                <c:pt idx="29">
                  <c:v>1.5205405405405406</c:v>
                </c:pt>
                <c:pt idx="30">
                  <c:v>1.5729729729729729</c:v>
                </c:pt>
                <c:pt idx="31">
                  <c:v>1.6254054054054055</c:v>
                </c:pt>
                <c:pt idx="32">
                  <c:v>1.6778378378378378</c:v>
                </c:pt>
                <c:pt idx="33">
                  <c:v>1.7302702702702704</c:v>
                </c:pt>
                <c:pt idx="34">
                  <c:v>1.7827027027027027</c:v>
                </c:pt>
                <c:pt idx="35">
                  <c:v>1.8351351351351353</c:v>
                </c:pt>
                <c:pt idx="36">
                  <c:v>1.8875675675675674</c:v>
                </c:pt>
                <c:pt idx="37">
                  <c:v>1.94</c:v>
                </c:pt>
                <c:pt idx="38">
                  <c:v>1.9924324324324325</c:v>
                </c:pt>
                <c:pt idx="39">
                  <c:v>2.0448648648648646</c:v>
                </c:pt>
                <c:pt idx="40">
                  <c:v>2.0972972972972972</c:v>
                </c:pt>
                <c:pt idx="41">
                  <c:v>2.1497297297297298</c:v>
                </c:pt>
                <c:pt idx="42">
                  <c:v>2.2021621621621623</c:v>
                </c:pt>
                <c:pt idx="43">
                  <c:v>2.2545945945945944</c:v>
                </c:pt>
                <c:pt idx="44">
                  <c:v>2.307027027027027</c:v>
                </c:pt>
                <c:pt idx="45">
                  <c:v>2.3594594594594596</c:v>
                </c:pt>
                <c:pt idx="46">
                  <c:v>2.4118918918918921</c:v>
                </c:pt>
                <c:pt idx="47">
                  <c:v>2.4643243243243242</c:v>
                </c:pt>
                <c:pt idx="48">
                  <c:v>2.5167567567567568</c:v>
                </c:pt>
                <c:pt idx="49">
                  <c:v>2.5691891891891889</c:v>
                </c:pt>
                <c:pt idx="50">
                  <c:v>2.6216216216216219</c:v>
                </c:pt>
                <c:pt idx="51">
                  <c:v>2.6740540540540541</c:v>
                </c:pt>
                <c:pt idx="52">
                  <c:v>2.7264864864864866</c:v>
                </c:pt>
                <c:pt idx="53">
                  <c:v>2.7789189189189187</c:v>
                </c:pt>
                <c:pt idx="54">
                  <c:v>2.8313513513513517</c:v>
                </c:pt>
                <c:pt idx="55">
                  <c:v>2.8837837837837839</c:v>
                </c:pt>
                <c:pt idx="56">
                  <c:v>2.936216216216216</c:v>
                </c:pt>
                <c:pt idx="57">
                  <c:v>2.9886486486486485</c:v>
                </c:pt>
                <c:pt idx="58">
                  <c:v>3.0410810810810811</c:v>
                </c:pt>
                <c:pt idx="59">
                  <c:v>3.0935135135135137</c:v>
                </c:pt>
                <c:pt idx="60">
                  <c:v>3.1459459459459458</c:v>
                </c:pt>
                <c:pt idx="61">
                  <c:v>3.1983783783783779</c:v>
                </c:pt>
                <c:pt idx="62">
                  <c:v>3.2508108108108109</c:v>
                </c:pt>
                <c:pt idx="63">
                  <c:v>3.303243243243243</c:v>
                </c:pt>
                <c:pt idx="64">
                  <c:v>3.3556756756756756</c:v>
                </c:pt>
                <c:pt idx="65">
                  <c:v>3.4081081081081082</c:v>
                </c:pt>
                <c:pt idx="66">
                  <c:v>3.4605405405405407</c:v>
                </c:pt>
                <c:pt idx="67">
                  <c:v>3.5129729729729728</c:v>
                </c:pt>
                <c:pt idx="68">
                  <c:v>3.5654054054054054</c:v>
                </c:pt>
                <c:pt idx="69">
                  <c:v>3.617837837837838</c:v>
                </c:pt>
                <c:pt idx="70">
                  <c:v>3.6702702702702705</c:v>
                </c:pt>
                <c:pt idx="71">
                  <c:v>3.7227027027027026</c:v>
                </c:pt>
                <c:pt idx="72">
                  <c:v>3.7751351351351348</c:v>
                </c:pt>
                <c:pt idx="73">
                  <c:v>3.8275675675675678</c:v>
                </c:pt>
                <c:pt idx="74">
                  <c:v>3.88</c:v>
                </c:pt>
                <c:pt idx="75">
                  <c:v>3.9324324324324325</c:v>
                </c:pt>
                <c:pt idx="76">
                  <c:v>3.984864864864865</c:v>
                </c:pt>
                <c:pt idx="77">
                  <c:v>4.0372972972972976</c:v>
                </c:pt>
                <c:pt idx="78">
                  <c:v>4.0897297297297293</c:v>
                </c:pt>
                <c:pt idx="79">
                  <c:v>4.1421621621621618</c:v>
                </c:pt>
                <c:pt idx="80">
                  <c:v>4.1945945945945944</c:v>
                </c:pt>
                <c:pt idx="81">
                  <c:v>4.2470270270270269</c:v>
                </c:pt>
                <c:pt idx="82">
                  <c:v>4.2994594594594595</c:v>
                </c:pt>
                <c:pt idx="83">
                  <c:v>4.3518918918918921</c:v>
                </c:pt>
                <c:pt idx="84">
                  <c:v>4.4043243243243246</c:v>
                </c:pt>
                <c:pt idx="85">
                  <c:v>4.4567567567567572</c:v>
                </c:pt>
                <c:pt idx="86">
                  <c:v>4.5091891891891889</c:v>
                </c:pt>
                <c:pt idx="87">
                  <c:v>4.5616216216216223</c:v>
                </c:pt>
                <c:pt idx="88">
                  <c:v>4.614054054054054</c:v>
                </c:pt>
                <c:pt idx="89">
                  <c:v>4.6664864864864866</c:v>
                </c:pt>
                <c:pt idx="90">
                  <c:v>4.7189189189189191</c:v>
                </c:pt>
                <c:pt idx="91">
                  <c:v>4.7713513513513517</c:v>
                </c:pt>
                <c:pt idx="92">
                  <c:v>4.8237837837837843</c:v>
                </c:pt>
                <c:pt idx="93">
                  <c:v>4.8762162162162159</c:v>
                </c:pt>
                <c:pt idx="94">
                  <c:v>4.9286486486486485</c:v>
                </c:pt>
                <c:pt idx="95">
                  <c:v>4.9810810810810811</c:v>
                </c:pt>
                <c:pt idx="96">
                  <c:v>5.0335135135135136</c:v>
                </c:pt>
                <c:pt idx="97">
                  <c:v>5.0859459459459462</c:v>
                </c:pt>
                <c:pt idx="98">
                  <c:v>5.1383783783783779</c:v>
                </c:pt>
                <c:pt idx="99">
                  <c:v>5.1908108108108104</c:v>
                </c:pt>
                <c:pt idx="100">
                  <c:v>5.2432432432432439</c:v>
                </c:pt>
              </c:numCache>
            </c:numRef>
          </c:xVal>
          <c:yVal>
            <c:numRef>
              <c:f>'1o andar'!$AC$3:$AC$103</c:f>
              <c:numCache>
                <c:formatCode>General</c:formatCode>
                <c:ptCount val="101"/>
                <c:pt idx="0">
                  <c:v>4.5945945945945947</c:v>
                </c:pt>
                <c:pt idx="1">
                  <c:v>4.5793466877288562</c:v>
                </c:pt>
                <c:pt idx="2">
                  <c:v>4.5595489533614595</c:v>
                </c:pt>
                <c:pt idx="3">
                  <c:v>4.5375581147243444</c:v>
                </c:pt>
                <c:pt idx="4">
                  <c:v>4.514000353864466</c:v>
                </c:pt>
                <c:pt idx="5">
                  <c:v>4.4891963134302237</c:v>
                </c:pt>
                <c:pt idx="6">
                  <c:v>4.4633445552406696</c:v>
                </c:pt>
                <c:pt idx="7">
                  <c:v>4.4365812653041115</c:v>
                </c:pt>
                <c:pt idx="8">
                  <c:v>4.4090060994566738</c:v>
                </c:pt>
                <c:pt idx="9">
                  <c:v>4.3806953343555479</c:v>
                </c:pt>
                <c:pt idx="10">
                  <c:v>4.3517093128761886</c:v>
                </c:pt>
                <c:pt idx="11">
                  <c:v>4.322096994521031</c:v>
                </c:pt>
                <c:pt idx="12">
                  <c:v>4.2918989020532852</c:v>
                </c:pt>
                <c:pt idx="13">
                  <c:v>4.2611491181300867</c:v>
                </c:pt>
                <c:pt idx="14">
                  <c:v>4.2298766886143726</c:v>
                </c:pt>
                <c:pt idx="15">
                  <c:v>4.1981066390566317</c:v>
                </c:pt>
                <c:pt idx="16">
                  <c:v>4.1658607298215786</c:v>
                </c:pt>
                <c:pt idx="17">
                  <c:v>4.13315802924319</c:v>
                </c:pt>
                <c:pt idx="18">
                  <c:v>4.100015356775879</c:v>
                </c:pt>
                <c:pt idx="19">
                  <c:v>4.0664476311739142</c:v>
                </c:pt>
                <c:pt idx="20">
                  <c:v>4.0324681479231463</c:v>
                </c:pt>
                <c:pt idx="21">
                  <c:v>3.9980888030531641</c:v>
                </c:pt>
                <c:pt idx="22">
                  <c:v>3.9633202756816464</c:v>
                </c:pt>
                <c:pt idx="23">
                  <c:v>3.9281721783557728</c:v>
                </c:pt>
                <c:pt idx="24">
                  <c:v>3.8926531819485923</c:v>
                </c:pt>
                <c:pt idx="25">
                  <c:v>3.8567711202200354</c:v>
                </c:pt>
                <c:pt idx="26">
                  <c:v>3.8205330779556785</c:v>
                </c:pt>
                <c:pt idx="27">
                  <c:v>3.7839454657149001</c:v>
                </c:pt>
                <c:pt idx="28">
                  <c:v>3.7470140835619512</c:v>
                </c:pt>
                <c:pt idx="29">
                  <c:v>3.7097441756561453</c:v>
                </c:pt>
                <c:pt idx="30">
                  <c:v>3.6721404771971589</c:v>
                </c:pt>
                <c:pt idx="31">
                  <c:v>3.6342072549277837</c:v>
                </c:pt>
                <c:pt idx="32">
                  <c:v>3.5959483421673637</c:v>
                </c:pt>
                <c:pt idx="33">
                  <c:v>3.5573671691687583</c:v>
                </c:pt>
                <c:pt idx="34">
                  <c:v>3.5184667894483854</c:v>
                </c:pt>
                <c:pt idx="35">
                  <c:v>3.4792499026241273</c:v>
                </c:pt>
                <c:pt idx="36">
                  <c:v>3.4397188742031504</c:v>
                </c:pt>
                <c:pt idx="37">
                  <c:v>3.3998757526862362</c:v>
                </c:pt>
                <c:pt idx="38">
                  <c:v>3.3597222842932526</c:v>
                </c:pt>
                <c:pt idx="39">
                  <c:v>3.3192599255631143</c:v>
                </c:pt>
                <c:pt idx="40">
                  <c:v>3.2784898540387988</c:v>
                </c:pt>
                <c:pt idx="41">
                  <c:v>3.2374129772119007</c:v>
                </c:pt>
                <c:pt idx="42">
                  <c:v>3.1960299398705554</c:v>
                </c:pt>
                <c:pt idx="43">
                  <c:v>3.1543411299681257</c:v>
                </c:pt>
                <c:pt idx="44">
                  <c:v>3.1123466831071025</c:v>
                </c:pt>
                <c:pt idx="45">
                  <c:v>3.0700464857123189</c:v>
                </c:pt>
                <c:pt idx="46">
                  <c:v>3.0274401769493857</c:v>
                </c:pt>
                <c:pt idx="47">
                  <c:v>2.9845271494276142</c:v>
                </c:pt>
                <c:pt idx="48">
                  <c:v>2.9413065487112049</c:v>
                </c:pt>
                <c:pt idx="49">
                  <c:v>2.8977772716477745</c:v>
                </c:pt>
                <c:pt idx="50">
                  <c:v>2.8539379635089781</c:v>
                </c:pt>
                <c:pt idx="51">
                  <c:v>2.8097870139237999</c:v>
                </c:pt>
                <c:pt idx="52">
                  <c:v>2.7653225515706032</c:v>
                </c:pt>
                <c:pt idx="53">
                  <c:v>2.7205424375790934</c:v>
                </c:pt>
                <c:pt idx="54">
                  <c:v>2.6754442575774107</c:v>
                </c:pt>
                <c:pt idx="55">
                  <c:v>2.6300253123024682</c:v>
                </c:pt>
                <c:pt idx="56">
                  <c:v>2.5842826066728191</c:v>
                </c:pt>
                <c:pt idx="57">
                  <c:v>2.5382128372024386</c:v>
                </c:pt>
                <c:pt idx="58">
                  <c:v>2.4918123776102061</c:v>
                </c:pt>
                <c:pt idx="59">
                  <c:v>2.4450772624530051</c:v>
                </c:pt>
                <c:pt idx="60">
                  <c:v>2.3980031685794319</c:v>
                </c:pt>
                <c:pt idx="61">
                  <c:v>2.3505853941652148</c:v>
                </c:pt>
                <c:pt idx="62">
                  <c:v>2.3028188350494929</c:v>
                </c:pt>
                <c:pt idx="63">
                  <c:v>2.2546979580416622</c:v>
                </c:pt>
                <c:pt idx="64">
                  <c:v>2.2062167708098803</c:v>
                </c:pt>
                <c:pt idx="65">
                  <c:v>2.1573687878924876</c:v>
                </c:pt>
                <c:pt idx="66">
                  <c:v>2.1081469922896137</c:v>
                </c:pt>
                <c:pt idx="67">
                  <c:v>2.0585437919910028</c:v>
                </c:pt>
                <c:pt idx="68">
                  <c:v>2.0085509706729763</c:v>
                </c:pt>
                <c:pt idx="69">
                  <c:v>1.9581596316470087</c:v>
                </c:pt>
                <c:pt idx="70">
                  <c:v>1.9073601339573119</c:v>
                </c:pt>
                <c:pt idx="71">
                  <c:v>1.8561420192956177</c:v>
                </c:pt>
                <c:pt idx="72">
                  <c:v>1.8044939281155001</c:v>
                </c:pt>
                <c:pt idx="73">
                  <c:v>1.752403502969573</c:v>
                </c:pt>
                <c:pt idx="74">
                  <c:v>1.6998572766383682</c:v>
                </c:pt>
                <c:pt idx="75">
                  <c:v>1.6468405420395957</c:v>
                </c:pt>
                <c:pt idx="76">
                  <c:v>1.5933372001595836</c:v>
                </c:pt>
                <c:pt idx="77">
                  <c:v>1.5393295812778511</c:v>
                </c:pt>
                <c:pt idx="78">
                  <c:v>1.4847982334811691</c:v>
                </c:pt>
                <c:pt idx="79">
                  <c:v>1.4297216707715974</c:v>
                </c:pt>
                <c:pt idx="80">
                  <c:v>1.3740760708007409</c:v>
                </c:pt>
                <c:pt idx="81">
                  <c:v>1.3178349091710755</c:v>
                </c:pt>
                <c:pt idx="82">
                  <c:v>1.2609685129804007</c:v>
                </c:pt>
                <c:pt idx="83">
                  <c:v>1.2034435103105188</c:v>
                </c:pt>
                <c:pt idx="84">
                  <c:v>1.1452221438479724</c:v>
                </c:pt>
                <c:pt idx="85">
                  <c:v>1.0862614044654506</c:v>
                </c:pt>
                <c:pt idx="86">
                  <c:v>1.0265119222723931</c:v>
                </c:pt>
                <c:pt idx="87">
                  <c:v>0.9659165248461955</c:v>
                </c:pt>
                <c:pt idx="88">
                  <c:v>0.90440832905320045</c:v>
                </c:pt>
                <c:pt idx="89">
                  <c:v>0.84190816336010665</c:v>
                </c:pt>
                <c:pt idx="90">
                  <c:v>0.77832100205229893</c:v>
                </c:pt>
                <c:pt idx="91">
                  <c:v>0.71353089307138839</c:v>
                </c:pt>
                <c:pt idx="92">
                  <c:v>0.64739349917526534</c:v>
                </c:pt>
                <c:pt idx="93">
                  <c:v>0.57972467781849235</c:v>
                </c:pt>
                <c:pt idx="94">
                  <c:v>0.51028209854329465</c:v>
                </c:pt>
                <c:pt idx="95">
                  <c:v>0.43873370095533681</c:v>
                </c:pt>
                <c:pt idx="96">
                  <c:v>0.36459878835222853</c:v>
                </c:pt>
                <c:pt idx="97">
                  <c:v>0.28712416692083415</c:v>
                </c:pt>
                <c:pt idx="98">
                  <c:v>0.20497211376696547</c:v>
                </c:pt>
                <c:pt idx="99">
                  <c:v>0.11513353488068871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DC-4DF8-B9C4-1E94B6A73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070040"/>
        <c:axId val="575970952"/>
      </c:scatterChart>
      <c:valAx>
        <c:axId val="57407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970952"/>
        <c:crosses val="autoZero"/>
        <c:crossBetween val="midCat"/>
      </c:valAx>
      <c:valAx>
        <c:axId val="57597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070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hyperlink" Target="https://www.instagram.com/professordeestruturas/" TargetMode="External"/><Relationship Id="rId1" Type="http://schemas.openxmlformats.org/officeDocument/2006/relationships/chart" Target="../charts/chart1.xml"/><Relationship Id="rId6" Type="http://schemas.openxmlformats.org/officeDocument/2006/relationships/hyperlink" Target="https://linktr.ee/professordeestruturas" TargetMode="External"/><Relationship Id="rId5" Type="http://schemas.openxmlformats.org/officeDocument/2006/relationships/image" Target="../media/image2.png"/><Relationship Id="rId4" Type="http://schemas.openxmlformats.org/officeDocument/2006/relationships/hyperlink" Target="mailto:matheuscarini@gmail.com" TargetMode="External"/><Relationship Id="rId9" Type="http://schemas.openxmlformats.org/officeDocument/2006/relationships/hyperlink" Target="https://professordeestruturas.com.br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hyperlink" Target="https://www.instagram.com/professordeestruturas/" TargetMode="External"/><Relationship Id="rId1" Type="http://schemas.openxmlformats.org/officeDocument/2006/relationships/chart" Target="../charts/chart2.xml"/><Relationship Id="rId6" Type="http://schemas.openxmlformats.org/officeDocument/2006/relationships/hyperlink" Target="https://linktr.ee/professordeestruturas" TargetMode="External"/><Relationship Id="rId5" Type="http://schemas.openxmlformats.org/officeDocument/2006/relationships/image" Target="../media/image2.png"/><Relationship Id="rId4" Type="http://schemas.openxmlformats.org/officeDocument/2006/relationships/hyperlink" Target="mailto:matheuscarini@gmail.com" TargetMode="External"/><Relationship Id="rId9" Type="http://schemas.openxmlformats.org/officeDocument/2006/relationships/hyperlink" Target="https://professordeestruturas.com.br/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hyperlink" Target="https://www.instagram.com/professordeestruturas/" TargetMode="External"/><Relationship Id="rId1" Type="http://schemas.openxmlformats.org/officeDocument/2006/relationships/chart" Target="../charts/chart3.xml"/><Relationship Id="rId6" Type="http://schemas.openxmlformats.org/officeDocument/2006/relationships/hyperlink" Target="https://linktr.ee/professordeestruturas" TargetMode="External"/><Relationship Id="rId5" Type="http://schemas.openxmlformats.org/officeDocument/2006/relationships/image" Target="../media/image2.png"/><Relationship Id="rId4" Type="http://schemas.openxmlformats.org/officeDocument/2006/relationships/hyperlink" Target="mailto:matheuscarini@gmail.com" TargetMode="External"/><Relationship Id="rId9" Type="http://schemas.openxmlformats.org/officeDocument/2006/relationships/hyperlink" Target="https://professordeestruturas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171449</xdr:colOff>
      <xdr:row>10</xdr:row>
      <xdr:rowOff>114300</xdr:rowOff>
    </xdr:from>
    <xdr:to>
      <xdr:col>21</xdr:col>
      <xdr:colOff>400049</xdr:colOff>
      <xdr:row>26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0F48E9-FFFE-4CB9-89CD-54059ABCC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291811</xdr:colOff>
      <xdr:row>27</xdr:row>
      <xdr:rowOff>22346</xdr:rowOff>
    </xdr:from>
    <xdr:to>
      <xdr:col>19</xdr:col>
      <xdr:colOff>548986</xdr:colOff>
      <xdr:row>28</xdr:row>
      <xdr:rowOff>117596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AE9BBC5-16FE-4025-9E8C-9FB902F3D71B}"/>
            </a:ext>
          </a:extLst>
        </xdr:cNvPr>
        <xdr:cNvSpPr txBox="1"/>
      </xdr:nvSpPr>
      <xdr:spPr>
        <a:xfrm>
          <a:off x="9975561" y="5026146"/>
          <a:ext cx="1038225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20180223</a:t>
          </a:r>
        </a:p>
      </xdr:txBody>
    </xdr:sp>
    <xdr:clientData/>
  </xdr:twoCellAnchor>
  <xdr:twoCellAnchor>
    <xdr:from>
      <xdr:col>14</xdr:col>
      <xdr:colOff>323850</xdr:colOff>
      <xdr:row>26</xdr:row>
      <xdr:rowOff>180975</xdr:rowOff>
    </xdr:from>
    <xdr:to>
      <xdr:col>16</xdr:col>
      <xdr:colOff>583593</xdr:colOff>
      <xdr:row>28</xdr:row>
      <xdr:rowOff>101451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CC6F0E67-6BC1-4FAE-9AB9-AF4E8B463C91}"/>
            </a:ext>
          </a:extLst>
        </xdr:cNvPr>
        <xdr:cNvGrpSpPr/>
      </xdr:nvGrpSpPr>
      <xdr:grpSpPr>
        <a:xfrm>
          <a:off x="7698921" y="5038725"/>
          <a:ext cx="1085243" cy="292405"/>
          <a:chOff x="7894308" y="3609975"/>
          <a:chExt cx="1050318" cy="301476"/>
        </a:xfrm>
      </xdr:grpSpPr>
      <xdr:pic>
        <xdr:nvPicPr>
          <xdr:cNvPr id="5" name="Imagem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B36C315-0326-9D93-55CD-B55183E443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6" name="Imagem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425B33B-CB27-C5C8-A3C2-0415DEF3F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7" name="Imagem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6130EE7-FAEE-7349-9F19-0D18FB9411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285750</xdr:colOff>
      <xdr:row>26</xdr:row>
      <xdr:rowOff>161925</xdr:rowOff>
    </xdr:from>
    <xdr:to>
      <xdr:col>19</xdr:col>
      <xdr:colOff>548986</xdr:colOff>
      <xdr:row>28</xdr:row>
      <xdr:rowOff>108071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2913F50C-FB66-4686-8A36-6B1E990B142B}"/>
            </a:ext>
          </a:extLst>
        </xdr:cNvPr>
        <xdr:cNvGrpSpPr/>
      </xdr:nvGrpSpPr>
      <xdr:grpSpPr>
        <a:xfrm>
          <a:off x="285750" y="5019675"/>
          <a:ext cx="10713522" cy="318075"/>
          <a:chOff x="323850" y="6010275"/>
          <a:chExt cx="10264486" cy="327146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5E3412D8-D41C-E0FF-DF9B-1A7645B68B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0511B303-4891-7066-DBAE-60F7A50413B7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2" name="Imagem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AB3D645E-A2D1-8856-B14F-CA4A3E0374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8C661572-F3ED-D80B-BE45-7E58457077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2BEE9352-749E-1560-FCA7-5F5F46B988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01FD8E05-E79C-2783-0DBE-49EE814213B4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20180223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0.01818</cdr:x>
      <cdr:y>0.01262</cdr:y>
    </cdr:from>
    <cdr:to>
      <cdr:x>0.17273</cdr:x>
      <cdr:y>0.09779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261F3448-65F5-4512-851F-68054C438D2C}"/>
            </a:ext>
          </a:extLst>
        </cdr:cNvPr>
        <cdr:cNvSpPr txBox="1"/>
      </cdr:nvSpPr>
      <cdr:spPr>
        <a:xfrm xmlns:a="http://schemas.openxmlformats.org/drawingml/2006/main">
          <a:off x="76200" y="38100"/>
          <a:ext cx="6477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/>
            <a:t>ey</a:t>
          </a:r>
          <a:r>
            <a:rPr lang="pt-BR" sz="1100" b="1" baseline="0"/>
            <a:t> (cm)</a:t>
          </a:r>
          <a:endParaRPr lang="pt-BR" sz="1100" b="1"/>
        </a:p>
      </cdr:txBody>
    </cdr:sp>
  </cdr:relSizeAnchor>
  <cdr:relSizeAnchor xmlns:cdr="http://schemas.openxmlformats.org/drawingml/2006/chartDrawing">
    <cdr:from>
      <cdr:x>0.84545</cdr:x>
      <cdr:y>0.84858</cdr:y>
    </cdr:from>
    <cdr:to>
      <cdr:x>1</cdr:x>
      <cdr:y>0.93375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BFC01920-CAAE-4022-9519-54791AE7A06C}"/>
            </a:ext>
          </a:extLst>
        </cdr:cNvPr>
        <cdr:cNvSpPr txBox="1"/>
      </cdr:nvSpPr>
      <cdr:spPr>
        <a:xfrm xmlns:a="http://schemas.openxmlformats.org/drawingml/2006/main">
          <a:off x="4340543" y="2562225"/>
          <a:ext cx="793432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/>
            <a:t>ex</a:t>
          </a:r>
          <a:r>
            <a:rPr lang="pt-BR" sz="1100" b="1" baseline="0"/>
            <a:t> (cm)</a:t>
          </a:r>
          <a:endParaRPr lang="pt-BR" sz="1100" b="1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171449</xdr:colOff>
      <xdr:row>10</xdr:row>
      <xdr:rowOff>114300</xdr:rowOff>
    </xdr:from>
    <xdr:to>
      <xdr:col>21</xdr:col>
      <xdr:colOff>400049</xdr:colOff>
      <xdr:row>26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C76B5E-B1DC-4BAC-AC81-C8AD3B61A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291811</xdr:colOff>
      <xdr:row>27</xdr:row>
      <xdr:rowOff>22346</xdr:rowOff>
    </xdr:from>
    <xdr:to>
      <xdr:col>19</xdr:col>
      <xdr:colOff>548986</xdr:colOff>
      <xdr:row>28</xdr:row>
      <xdr:rowOff>117596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98C0F708-2AD7-4340-8806-B77BB45E4299}"/>
            </a:ext>
          </a:extLst>
        </xdr:cNvPr>
        <xdr:cNvSpPr txBox="1"/>
      </xdr:nvSpPr>
      <xdr:spPr>
        <a:xfrm>
          <a:off x="9550111" y="5203946"/>
          <a:ext cx="10001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20180223</a:t>
          </a:r>
        </a:p>
      </xdr:txBody>
    </xdr:sp>
    <xdr:clientData/>
  </xdr:twoCellAnchor>
  <xdr:twoCellAnchor>
    <xdr:from>
      <xdr:col>14</xdr:col>
      <xdr:colOff>323850</xdr:colOff>
      <xdr:row>26</xdr:row>
      <xdr:rowOff>180975</xdr:rowOff>
    </xdr:from>
    <xdr:to>
      <xdr:col>16</xdr:col>
      <xdr:colOff>583593</xdr:colOff>
      <xdr:row>28</xdr:row>
      <xdr:rowOff>101451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2F267D08-0981-4013-91BC-D059F15556D6}"/>
            </a:ext>
          </a:extLst>
        </xdr:cNvPr>
        <xdr:cNvGrpSpPr/>
      </xdr:nvGrpSpPr>
      <xdr:grpSpPr>
        <a:xfrm>
          <a:off x="7698921" y="5038725"/>
          <a:ext cx="1085243" cy="292405"/>
          <a:chOff x="7894308" y="3609975"/>
          <a:chExt cx="1050318" cy="301476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59249B7-B134-187D-6B77-5D19E692C0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6" name="Imagem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6A9BC9A-8F1B-FCB5-CA50-E719CD5322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13" name="Imagem 12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661C81A-3AED-7B71-98F3-29380CDD98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285750</xdr:colOff>
      <xdr:row>26</xdr:row>
      <xdr:rowOff>161925</xdr:rowOff>
    </xdr:from>
    <xdr:to>
      <xdr:col>19</xdr:col>
      <xdr:colOff>548986</xdr:colOff>
      <xdr:row>28</xdr:row>
      <xdr:rowOff>108071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72147977-A383-404E-AE08-E85FCA7287ED}"/>
            </a:ext>
          </a:extLst>
        </xdr:cNvPr>
        <xdr:cNvGrpSpPr/>
      </xdr:nvGrpSpPr>
      <xdr:grpSpPr>
        <a:xfrm>
          <a:off x="285750" y="5019675"/>
          <a:ext cx="10713522" cy="318075"/>
          <a:chOff x="323850" y="6010275"/>
          <a:chExt cx="10264486" cy="327146"/>
        </a:xfrm>
      </xdr:grpSpPr>
      <xdr:pic>
        <xdr:nvPicPr>
          <xdr:cNvPr id="7" name="Imagem 6">
            <a:extLst>
              <a:ext uri="{FF2B5EF4-FFF2-40B4-BE49-F238E27FC236}">
                <a16:creationId xmlns:a16="http://schemas.microsoft.com/office/drawing/2014/main" id="{36BBEBEA-C9F9-FD66-4D59-B1129572C7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94D55A6A-5872-3B0D-1D5A-DB971BCCA094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2" name="Imagem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EE973D3-9513-E016-7D4D-419B403E06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2EF772D6-C5A1-B897-95D0-ADA0AB5B2C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5" name="Imagem 14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11C862F6-57AE-1622-A2D0-B7EC80CD67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105C2793-6710-F05E-9FAD-3B3479C0F762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20180223</a:t>
            </a: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0.01818</cdr:x>
      <cdr:y>0.01262</cdr:y>
    </cdr:from>
    <cdr:to>
      <cdr:x>0.17273</cdr:x>
      <cdr:y>0.09779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261F3448-65F5-4512-851F-68054C438D2C}"/>
            </a:ext>
          </a:extLst>
        </cdr:cNvPr>
        <cdr:cNvSpPr txBox="1"/>
      </cdr:nvSpPr>
      <cdr:spPr>
        <a:xfrm xmlns:a="http://schemas.openxmlformats.org/drawingml/2006/main">
          <a:off x="76200" y="38100"/>
          <a:ext cx="6477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/>
            <a:t>ey</a:t>
          </a:r>
          <a:r>
            <a:rPr lang="pt-BR" sz="1100" b="1" baseline="0"/>
            <a:t> (cm)</a:t>
          </a:r>
          <a:endParaRPr lang="pt-BR" sz="1100" b="1"/>
        </a:p>
      </cdr:txBody>
    </cdr:sp>
  </cdr:relSizeAnchor>
  <cdr:relSizeAnchor xmlns:cdr="http://schemas.openxmlformats.org/drawingml/2006/chartDrawing">
    <cdr:from>
      <cdr:x>0.84545</cdr:x>
      <cdr:y>0.84858</cdr:y>
    </cdr:from>
    <cdr:to>
      <cdr:x>1</cdr:x>
      <cdr:y>0.93375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BFC01920-CAAE-4022-9519-54791AE7A06C}"/>
            </a:ext>
          </a:extLst>
        </cdr:cNvPr>
        <cdr:cNvSpPr txBox="1"/>
      </cdr:nvSpPr>
      <cdr:spPr>
        <a:xfrm xmlns:a="http://schemas.openxmlformats.org/drawingml/2006/main">
          <a:off x="4340543" y="2562225"/>
          <a:ext cx="793432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/>
            <a:t>ex</a:t>
          </a:r>
          <a:r>
            <a:rPr lang="pt-BR" sz="1100" b="1" baseline="0"/>
            <a:t> (cm)</a:t>
          </a:r>
          <a:endParaRPr lang="pt-BR" sz="1100" b="1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171449</xdr:colOff>
      <xdr:row>10</xdr:row>
      <xdr:rowOff>114300</xdr:rowOff>
    </xdr:from>
    <xdr:to>
      <xdr:col>21</xdr:col>
      <xdr:colOff>400049</xdr:colOff>
      <xdr:row>26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5A1921-9C05-48D9-9EEE-9B74510DC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291811</xdr:colOff>
      <xdr:row>27</xdr:row>
      <xdr:rowOff>22346</xdr:rowOff>
    </xdr:from>
    <xdr:to>
      <xdr:col>19</xdr:col>
      <xdr:colOff>548986</xdr:colOff>
      <xdr:row>28</xdr:row>
      <xdr:rowOff>117596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3CEC8F2-B29D-4B28-AB65-2052084BFF63}"/>
            </a:ext>
          </a:extLst>
        </xdr:cNvPr>
        <xdr:cNvSpPr txBox="1"/>
      </xdr:nvSpPr>
      <xdr:spPr>
        <a:xfrm>
          <a:off x="9975561" y="5026146"/>
          <a:ext cx="1038225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20180223</a:t>
          </a:r>
        </a:p>
      </xdr:txBody>
    </xdr:sp>
    <xdr:clientData/>
  </xdr:twoCellAnchor>
  <xdr:twoCellAnchor>
    <xdr:from>
      <xdr:col>14</xdr:col>
      <xdr:colOff>323850</xdr:colOff>
      <xdr:row>26</xdr:row>
      <xdr:rowOff>180975</xdr:rowOff>
    </xdr:from>
    <xdr:to>
      <xdr:col>16</xdr:col>
      <xdr:colOff>583593</xdr:colOff>
      <xdr:row>28</xdr:row>
      <xdr:rowOff>101451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70FA7D01-31CE-49AD-A193-FEFE862E9D0E}"/>
            </a:ext>
          </a:extLst>
        </xdr:cNvPr>
        <xdr:cNvGrpSpPr/>
      </xdr:nvGrpSpPr>
      <xdr:grpSpPr>
        <a:xfrm>
          <a:off x="7698921" y="5038725"/>
          <a:ext cx="1085243" cy="292405"/>
          <a:chOff x="7894308" y="3609975"/>
          <a:chExt cx="1050318" cy="301476"/>
        </a:xfrm>
      </xdr:grpSpPr>
      <xdr:pic>
        <xdr:nvPicPr>
          <xdr:cNvPr id="5" name="Imagem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7C24C48-648E-846A-EE3D-DF1458BA15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6" name="Imagem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59117A8-0AEF-2F3A-033A-C88229B713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7" name="Imagem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5CB800F6-E3EC-F4C4-DBCA-B852FF3872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285750</xdr:colOff>
      <xdr:row>26</xdr:row>
      <xdr:rowOff>161925</xdr:rowOff>
    </xdr:from>
    <xdr:to>
      <xdr:col>19</xdr:col>
      <xdr:colOff>548986</xdr:colOff>
      <xdr:row>28</xdr:row>
      <xdr:rowOff>108071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8BB13218-04A6-448E-A3F4-43CE00E76AFA}"/>
            </a:ext>
          </a:extLst>
        </xdr:cNvPr>
        <xdr:cNvGrpSpPr/>
      </xdr:nvGrpSpPr>
      <xdr:grpSpPr>
        <a:xfrm>
          <a:off x="285750" y="5019675"/>
          <a:ext cx="10713522" cy="318075"/>
          <a:chOff x="323850" y="6010275"/>
          <a:chExt cx="10264486" cy="327146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05D9D1F1-04F4-A07A-A7AB-D4A1031D0F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6DD0E2F2-F068-1650-419A-33D98B5684A2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2" name="Imagem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D074A7D2-05FB-FA9F-2D53-C4CFA1F1B0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BD5586D3-648F-D70D-C091-ED876A5675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7B7748AE-1760-E8EB-3744-76FFD1CFE6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618BAEC7-00C1-5057-333E-929547388BA7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20180223</a:t>
            </a:r>
          </a:p>
        </xdr:txBody>
      </xdr:sp>
    </xdr:grp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0.01818</cdr:x>
      <cdr:y>0.01262</cdr:y>
    </cdr:from>
    <cdr:to>
      <cdr:x>0.17273</cdr:x>
      <cdr:y>0.09779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261F3448-65F5-4512-851F-68054C438D2C}"/>
            </a:ext>
          </a:extLst>
        </cdr:cNvPr>
        <cdr:cNvSpPr txBox="1"/>
      </cdr:nvSpPr>
      <cdr:spPr>
        <a:xfrm xmlns:a="http://schemas.openxmlformats.org/drawingml/2006/main">
          <a:off x="76200" y="38100"/>
          <a:ext cx="6477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/>
            <a:t>ey</a:t>
          </a:r>
          <a:r>
            <a:rPr lang="pt-BR" sz="1100" b="1" baseline="0"/>
            <a:t> (cm)</a:t>
          </a:r>
          <a:endParaRPr lang="pt-BR" sz="1100" b="1"/>
        </a:p>
      </cdr:txBody>
    </cdr:sp>
  </cdr:relSizeAnchor>
  <cdr:relSizeAnchor xmlns:cdr="http://schemas.openxmlformats.org/drawingml/2006/chartDrawing">
    <cdr:from>
      <cdr:x>0.84545</cdr:x>
      <cdr:y>0.84858</cdr:y>
    </cdr:from>
    <cdr:to>
      <cdr:x>1</cdr:x>
      <cdr:y>0.93375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BFC01920-CAAE-4022-9519-54791AE7A06C}"/>
            </a:ext>
          </a:extLst>
        </cdr:cNvPr>
        <cdr:cNvSpPr txBox="1"/>
      </cdr:nvSpPr>
      <cdr:spPr>
        <a:xfrm xmlns:a="http://schemas.openxmlformats.org/drawingml/2006/main">
          <a:off x="4340543" y="2562225"/>
          <a:ext cx="793432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/>
            <a:t>ex</a:t>
          </a:r>
          <a:r>
            <a:rPr lang="pt-BR" sz="1100" b="1" baseline="0"/>
            <a:t> (cm)</a:t>
          </a:r>
          <a:endParaRPr lang="pt-BR" sz="1100" b="1"/>
        </a:p>
      </cdr:txBody>
    </cdr:sp>
  </cdr:relSizeAnchor>
</c:userShap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BAB5-48ED-4AFB-A76D-C24DEA3C0CEE}">
  <dimension ref="B1:AC103"/>
  <sheetViews>
    <sheetView tabSelected="1" zoomScale="140" zoomScaleNormal="140" workbookViewId="0">
      <selection activeCell="E13" sqref="E13"/>
    </sheetView>
  </sheetViews>
  <sheetFormatPr defaultColWidth="9.1796875" defaultRowHeight="14.5" x14ac:dyDescent="0.35"/>
  <cols>
    <col min="1" max="2" width="4.54296875" style="8" customWidth="1"/>
    <col min="3" max="3" width="9.1796875" style="8"/>
    <col min="4" max="4" width="9.1796875" style="8" bestFit="1" customWidth="1"/>
    <col min="5" max="5" width="13" style="8" customWidth="1"/>
    <col min="6" max="6" width="9.1796875" style="8"/>
    <col min="7" max="8" width="4.54296875" style="8" customWidth="1"/>
    <col min="9" max="9" width="8.81640625" style="10" bestFit="1" customWidth="1"/>
    <col min="10" max="10" width="10.54296875" style="8" customWidth="1"/>
    <col min="11" max="11" width="4.54296875" style="8" customWidth="1"/>
    <col min="12" max="12" width="8" style="10" customWidth="1"/>
    <col min="13" max="13" width="10.54296875" style="8" customWidth="1"/>
    <col min="14" max="14" width="4.54296875" style="8" customWidth="1"/>
    <col min="15" max="15" width="7.26953125" style="8" customWidth="1"/>
    <col min="16" max="16" width="4.54296875" style="8" customWidth="1"/>
    <col min="17" max="18" width="10.54296875" style="8" customWidth="1"/>
    <col min="19" max="19" width="11.1796875" style="8" customWidth="1"/>
    <col min="20" max="21" width="12.54296875" style="8" customWidth="1"/>
    <col min="22" max="26" width="9.1796875" style="8"/>
    <col min="27" max="29" width="0" style="8" hidden="1" customWidth="1"/>
    <col min="30" max="16384" width="9.1796875" style="8"/>
  </cols>
  <sheetData>
    <row r="1" spans="2:29" ht="15" thickBot="1" x14ac:dyDescent="0.4"/>
    <row r="2" spans="2:29" ht="15" thickBot="1" x14ac:dyDescent="0.4">
      <c r="B2" s="21"/>
      <c r="C2" s="22"/>
      <c r="D2" s="22"/>
      <c r="E2" s="22"/>
      <c r="F2" s="22"/>
      <c r="G2" s="23"/>
      <c r="AA2" s="8" t="s">
        <v>50</v>
      </c>
      <c r="AB2" s="10" t="s">
        <v>45</v>
      </c>
      <c r="AC2" s="8" t="s">
        <v>49</v>
      </c>
    </row>
    <row r="3" spans="2:29" ht="15" customHeight="1" x14ac:dyDescent="0.35">
      <c r="B3" s="24"/>
      <c r="C3" s="35" t="s">
        <v>2</v>
      </c>
      <c r="D3" s="36"/>
      <c r="E3" s="36"/>
      <c r="F3" s="37"/>
      <c r="G3" s="25"/>
      <c r="I3" s="41" t="s">
        <v>27</v>
      </c>
      <c r="J3" s="42"/>
      <c r="L3" s="41" t="s">
        <v>29</v>
      </c>
      <c r="M3" s="42"/>
      <c r="O3" s="30" t="s">
        <v>31</v>
      </c>
      <c r="P3" s="30"/>
      <c r="Q3" s="30"/>
      <c r="R3" s="30"/>
      <c r="S3" s="30"/>
      <c r="T3" s="30"/>
      <c r="U3" s="30"/>
      <c r="AA3" s="8">
        <v>0</v>
      </c>
      <c r="AB3" s="8">
        <f>AA3*E$22/E$12/100</f>
        <v>0</v>
      </c>
      <c r="AC3" s="8">
        <f>E$23/E$12*(1-(AB3/$AB$103)^1.2)^(1/1.2)</f>
        <v>6.5024958402662234</v>
      </c>
    </row>
    <row r="4" spans="2:29" ht="15" thickBot="1" x14ac:dyDescent="0.4">
      <c r="B4" s="24"/>
      <c r="C4" s="38"/>
      <c r="D4" s="39"/>
      <c r="E4" s="39"/>
      <c r="F4" s="40"/>
      <c r="G4" s="25"/>
      <c r="I4" s="43"/>
      <c r="J4" s="44"/>
      <c r="L4" s="43"/>
      <c r="M4" s="44"/>
      <c r="O4" s="18" t="s">
        <v>55</v>
      </c>
      <c r="P4" s="18" t="s">
        <v>32</v>
      </c>
      <c r="Q4" s="18" t="s">
        <v>24</v>
      </c>
      <c r="R4" s="18" t="s">
        <v>25</v>
      </c>
      <c r="S4" s="18" t="s">
        <v>5</v>
      </c>
      <c r="T4" s="18" t="s">
        <v>53</v>
      </c>
      <c r="U4" s="18" t="s">
        <v>54</v>
      </c>
      <c r="AA4" s="8">
        <v>1</v>
      </c>
      <c r="AB4" s="8">
        <f>AA4*E$22/E$12/100</f>
        <v>3.8735440931780364E-2</v>
      </c>
      <c r="AC4" s="8">
        <f t="shared" ref="AC4:AC67" si="0">E$23/E$12*(1-(AB4/$AB$103)^1.2)^(1/1.2)</f>
        <v>6.4809162538792382</v>
      </c>
    </row>
    <row r="5" spans="2:29" x14ac:dyDescent="0.35">
      <c r="B5" s="24"/>
      <c r="C5" s="1"/>
      <c r="D5" s="1"/>
      <c r="E5" s="1"/>
      <c r="F5" s="1"/>
      <c r="G5" s="25"/>
      <c r="I5" s="11" t="s">
        <v>39</v>
      </c>
      <c r="J5" s="12">
        <f>E13/E12</f>
        <v>2.750415973377704</v>
      </c>
      <c r="L5" s="13" t="s">
        <v>17</v>
      </c>
      <c r="M5" s="14">
        <f>3.46*E9/E7</f>
        <v>32.778947368421051</v>
      </c>
      <c r="O5" s="31" t="s">
        <v>56</v>
      </c>
      <c r="P5" s="16" t="s">
        <v>33</v>
      </c>
      <c r="Q5" s="17">
        <f>MAX(J5,J10)</f>
        <v>2.750415973377704</v>
      </c>
      <c r="R5" s="17">
        <f>J14</f>
        <v>0</v>
      </c>
      <c r="S5" s="19">
        <f>E12</f>
        <v>601</v>
      </c>
      <c r="T5" s="20">
        <f>S5*Q5</f>
        <v>1653.0000000000002</v>
      </c>
      <c r="U5" s="20">
        <f>S5*R5</f>
        <v>0</v>
      </c>
      <c r="AA5" s="8">
        <v>2</v>
      </c>
      <c r="AB5" s="8">
        <f t="shared" ref="AB5:AB68" si="1">AA5*E$22/E$12/100</f>
        <v>7.7470881863560728E-2</v>
      </c>
      <c r="AC5" s="8">
        <f t="shared" si="0"/>
        <v>6.4528975282397338</v>
      </c>
    </row>
    <row r="6" spans="2:29" x14ac:dyDescent="0.35">
      <c r="B6" s="24"/>
      <c r="C6" s="1"/>
      <c r="D6" s="33" t="s">
        <v>0</v>
      </c>
      <c r="E6" s="34"/>
      <c r="F6" s="1"/>
      <c r="G6" s="25"/>
      <c r="I6" s="11" t="s">
        <v>40</v>
      </c>
      <c r="J6" s="12">
        <f>E14/E12</f>
        <v>2.750415973377704</v>
      </c>
      <c r="L6" s="13" t="s">
        <v>20</v>
      </c>
      <c r="M6" s="14">
        <f>IF(J7&lt;J10,1,MAX(0.6+0.4*J8/J7,0.4))</f>
        <v>0.4</v>
      </c>
      <c r="O6" s="32"/>
      <c r="P6" s="16" t="s">
        <v>34</v>
      </c>
      <c r="Q6" s="17">
        <f>J5</f>
        <v>2.750415973377704</v>
      </c>
      <c r="R6" s="17">
        <f>MAX(J14,J19)</f>
        <v>2.4</v>
      </c>
      <c r="S6" s="19">
        <f>S5</f>
        <v>601</v>
      </c>
      <c r="T6" s="20">
        <f t="shared" ref="T6:T10" si="2">S6*Q6</f>
        <v>1653.0000000000002</v>
      </c>
      <c r="U6" s="20">
        <f t="shared" ref="U6:U10" si="3">S6*R6</f>
        <v>1442.3999999999999</v>
      </c>
      <c r="AA6" s="8">
        <v>3</v>
      </c>
      <c r="AB6" s="8">
        <f t="shared" si="1"/>
        <v>0.1162063227953411</v>
      </c>
      <c r="AC6" s="8">
        <f t="shared" si="0"/>
        <v>6.4217750137680474</v>
      </c>
    </row>
    <row r="7" spans="2:29" x14ac:dyDescent="0.35">
      <c r="B7" s="24"/>
      <c r="C7" s="1"/>
      <c r="D7" s="3" t="s">
        <v>1</v>
      </c>
      <c r="E7" s="4">
        <v>19</v>
      </c>
      <c r="F7" s="1"/>
      <c r="G7" s="25"/>
      <c r="I7" s="11" t="s">
        <v>9</v>
      </c>
      <c r="J7" s="12">
        <f>MAX(J5:J6)</f>
        <v>2.750415973377704</v>
      </c>
      <c r="L7" s="13" t="s">
        <v>19</v>
      </c>
      <c r="M7" s="14">
        <f>MAX(MIN((25+12.5*J7/E7)/M6,90),35)</f>
        <v>67.023710482529111</v>
      </c>
      <c r="O7" s="31" t="s">
        <v>57</v>
      </c>
      <c r="P7" s="16" t="s">
        <v>35</v>
      </c>
      <c r="Q7" s="17">
        <f>MAX(J6,J10)</f>
        <v>2.750415973377704</v>
      </c>
      <c r="R7" s="17">
        <f>J15</f>
        <v>0</v>
      </c>
      <c r="S7" s="19">
        <f t="shared" ref="S7:S10" si="4">S6</f>
        <v>601</v>
      </c>
      <c r="T7" s="20">
        <f t="shared" si="2"/>
        <v>1653.0000000000002</v>
      </c>
      <c r="U7" s="20">
        <f t="shared" si="3"/>
        <v>0</v>
      </c>
      <c r="AA7" s="8">
        <v>4</v>
      </c>
      <c r="AB7" s="8">
        <f t="shared" si="1"/>
        <v>0.15494176372712146</v>
      </c>
      <c r="AC7" s="8">
        <f t="shared" si="0"/>
        <v>6.3884349140392134</v>
      </c>
    </row>
    <row r="8" spans="2:29" x14ac:dyDescent="0.35">
      <c r="B8" s="24"/>
      <c r="C8" s="1"/>
      <c r="D8" s="3" t="s">
        <v>3</v>
      </c>
      <c r="E8" s="4">
        <v>30</v>
      </c>
      <c r="F8" s="1"/>
      <c r="G8" s="25"/>
      <c r="I8" s="11" t="s">
        <v>10</v>
      </c>
      <c r="J8" s="12">
        <f>-MIN(J5:J6)</f>
        <v>-2.750415973377704</v>
      </c>
      <c r="L8" s="13" t="s">
        <v>23</v>
      </c>
      <c r="M8" s="12">
        <f>IF(M5&lt;=M7,0,0.0005*E$9^2/((MAX(E$12/(E$7*E$8*E$19/1.4),0.5)+0.5)*E7))</f>
        <v>0</v>
      </c>
      <c r="O8" s="32"/>
      <c r="P8" s="16" t="s">
        <v>36</v>
      </c>
      <c r="Q8" s="17">
        <f>J6</f>
        <v>2.750415973377704</v>
      </c>
      <c r="R8" s="17">
        <f>MAX(J15,J19)</f>
        <v>2.4</v>
      </c>
      <c r="S8" s="19">
        <f t="shared" si="4"/>
        <v>601</v>
      </c>
      <c r="T8" s="20">
        <f t="shared" si="2"/>
        <v>1653.0000000000002</v>
      </c>
      <c r="U8" s="20">
        <f t="shared" si="3"/>
        <v>1442.3999999999999</v>
      </c>
      <c r="AA8" s="8">
        <v>5</v>
      </c>
      <c r="AB8" s="8">
        <f t="shared" si="1"/>
        <v>0.19367720465890184</v>
      </c>
      <c r="AC8" s="8">
        <f t="shared" si="0"/>
        <v>6.353331018271084</v>
      </c>
    </row>
    <row r="9" spans="2:29" x14ac:dyDescent="0.35">
      <c r="B9" s="24"/>
      <c r="C9" s="1"/>
      <c r="D9" s="3" t="s">
        <v>4</v>
      </c>
      <c r="E9" s="4">
        <v>180</v>
      </c>
      <c r="F9" s="1"/>
      <c r="G9" s="25"/>
      <c r="I9" s="11" t="s">
        <v>11</v>
      </c>
      <c r="J9" s="12">
        <f>MAX(0.6*J7+0.4*J8,0.4*J7)</f>
        <v>1.1001663893510816</v>
      </c>
      <c r="O9" s="31" t="s">
        <v>58</v>
      </c>
      <c r="P9" s="16" t="s">
        <v>43</v>
      </c>
      <c r="Q9" s="17">
        <f>MAX(J9,J10)+M8</f>
        <v>2.0699999999999998</v>
      </c>
      <c r="R9" s="17">
        <f>J18</f>
        <v>0</v>
      </c>
      <c r="S9" s="19">
        <f t="shared" si="4"/>
        <v>601</v>
      </c>
      <c r="T9" s="20">
        <f t="shared" si="2"/>
        <v>1244.07</v>
      </c>
      <c r="U9" s="20">
        <f t="shared" si="3"/>
        <v>0</v>
      </c>
      <c r="AA9" s="8">
        <v>6</v>
      </c>
      <c r="AB9" s="8">
        <f t="shared" si="1"/>
        <v>0.2324126455906822</v>
      </c>
      <c r="AC9" s="8">
        <f t="shared" si="0"/>
        <v>6.3167443408983059</v>
      </c>
    </row>
    <row r="10" spans="2:29" x14ac:dyDescent="0.35">
      <c r="B10" s="24"/>
      <c r="C10" s="1"/>
      <c r="D10" s="1"/>
      <c r="E10" s="9"/>
      <c r="F10" s="1"/>
      <c r="G10" s="25"/>
      <c r="I10" s="11" t="s">
        <v>12</v>
      </c>
      <c r="J10" s="12">
        <f>1.5+0.03*E7</f>
        <v>2.0699999999999998</v>
      </c>
      <c r="O10" s="32"/>
      <c r="P10" s="16" t="s">
        <v>44</v>
      </c>
      <c r="Q10" s="17">
        <f>J9</f>
        <v>1.1001663893510816</v>
      </c>
      <c r="R10" s="17">
        <f>MAX(J18,J19)+M17</f>
        <v>2.4</v>
      </c>
      <c r="S10" s="19">
        <f t="shared" si="4"/>
        <v>601</v>
      </c>
      <c r="T10" s="20">
        <f t="shared" si="2"/>
        <v>661.2</v>
      </c>
      <c r="U10" s="20">
        <f t="shared" si="3"/>
        <v>1442.3999999999999</v>
      </c>
      <c r="AA10" s="8">
        <v>7</v>
      </c>
      <c r="AB10" s="8">
        <f t="shared" si="1"/>
        <v>0.27114808652246258</v>
      </c>
      <c r="AC10" s="8">
        <f t="shared" si="0"/>
        <v>6.2788676190458386</v>
      </c>
    </row>
    <row r="11" spans="2:29" x14ac:dyDescent="0.35">
      <c r="B11" s="24"/>
      <c r="C11" s="26"/>
      <c r="D11" s="33" t="s">
        <v>51</v>
      </c>
      <c r="E11" s="34"/>
      <c r="F11" s="26"/>
      <c r="G11" s="25"/>
      <c r="AA11" s="8">
        <v>8</v>
      </c>
      <c r="AB11" s="8">
        <f t="shared" si="1"/>
        <v>0.30988352745424291</v>
      </c>
      <c r="AC11" s="8">
        <f t="shared" si="0"/>
        <v>6.2398418905455344</v>
      </c>
    </row>
    <row r="12" spans="2:29" x14ac:dyDescent="0.35">
      <c r="B12" s="24"/>
      <c r="C12" s="26"/>
      <c r="D12" s="3" t="s">
        <v>5</v>
      </c>
      <c r="E12" s="7">
        <v>601</v>
      </c>
      <c r="F12" s="26"/>
      <c r="G12" s="25"/>
      <c r="I12" s="41" t="s">
        <v>28</v>
      </c>
      <c r="J12" s="42"/>
      <c r="L12" s="41" t="s">
        <v>30</v>
      </c>
      <c r="M12" s="42"/>
      <c r="AA12" s="8">
        <v>9</v>
      </c>
      <c r="AB12" s="8">
        <f t="shared" si="1"/>
        <v>0.34861896838602324</v>
      </c>
      <c r="AC12" s="8">
        <f t="shared" si="0"/>
        <v>6.1997751058674249</v>
      </c>
    </row>
    <row r="13" spans="2:29" x14ac:dyDescent="0.35">
      <c r="B13" s="24"/>
      <c r="C13" s="26"/>
      <c r="D13" s="3" t="s">
        <v>6</v>
      </c>
      <c r="E13" s="5">
        <v>1653</v>
      </c>
      <c r="F13" s="26"/>
      <c r="G13" s="25"/>
      <c r="I13" s="43"/>
      <c r="J13" s="44"/>
      <c r="L13" s="43"/>
      <c r="M13" s="44"/>
      <c r="AA13" s="8">
        <v>10</v>
      </c>
      <c r="AB13" s="8">
        <f t="shared" si="1"/>
        <v>0.38735440931780368</v>
      </c>
      <c r="AC13" s="8">
        <f t="shared" si="0"/>
        <v>6.1587526652113675</v>
      </c>
    </row>
    <row r="14" spans="2:29" x14ac:dyDescent="0.35">
      <c r="B14" s="24"/>
      <c r="C14" s="26"/>
      <c r="D14" s="3" t="s">
        <v>7</v>
      </c>
      <c r="E14" s="5">
        <v>1653</v>
      </c>
      <c r="F14" s="26"/>
      <c r="G14" s="25"/>
      <c r="I14" s="11" t="s">
        <v>41</v>
      </c>
      <c r="J14" s="12">
        <f>E15/E12</f>
        <v>0</v>
      </c>
      <c r="L14" s="13" t="s">
        <v>18</v>
      </c>
      <c r="M14" s="15">
        <f>3.46*E9/E8</f>
        <v>20.759999999999998</v>
      </c>
      <c r="AA14" s="8">
        <v>11</v>
      </c>
      <c r="AB14" s="8">
        <f t="shared" si="1"/>
        <v>0.42608985024958401</v>
      </c>
      <c r="AC14" s="8">
        <f t="shared" si="0"/>
        <v>6.1168438584688563</v>
      </c>
    </row>
    <row r="15" spans="2:29" x14ac:dyDescent="0.35">
      <c r="B15" s="24"/>
      <c r="C15" s="26"/>
      <c r="D15" s="3" t="s">
        <v>37</v>
      </c>
      <c r="E15" s="5">
        <v>0</v>
      </c>
      <c r="F15" s="26"/>
      <c r="G15" s="25"/>
      <c r="I15" s="11" t="s">
        <v>42</v>
      </c>
      <c r="J15" s="12">
        <f>E16/E12</f>
        <v>0</v>
      </c>
      <c r="L15" s="13" t="s">
        <v>21</v>
      </c>
      <c r="M15" s="14">
        <f>IF(J16&lt;J19,1,MAX(0.6+0.4*J17/J16,0.4))</f>
        <v>1</v>
      </c>
      <c r="AA15" s="8">
        <v>12</v>
      </c>
      <c r="AB15" s="8">
        <f t="shared" si="1"/>
        <v>0.4648252911813644</v>
      </c>
      <c r="AC15" s="8">
        <f t="shared" si="0"/>
        <v>6.0741060354438368</v>
      </c>
    </row>
    <row r="16" spans="2:29" x14ac:dyDescent="0.35">
      <c r="B16" s="24"/>
      <c r="C16" s="26"/>
      <c r="D16" s="3" t="s">
        <v>38</v>
      </c>
      <c r="E16" s="5">
        <v>0</v>
      </c>
      <c r="F16" s="26"/>
      <c r="G16" s="25"/>
      <c r="I16" s="11" t="s">
        <v>13</v>
      </c>
      <c r="J16" s="12">
        <f>MAX(J14:J15)</f>
        <v>0</v>
      </c>
      <c r="L16" s="13" t="s">
        <v>22</v>
      </c>
      <c r="M16" s="14">
        <f>MAX(MIN((25+12.5*J16/E8)/M15,90),35)</f>
        <v>35</v>
      </c>
      <c r="AA16" s="8">
        <v>13</v>
      </c>
      <c r="AB16" s="8">
        <f t="shared" si="1"/>
        <v>0.50356073211314478</v>
      </c>
      <c r="AC16" s="8">
        <f t="shared" si="0"/>
        <v>6.0305874315859649</v>
      </c>
    </row>
    <row r="17" spans="2:29" x14ac:dyDescent="0.35">
      <c r="B17" s="24"/>
      <c r="C17" s="26"/>
      <c r="D17" s="26"/>
      <c r="E17" s="26"/>
      <c r="F17" s="26"/>
      <c r="G17" s="25"/>
      <c r="I17" s="11" t="s">
        <v>14</v>
      </c>
      <c r="J17" s="12">
        <f>-MIN(J14:J15)</f>
        <v>0</v>
      </c>
      <c r="L17" s="13" t="s">
        <v>26</v>
      </c>
      <c r="M17" s="12">
        <f>IF(M14&lt;=M16,0,0.0005*E$9^2/((MAX(E$12/(E$7*E$8*E$19/1.4),0.5)+0.5)*E8))</f>
        <v>0</v>
      </c>
      <c r="AA17" s="8">
        <v>14</v>
      </c>
      <c r="AB17" s="8">
        <f t="shared" si="1"/>
        <v>0.54229617304492517</v>
      </c>
      <c r="AC17" s="8">
        <f t="shared" si="0"/>
        <v>5.9863291540264649</v>
      </c>
    </row>
    <row r="18" spans="2:29" x14ac:dyDescent="0.35">
      <c r="B18" s="24"/>
      <c r="C18" s="26"/>
      <c r="D18" s="33" t="s">
        <v>52</v>
      </c>
      <c r="E18" s="34"/>
      <c r="F18" s="26"/>
      <c r="G18" s="25"/>
      <c r="I18" s="11" t="s">
        <v>15</v>
      </c>
      <c r="J18" s="12">
        <f>MAX(0.6*J16+0.4*J17,0.4*J16)</f>
        <v>0</v>
      </c>
      <c r="AA18" s="8">
        <v>15</v>
      </c>
      <c r="AB18" s="8">
        <f t="shared" si="1"/>
        <v>0.58103161397670544</v>
      </c>
      <c r="AC18" s="8">
        <f t="shared" si="0"/>
        <v>5.9413666201530058</v>
      </c>
    </row>
    <row r="19" spans="2:29" x14ac:dyDescent="0.35">
      <c r="B19" s="24"/>
      <c r="C19" s="26"/>
      <c r="D19" s="2" t="s">
        <v>8</v>
      </c>
      <c r="E19" s="6">
        <v>2.5</v>
      </c>
      <c r="F19" s="26"/>
      <c r="G19" s="25"/>
      <c r="I19" s="11" t="s">
        <v>16</v>
      </c>
      <c r="J19" s="12">
        <f>1.5+0.03*E8</f>
        <v>2.4</v>
      </c>
      <c r="AA19" s="8">
        <v>16</v>
      </c>
      <c r="AB19" s="8">
        <f t="shared" si="1"/>
        <v>0.61976705490848583</v>
      </c>
      <c r="AC19" s="8">
        <f t="shared" si="0"/>
        <v>5.895730626302055</v>
      </c>
    </row>
    <row r="20" spans="2:29" x14ac:dyDescent="0.35">
      <c r="B20" s="24"/>
      <c r="C20" s="26"/>
      <c r="D20" s="26"/>
      <c r="E20" s="26"/>
      <c r="F20" s="26"/>
      <c r="G20" s="25"/>
      <c r="AA20" s="8">
        <v>17</v>
      </c>
      <c r="AB20" s="8">
        <f t="shared" si="1"/>
        <v>0.65850249584026632</v>
      </c>
      <c r="AC20" s="8">
        <f t="shared" si="0"/>
        <v>5.8494481589160054</v>
      </c>
    </row>
    <row r="21" spans="2:29" x14ac:dyDescent="0.35">
      <c r="B21" s="24"/>
      <c r="C21" s="26"/>
      <c r="D21" s="33" t="s">
        <v>46</v>
      </c>
      <c r="E21" s="34"/>
      <c r="F21" s="26"/>
      <c r="G21" s="25"/>
      <c r="AA21" s="8">
        <v>18</v>
      </c>
      <c r="AB21" s="8">
        <f t="shared" si="1"/>
        <v>0.69723793677204648</v>
      </c>
      <c r="AC21" s="8">
        <f t="shared" si="0"/>
        <v>5.8025430217124896</v>
      </c>
    </row>
    <row r="22" spans="2:29" x14ac:dyDescent="0.35">
      <c r="B22" s="24"/>
      <c r="C22" s="26"/>
      <c r="D22" s="3" t="s">
        <v>47</v>
      </c>
      <c r="E22" s="5">
        <v>2328</v>
      </c>
      <c r="F22" s="26"/>
      <c r="G22" s="25"/>
      <c r="AA22" s="8">
        <v>19</v>
      </c>
      <c r="AB22" s="8">
        <f t="shared" si="1"/>
        <v>0.73597337770382698</v>
      </c>
      <c r="AC22" s="8">
        <f t="shared" si="0"/>
        <v>5.7550363284449775</v>
      </c>
    </row>
    <row r="23" spans="2:29" x14ac:dyDescent="0.35">
      <c r="B23" s="24"/>
      <c r="C23" s="26"/>
      <c r="D23" s="3" t="s">
        <v>48</v>
      </c>
      <c r="E23" s="5">
        <v>3908</v>
      </c>
      <c r="F23" s="26"/>
      <c r="G23" s="25"/>
      <c r="AA23" s="8">
        <v>20</v>
      </c>
      <c r="AB23" s="8">
        <f t="shared" si="1"/>
        <v>0.77470881863560737</v>
      </c>
      <c r="AC23" s="8">
        <f t="shared" si="0"/>
        <v>5.7069468955377829</v>
      </c>
    </row>
    <row r="24" spans="2:29" ht="15" thickBot="1" x14ac:dyDescent="0.4">
      <c r="B24" s="27"/>
      <c r="C24" s="28"/>
      <c r="D24" s="28"/>
      <c r="E24" s="28"/>
      <c r="F24" s="28"/>
      <c r="G24" s="29"/>
      <c r="AA24" s="8">
        <v>21</v>
      </c>
      <c r="AB24" s="8">
        <f t="shared" si="1"/>
        <v>0.81344425956738775</v>
      </c>
      <c r="AC24" s="8">
        <f t="shared" si="0"/>
        <v>5.6582915588360114</v>
      </c>
    </row>
    <row r="25" spans="2:29" x14ac:dyDescent="0.35">
      <c r="AA25" s="8">
        <v>22</v>
      </c>
      <c r="AB25" s="8">
        <f t="shared" si="1"/>
        <v>0.85217970049916802</v>
      </c>
      <c r="AC25" s="8">
        <f t="shared" si="0"/>
        <v>5.6090854319512902</v>
      </c>
    </row>
    <row r="26" spans="2:29" x14ac:dyDescent="0.35">
      <c r="AA26" s="8">
        <v>23</v>
      </c>
      <c r="AB26" s="8">
        <f t="shared" si="1"/>
        <v>0.89091514143094841</v>
      </c>
      <c r="AC26" s="8">
        <f t="shared" si="0"/>
        <v>5.559342119032312</v>
      </c>
    </row>
    <row r="27" spans="2:29" x14ac:dyDescent="0.35">
      <c r="AA27" s="8">
        <v>24</v>
      </c>
      <c r="AB27" s="8">
        <f t="shared" si="1"/>
        <v>0.92965058236272879</v>
      </c>
      <c r="AC27" s="8">
        <f t="shared" si="0"/>
        <v>5.5090738915243094</v>
      </c>
    </row>
    <row r="28" spans="2:29" x14ac:dyDescent="0.35">
      <c r="AA28" s="8">
        <v>25</v>
      </c>
      <c r="AB28" s="8">
        <f t="shared" si="1"/>
        <v>0.96838602329450918</v>
      </c>
      <c r="AC28" s="8">
        <f t="shared" si="0"/>
        <v>5.4582918361489305</v>
      </c>
    </row>
    <row r="29" spans="2:29" x14ac:dyDescent="0.35">
      <c r="AA29" s="8">
        <v>26</v>
      </c>
      <c r="AB29" s="8">
        <f t="shared" si="1"/>
        <v>1.0071214642262896</v>
      </c>
      <c r="AC29" s="8">
        <f t="shared" si="0"/>
        <v>5.40700597964255</v>
      </c>
    </row>
    <row r="30" spans="2:29" x14ac:dyDescent="0.35">
      <c r="AA30" s="8">
        <v>27</v>
      </c>
      <c r="AB30" s="8">
        <f t="shared" si="1"/>
        <v>1.0458569051580699</v>
      </c>
      <c r="AC30" s="8">
        <f t="shared" si="0"/>
        <v>5.3552253945435231</v>
      </c>
    </row>
    <row r="31" spans="2:29" x14ac:dyDescent="0.35">
      <c r="AA31" s="8">
        <v>28</v>
      </c>
      <c r="AB31" s="8">
        <f t="shared" si="1"/>
        <v>1.0845923460898503</v>
      </c>
      <c r="AC31" s="8">
        <f t="shared" si="0"/>
        <v>5.3029582893875302</v>
      </c>
    </row>
    <row r="32" spans="2:29" x14ac:dyDescent="0.35">
      <c r="AA32" s="8">
        <v>29</v>
      </c>
      <c r="AB32" s="8">
        <f t="shared" si="1"/>
        <v>1.1233277870216307</v>
      </c>
      <c r="AC32" s="8">
        <f t="shared" si="0"/>
        <v>5.2502120859662913</v>
      </c>
    </row>
    <row r="33" spans="27:29" x14ac:dyDescent="0.35">
      <c r="AA33" s="8">
        <v>30</v>
      </c>
      <c r="AB33" s="8">
        <f t="shared" si="1"/>
        <v>1.1620632279534109</v>
      </c>
      <c r="AC33" s="8">
        <f t="shared" si="0"/>
        <v>5.1969934857668632</v>
      </c>
    </row>
    <row r="34" spans="27:29" x14ac:dyDescent="0.35">
      <c r="AA34" s="8">
        <v>31</v>
      </c>
      <c r="AB34" s="8">
        <f t="shared" si="1"/>
        <v>1.2007986688851913</v>
      </c>
      <c r="AC34" s="8">
        <f t="shared" si="0"/>
        <v>5.1433085272931178</v>
      </c>
    </row>
    <row r="35" spans="27:29" x14ac:dyDescent="0.35">
      <c r="AA35" s="8">
        <v>32</v>
      </c>
      <c r="AB35" s="8">
        <f t="shared" si="1"/>
        <v>1.2395341098169717</v>
      </c>
      <c r="AC35" s="8">
        <f t="shared" si="0"/>
        <v>5.0891626356467858</v>
      </c>
    </row>
    <row r="36" spans="27:29" x14ac:dyDescent="0.35">
      <c r="AA36" s="8">
        <v>33</v>
      </c>
      <c r="AB36" s="8">
        <f t="shared" si="1"/>
        <v>1.278269550748752</v>
      </c>
      <c r="AC36" s="8">
        <f t="shared" si="0"/>
        <v>5.0345606654901225</v>
      </c>
    </row>
    <row r="37" spans="27:29" x14ac:dyDescent="0.35">
      <c r="AA37" s="8">
        <v>34</v>
      </c>
      <c r="AB37" s="8">
        <f t="shared" si="1"/>
        <v>1.3170049916805326</v>
      </c>
      <c r="AC37" s="8">
        <f t="shared" si="0"/>
        <v>4.9795069383094708</v>
      </c>
    </row>
    <row r="38" spans="27:29" x14ac:dyDescent="0.35">
      <c r="AA38" s="8">
        <v>35</v>
      </c>
      <c r="AB38" s="8">
        <f t="shared" si="1"/>
        <v>1.3557404326123128</v>
      </c>
      <c r="AC38" s="8">
        <f t="shared" si="0"/>
        <v>4.924005274736599</v>
      </c>
    </row>
    <row r="39" spans="27:29" x14ac:dyDescent="0.35">
      <c r="AA39" s="8">
        <v>36</v>
      </c>
      <c r="AB39" s="8">
        <f t="shared" si="1"/>
        <v>1.394475873544093</v>
      </c>
      <c r="AC39" s="8">
        <f t="shared" si="0"/>
        <v>4.8680590225533793</v>
      </c>
    </row>
    <row r="40" spans="27:29" x14ac:dyDescent="0.35">
      <c r="AA40" s="8">
        <v>37</v>
      </c>
      <c r="AB40" s="8">
        <f t="shared" si="1"/>
        <v>1.4332113144758736</v>
      </c>
      <c r="AC40" s="8">
        <f t="shared" si="0"/>
        <v>4.8116710808986882</v>
      </c>
    </row>
    <row r="41" spans="27:29" x14ac:dyDescent="0.35">
      <c r="AA41" s="8">
        <v>38</v>
      </c>
      <c r="AB41" s="8">
        <f t="shared" si="1"/>
        <v>1.471946755407654</v>
      </c>
      <c r="AC41" s="8">
        <f t="shared" si="0"/>
        <v>4.7548439211086144</v>
      </c>
    </row>
    <row r="42" spans="27:29" x14ac:dyDescent="0.35">
      <c r="AA42" s="8">
        <v>39</v>
      </c>
      <c r="AB42" s="8">
        <f t="shared" si="1"/>
        <v>1.5106821963394341</v>
      </c>
      <c r="AC42" s="8">
        <f t="shared" si="0"/>
        <v>4.6975796045485376</v>
      </c>
    </row>
    <row r="43" spans="27:29" x14ac:dyDescent="0.35">
      <c r="AA43" s="8">
        <v>40</v>
      </c>
      <c r="AB43" s="8">
        <f t="shared" si="1"/>
        <v>1.5494176372712147</v>
      </c>
      <c r="AC43" s="8">
        <f t="shared" si="0"/>
        <v>4.6398797977350901</v>
      </c>
    </row>
    <row r="44" spans="27:29" x14ac:dyDescent="0.35">
      <c r="AA44" s="8">
        <v>41</v>
      </c>
      <c r="AB44" s="8">
        <f t="shared" si="1"/>
        <v>1.5881530782029949</v>
      </c>
      <c r="AC44" s="8">
        <f t="shared" si="0"/>
        <v>4.5817457849949301</v>
      </c>
    </row>
    <row r="45" spans="27:29" x14ac:dyDescent="0.35">
      <c r="AA45" s="8">
        <v>42</v>
      </c>
      <c r="AB45" s="8">
        <f t="shared" si="1"/>
        <v>1.6268885191347755</v>
      </c>
      <c r="AC45" s="8">
        <f t="shared" si="0"/>
        <v>4.5231784788638816</v>
      </c>
    </row>
    <row r="46" spans="27:29" x14ac:dyDescent="0.35">
      <c r="AA46" s="8">
        <v>43</v>
      </c>
      <c r="AB46" s="8">
        <f t="shared" si="1"/>
        <v>1.6656239600665557</v>
      </c>
      <c r="AC46" s="8">
        <f t="shared" si="0"/>
        <v>4.4641784283925912</v>
      </c>
    </row>
    <row r="47" spans="27:29" x14ac:dyDescent="0.35">
      <c r="AA47" s="8">
        <v>44</v>
      </c>
      <c r="AB47" s="8">
        <f t="shared" si="1"/>
        <v>1.704359400998336</v>
      </c>
      <c r="AC47" s="8">
        <f t="shared" si="0"/>
        <v>4.4047458254923617</v>
      </c>
    </row>
    <row r="48" spans="27:29" x14ac:dyDescent="0.35">
      <c r="AA48" s="8">
        <v>45</v>
      </c>
      <c r="AB48" s="8">
        <f t="shared" si="1"/>
        <v>1.7430948419301167</v>
      </c>
      <c r="AC48" s="8">
        <f t="shared" si="0"/>
        <v>4.3448805094260399</v>
      </c>
    </row>
    <row r="49" spans="27:29" x14ac:dyDescent="0.35">
      <c r="AA49" s="8">
        <v>46</v>
      </c>
      <c r="AB49" s="8">
        <f t="shared" si="1"/>
        <v>1.7818302828618968</v>
      </c>
      <c r="AC49" s="8">
        <f t="shared" si="0"/>
        <v>4.2845819695230833</v>
      </c>
    </row>
    <row r="50" spans="27:29" x14ac:dyDescent="0.35">
      <c r="AA50" s="8">
        <v>47</v>
      </c>
      <c r="AB50" s="8">
        <f t="shared" si="1"/>
        <v>1.820565723793677</v>
      </c>
      <c r="AC50" s="8">
        <f t="shared" si="0"/>
        <v>4.2238493461743696</v>
      </c>
    </row>
    <row r="51" spans="27:29" x14ac:dyDescent="0.35">
      <c r="AA51" s="8">
        <v>48</v>
      </c>
      <c r="AB51" s="8">
        <f t="shared" si="1"/>
        <v>1.8593011647254576</v>
      </c>
      <c r="AC51" s="8">
        <f t="shared" si="0"/>
        <v>4.1626814301404069</v>
      </c>
    </row>
    <row r="52" spans="27:29" x14ac:dyDescent="0.35">
      <c r="AA52" s="8">
        <v>49</v>
      </c>
      <c r="AB52" s="8">
        <f t="shared" si="1"/>
        <v>1.898036605657238</v>
      </c>
      <c r="AC52" s="8">
        <f t="shared" si="0"/>
        <v>4.1010766601857833</v>
      </c>
    </row>
    <row r="53" spans="27:29" x14ac:dyDescent="0.35">
      <c r="AA53" s="8">
        <v>50</v>
      </c>
      <c r="AB53" s="8">
        <f t="shared" si="1"/>
        <v>1.9367720465890184</v>
      </c>
      <c r="AC53" s="8">
        <f t="shared" si="0"/>
        <v>4.039033119032438</v>
      </c>
    </row>
    <row r="54" spans="27:29" x14ac:dyDescent="0.35">
      <c r="AA54" s="8">
        <v>51</v>
      </c>
      <c r="AB54" s="8">
        <f t="shared" si="1"/>
        <v>1.9755074875207987</v>
      </c>
      <c r="AC54" s="8">
        <f t="shared" si="0"/>
        <v>3.9765485276042449</v>
      </c>
    </row>
    <row r="55" spans="27:29" x14ac:dyDescent="0.35">
      <c r="AA55" s="8">
        <v>52</v>
      </c>
      <c r="AB55" s="8">
        <f t="shared" si="1"/>
        <v>2.0142429284525791</v>
      </c>
      <c r="AC55" s="8">
        <f t="shared" si="0"/>
        <v>3.9136202375149551</v>
      </c>
    </row>
    <row r="56" spans="27:29" x14ac:dyDescent="0.35">
      <c r="AA56" s="8">
        <v>53</v>
      </c>
      <c r="AB56" s="8">
        <f t="shared" si="1"/>
        <v>2.0529783693843595</v>
      </c>
      <c r="AC56" s="8">
        <f t="shared" si="0"/>
        <v>3.8502452217303169</v>
      </c>
    </row>
    <row r="57" spans="27:29" x14ac:dyDescent="0.35">
      <c r="AA57" s="8">
        <v>54</v>
      </c>
      <c r="AB57" s="8">
        <f t="shared" si="1"/>
        <v>2.0917138103161399</v>
      </c>
      <c r="AC57" s="8">
        <f t="shared" si="0"/>
        <v>3.7864200633127463</v>
      </c>
    </row>
    <row r="58" spans="27:29" x14ac:dyDescent="0.35">
      <c r="AA58" s="8">
        <v>55</v>
      </c>
      <c r="AB58" s="8">
        <f t="shared" si="1"/>
        <v>2.1304492512479198</v>
      </c>
      <c r="AC58" s="8">
        <f t="shared" si="0"/>
        <v>3.7221409421325995</v>
      </c>
    </row>
    <row r="59" spans="27:29" x14ac:dyDescent="0.35">
      <c r="AA59" s="8">
        <v>56</v>
      </c>
      <c r="AB59" s="8">
        <f t="shared" si="1"/>
        <v>2.1691846921797007</v>
      </c>
      <c r="AC59" s="8">
        <f t="shared" si="0"/>
        <v>3.6574036194035715</v>
      </c>
    </row>
    <row r="60" spans="27:29" x14ac:dyDescent="0.35">
      <c r="AA60" s="8">
        <v>57</v>
      </c>
      <c r="AB60" s="8">
        <f t="shared" si="1"/>
        <v>2.2079201331114806</v>
      </c>
      <c r="AC60" s="8">
        <f t="shared" si="0"/>
        <v>3.5922034198700579</v>
      </c>
    </row>
    <row r="61" spans="27:29" x14ac:dyDescent="0.35">
      <c r="AA61" s="8">
        <v>58</v>
      </c>
      <c r="AB61" s="8">
        <f t="shared" si="1"/>
        <v>2.2466555740432614</v>
      </c>
      <c r="AC61" s="8">
        <f t="shared" si="0"/>
        <v>3.5265352114409829</v>
      </c>
    </row>
    <row r="62" spans="27:29" x14ac:dyDescent="0.35">
      <c r="AA62" s="8">
        <v>59</v>
      </c>
      <c r="AB62" s="8">
        <f t="shared" si="1"/>
        <v>2.2853910149750418</v>
      </c>
      <c r="AC62" s="8">
        <f t="shared" si="0"/>
        <v>3.4603933820265702</v>
      </c>
    </row>
    <row r="63" spans="27:29" x14ac:dyDescent="0.35">
      <c r="AA63" s="8">
        <v>60</v>
      </c>
      <c r="AB63" s="8">
        <f t="shared" si="1"/>
        <v>2.3241264559068218</v>
      </c>
      <c r="AC63" s="8">
        <f t="shared" si="0"/>
        <v>3.3937718132907069</v>
      </c>
    </row>
    <row r="64" spans="27:29" x14ac:dyDescent="0.35">
      <c r="AA64" s="8">
        <v>61</v>
      </c>
      <c r="AB64" s="8">
        <f t="shared" si="1"/>
        <v>2.3628618968386026</v>
      </c>
      <c r="AC64" s="8">
        <f t="shared" si="0"/>
        <v>3.326663850980847</v>
      </c>
    </row>
    <row r="65" spans="27:29" x14ac:dyDescent="0.35">
      <c r="AA65" s="8">
        <v>62</v>
      </c>
      <c r="AB65" s="8">
        <f t="shared" si="1"/>
        <v>2.4015973377703825</v>
      </c>
      <c r="AC65" s="8">
        <f t="shared" si="0"/>
        <v>3.2590622714379616</v>
      </c>
    </row>
    <row r="66" spans="27:29" x14ac:dyDescent="0.35">
      <c r="AA66" s="8">
        <v>63</v>
      </c>
      <c r="AB66" s="8">
        <f t="shared" si="1"/>
        <v>2.4403327787021629</v>
      </c>
      <c r="AC66" s="8">
        <f t="shared" si="0"/>
        <v>3.1909592438190488</v>
      </c>
    </row>
    <row r="67" spans="27:29" x14ac:dyDescent="0.35">
      <c r="AA67" s="8">
        <v>64</v>
      </c>
      <c r="AB67" s="8">
        <f t="shared" si="1"/>
        <v>2.4790682196339433</v>
      </c>
      <c r="AC67" s="8">
        <f t="shared" si="0"/>
        <v>3.1223462874818977</v>
      </c>
    </row>
    <row r="68" spans="27:29" x14ac:dyDescent="0.35">
      <c r="AA68" s="8">
        <v>65</v>
      </c>
      <c r="AB68" s="8">
        <f t="shared" si="1"/>
        <v>2.5178036605657237</v>
      </c>
      <c r="AC68" s="8">
        <f t="shared" ref="AC68:AC103" si="5">E$23/E$12*(1-(AB68/$AB$103)^1.2)^(1/1.2)</f>
        <v>3.0532142238827653</v>
      </c>
    </row>
    <row r="69" spans="27:29" x14ac:dyDescent="0.35">
      <c r="AA69" s="8">
        <v>66</v>
      </c>
      <c r="AB69" s="8">
        <f t="shared" ref="AB69:AB103" si="6">AA69*E$22/E$12/100</f>
        <v>2.5565391014975041</v>
      </c>
      <c r="AC69" s="8">
        <f t="shared" si="5"/>
        <v>2.9835531222189386</v>
      </c>
    </row>
    <row r="70" spans="27:29" x14ac:dyDescent="0.35">
      <c r="AA70" s="8">
        <v>67</v>
      </c>
      <c r="AB70" s="8">
        <f t="shared" si="6"/>
        <v>2.5952745424292845</v>
      </c>
      <c r="AC70" s="8">
        <f t="shared" si="5"/>
        <v>2.9133522379047769</v>
      </c>
    </row>
    <row r="71" spans="27:29" x14ac:dyDescent="0.35">
      <c r="AA71" s="8">
        <v>68</v>
      </c>
      <c r="AB71" s="8">
        <f t="shared" si="6"/>
        <v>2.6340099833610653</v>
      </c>
      <c r="AC71" s="8">
        <f t="shared" si="5"/>
        <v>2.8425999427956317</v>
      </c>
    </row>
    <row r="72" spans="27:29" x14ac:dyDescent="0.35">
      <c r="AA72" s="8">
        <v>69</v>
      </c>
      <c r="AB72" s="8">
        <f t="shared" si="6"/>
        <v>2.6727454242928452</v>
      </c>
      <c r="AC72" s="8">
        <f t="shared" si="5"/>
        <v>2.7712836458611223</v>
      </c>
    </row>
    <row r="73" spans="27:29" x14ac:dyDescent="0.35">
      <c r="AA73" s="8">
        <v>70</v>
      </c>
      <c r="AB73" s="8">
        <f t="shared" si="6"/>
        <v>2.7114808652246256</v>
      </c>
      <c r="AC73" s="8">
        <f t="shared" si="5"/>
        <v>2.6993897027472982</v>
      </c>
    </row>
    <row r="74" spans="27:29" x14ac:dyDescent="0.35">
      <c r="AA74" s="8">
        <v>71</v>
      </c>
      <c r="AB74" s="8">
        <f t="shared" si="6"/>
        <v>2.750216306156406</v>
      </c>
      <c r="AC74" s="8">
        <f t="shared" si="5"/>
        <v>2.6269033123428516</v>
      </c>
    </row>
    <row r="75" spans="27:29" x14ac:dyDescent="0.35">
      <c r="AA75" s="8">
        <v>72</v>
      </c>
      <c r="AB75" s="8">
        <f t="shared" si="6"/>
        <v>2.7889517470881859</v>
      </c>
      <c r="AC75" s="8">
        <f t="shared" si="5"/>
        <v>2.5538083980599868</v>
      </c>
    </row>
    <row r="76" spans="27:29" x14ac:dyDescent="0.35">
      <c r="AA76" s="8">
        <v>73</v>
      </c>
      <c r="AB76" s="8">
        <f t="shared" si="6"/>
        <v>2.8276871880199668</v>
      </c>
      <c r="AC76" s="8">
        <f t="shared" si="5"/>
        <v>2.480087471032479</v>
      </c>
    </row>
    <row r="77" spans="27:29" x14ac:dyDescent="0.35">
      <c r="AA77" s="8">
        <v>74</v>
      </c>
      <c r="AB77" s="8">
        <f t="shared" si="6"/>
        <v>2.8664226289517472</v>
      </c>
      <c r="AC77" s="8">
        <f t="shared" si="5"/>
        <v>2.4057214717901676</v>
      </c>
    </row>
    <row r="78" spans="27:29" x14ac:dyDescent="0.35">
      <c r="AA78" s="8">
        <v>75</v>
      </c>
      <c r="AB78" s="8">
        <f t="shared" si="6"/>
        <v>2.9051580698835271</v>
      </c>
      <c r="AC78" s="8">
        <f t="shared" si="5"/>
        <v>2.3306895861481589</v>
      </c>
    </row>
    <row r="79" spans="27:29" x14ac:dyDescent="0.35">
      <c r="AA79" s="8">
        <v>76</v>
      </c>
      <c r="AB79" s="8">
        <f t="shared" si="6"/>
        <v>2.9438935108153079</v>
      </c>
      <c r="AC79" s="8">
        <f t="shared" si="5"/>
        <v>2.2549690299919263</v>
      </c>
    </row>
    <row r="80" spans="27:29" x14ac:dyDescent="0.35">
      <c r="AA80" s="8">
        <v>77</v>
      </c>
      <c r="AB80" s="8">
        <f t="shared" si="6"/>
        <v>2.9826289517470883</v>
      </c>
      <c r="AC80" s="8">
        <f t="shared" si="5"/>
        <v>2.1785347962655588</v>
      </c>
    </row>
    <row r="81" spans="27:29" x14ac:dyDescent="0.35">
      <c r="AA81" s="8">
        <v>78</v>
      </c>
      <c r="AB81" s="8">
        <f t="shared" si="6"/>
        <v>3.0213643926788682</v>
      </c>
      <c r="AC81" s="8">
        <f t="shared" si="5"/>
        <v>2.1013593556664687</v>
      </c>
    </row>
    <row r="82" spans="27:29" x14ac:dyDescent="0.35">
      <c r="AA82" s="8">
        <v>79</v>
      </c>
      <c r="AB82" s="8">
        <f t="shared" si="6"/>
        <v>3.0600998336106486</v>
      </c>
      <c r="AC82" s="8">
        <f t="shared" si="5"/>
        <v>2.0234123001555235</v>
      </c>
    </row>
    <row r="83" spans="27:29" x14ac:dyDescent="0.35">
      <c r="AA83" s="8">
        <v>80</v>
      </c>
      <c r="AB83" s="8">
        <f t="shared" si="6"/>
        <v>3.0988352745424295</v>
      </c>
      <c r="AC83" s="8">
        <f t="shared" si="5"/>
        <v>1.9446599151757247</v>
      </c>
    </row>
    <row r="84" spans="27:29" x14ac:dyDescent="0.35">
      <c r="AA84" s="8">
        <v>81</v>
      </c>
      <c r="AB84" s="8">
        <f t="shared" si="6"/>
        <v>3.1375707154742098</v>
      </c>
      <c r="AC84" s="8">
        <f t="shared" si="5"/>
        <v>1.8650646620974918</v>
      </c>
    </row>
    <row r="85" spans="27:29" x14ac:dyDescent="0.35">
      <c r="AA85" s="8">
        <v>82</v>
      </c>
      <c r="AB85" s="8">
        <f t="shared" si="6"/>
        <v>3.1763061564059898</v>
      </c>
      <c r="AC85" s="8">
        <f t="shared" si="5"/>
        <v>1.7845845463728496</v>
      </c>
    </row>
    <row r="86" spans="27:29" x14ac:dyDescent="0.35">
      <c r="AA86" s="8">
        <v>83</v>
      </c>
      <c r="AB86" s="8">
        <f t="shared" si="6"/>
        <v>3.2150415973377706</v>
      </c>
      <c r="AC86" s="8">
        <f t="shared" si="5"/>
        <v>1.7031723384247794</v>
      </c>
    </row>
    <row r="87" spans="27:29" x14ac:dyDescent="0.35">
      <c r="AA87" s="8">
        <v>84</v>
      </c>
      <c r="AB87" s="8">
        <f t="shared" si="6"/>
        <v>3.253777038269551</v>
      </c>
      <c r="AC87" s="8">
        <f t="shared" si="5"/>
        <v>1.620774602249597</v>
      </c>
    </row>
    <row r="88" spans="27:29" x14ac:dyDescent="0.35">
      <c r="AA88" s="8">
        <v>85</v>
      </c>
      <c r="AB88" s="8">
        <f t="shared" si="6"/>
        <v>3.2925124792013309</v>
      </c>
      <c r="AC88" s="8">
        <f t="shared" si="5"/>
        <v>1.5373304692188146</v>
      </c>
    </row>
    <row r="89" spans="27:29" x14ac:dyDescent="0.35">
      <c r="AA89" s="8">
        <v>86</v>
      </c>
      <c r="AB89" s="8">
        <f t="shared" si="6"/>
        <v>3.3312479201331113</v>
      </c>
      <c r="AC89" s="8">
        <f t="shared" si="5"/>
        <v>1.4527700686395111</v>
      </c>
    </row>
    <row r="90" spans="27:29" x14ac:dyDescent="0.35">
      <c r="AA90" s="8">
        <v>87</v>
      </c>
      <c r="AB90" s="8">
        <f t="shared" si="6"/>
        <v>3.3699833610648922</v>
      </c>
      <c r="AC90" s="8">
        <f t="shared" si="5"/>
        <v>1.3670124872923592</v>
      </c>
    </row>
    <row r="91" spans="27:29" x14ac:dyDescent="0.35">
      <c r="AA91" s="8">
        <v>88</v>
      </c>
      <c r="AB91" s="8">
        <f t="shared" si="6"/>
        <v>3.4087188019966721</v>
      </c>
      <c r="AC91" s="8">
        <f t="shared" si="5"/>
        <v>1.2799630688830046</v>
      </c>
    </row>
    <row r="92" spans="27:29" x14ac:dyDescent="0.35">
      <c r="AA92" s="8">
        <v>89</v>
      </c>
      <c r="AB92" s="8">
        <f t="shared" si="6"/>
        <v>3.4474542429284525</v>
      </c>
      <c r="AC92" s="8">
        <f t="shared" si="5"/>
        <v>1.1915097659706175</v>
      </c>
    </row>
    <row r="93" spans="27:29" x14ac:dyDescent="0.35">
      <c r="AA93" s="8">
        <v>90</v>
      </c>
      <c r="AB93" s="8">
        <f t="shared" si="6"/>
        <v>3.4861896838602333</v>
      </c>
      <c r="AC93" s="8">
        <f t="shared" si="5"/>
        <v>1.1015180934986213</v>
      </c>
    </row>
    <row r="94" spans="27:29" x14ac:dyDescent="0.35">
      <c r="AA94" s="8">
        <v>91</v>
      </c>
      <c r="AB94" s="8">
        <f t="shared" si="6"/>
        <v>3.5249251247920133</v>
      </c>
      <c r="AC94" s="8">
        <f t="shared" si="5"/>
        <v>1.0098239504213613</v>
      </c>
    </row>
    <row r="95" spans="27:29" x14ac:dyDescent="0.35">
      <c r="AA95" s="8">
        <v>92</v>
      </c>
      <c r="AB95" s="8">
        <f t="shared" si="6"/>
        <v>3.5636605657237936</v>
      </c>
      <c r="AC95" s="8">
        <f t="shared" si="5"/>
        <v>0.91622306358761552</v>
      </c>
    </row>
    <row r="96" spans="27:29" x14ac:dyDescent="0.35">
      <c r="AA96" s="8">
        <v>93</v>
      </c>
      <c r="AB96" s="8">
        <f t="shared" si="6"/>
        <v>3.602396006655574</v>
      </c>
      <c r="AC96" s="8">
        <f t="shared" si="5"/>
        <v>0.82045482542666781</v>
      </c>
    </row>
    <row r="97" spans="27:29" x14ac:dyDescent="0.35">
      <c r="AA97" s="8">
        <v>94</v>
      </c>
      <c r="AB97" s="8">
        <f t="shared" si="6"/>
        <v>3.641131447587354</v>
      </c>
      <c r="AC97" s="8">
        <f t="shared" si="5"/>
        <v>0.72217627797754957</v>
      </c>
    </row>
    <row r="98" spans="27:29" x14ac:dyDescent="0.35">
      <c r="AA98" s="8">
        <v>95</v>
      </c>
      <c r="AB98" s="8">
        <f t="shared" si="6"/>
        <v>3.6798668885191348</v>
      </c>
      <c r="AC98" s="8">
        <f t="shared" si="5"/>
        <v>0.62091747306780654</v>
      </c>
    </row>
    <row r="99" spans="27:29" x14ac:dyDescent="0.35">
      <c r="AA99" s="8">
        <v>96</v>
      </c>
      <c r="AB99" s="8">
        <f t="shared" si="6"/>
        <v>3.7186023294509152</v>
      </c>
      <c r="AC99" s="8">
        <f t="shared" si="5"/>
        <v>0.51599810512458288</v>
      </c>
    </row>
    <row r="100" spans="27:29" x14ac:dyDescent="0.35">
      <c r="AA100" s="8">
        <v>97</v>
      </c>
      <c r="AB100" s="8">
        <f t="shared" si="6"/>
        <v>3.7573377703826951</v>
      </c>
      <c r="AC100" s="8">
        <f t="shared" si="5"/>
        <v>0.40635221728574972</v>
      </c>
    </row>
    <row r="101" spans="27:29" x14ac:dyDescent="0.35">
      <c r="AA101" s="8">
        <v>98</v>
      </c>
      <c r="AB101" s="8">
        <f t="shared" si="6"/>
        <v>3.7960732113144759</v>
      </c>
      <c r="AC101" s="8">
        <f t="shared" si="5"/>
        <v>0.29008659843640899</v>
      </c>
    </row>
    <row r="102" spans="27:29" x14ac:dyDescent="0.35">
      <c r="AA102" s="8">
        <v>99</v>
      </c>
      <c r="AB102" s="8">
        <f t="shared" si="6"/>
        <v>3.8348086522462563</v>
      </c>
      <c r="AC102" s="8">
        <f t="shared" si="5"/>
        <v>0.16294263100330647</v>
      </c>
    </row>
    <row r="103" spans="27:29" x14ac:dyDescent="0.35">
      <c r="AA103" s="8">
        <v>100</v>
      </c>
      <c r="AB103" s="8">
        <f t="shared" si="6"/>
        <v>3.8735440931780367</v>
      </c>
      <c r="AC103" s="8">
        <f t="shared" si="5"/>
        <v>0</v>
      </c>
    </row>
  </sheetData>
  <sheetProtection algorithmName="SHA-512" hashValue="2xL/qe+3gB/PZPz3wtwPNDPT6H12AzMQ1FWiu8qWWZrxNZ45fm/CvgjcGstOsbji1+am74+TX0JI81g0Mux7jw==" saltValue="+CmNB8p9rsnSfcBgpgSnLA==" spinCount="100000" sheet="1" objects="1" scenarios="1" selectLockedCells="1"/>
  <mergeCells count="13">
    <mergeCell ref="D21:E21"/>
    <mergeCell ref="O7:O8"/>
    <mergeCell ref="O9:O10"/>
    <mergeCell ref="D11:E11"/>
    <mergeCell ref="I12:J13"/>
    <mergeCell ref="L12:M13"/>
    <mergeCell ref="D18:E18"/>
    <mergeCell ref="C3:F4"/>
    <mergeCell ref="I3:J4"/>
    <mergeCell ref="L3:M4"/>
    <mergeCell ref="O3:U3"/>
    <mergeCell ref="O5:O6"/>
    <mergeCell ref="D6:E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7C13-C6F4-4275-97C8-6B2D836C90A7}">
  <dimension ref="B1:AC103"/>
  <sheetViews>
    <sheetView zoomScale="140" zoomScaleNormal="140" workbookViewId="0">
      <selection activeCell="E7" sqref="E7"/>
    </sheetView>
  </sheetViews>
  <sheetFormatPr defaultColWidth="9.1796875" defaultRowHeight="14.5" x14ac:dyDescent="0.35"/>
  <cols>
    <col min="1" max="2" width="4.54296875" style="8" customWidth="1"/>
    <col min="3" max="3" width="9.1796875" style="8"/>
    <col min="4" max="4" width="9.1796875" style="8" bestFit="1" customWidth="1"/>
    <col min="5" max="5" width="13" style="8" customWidth="1"/>
    <col min="6" max="6" width="9.1796875" style="8"/>
    <col min="7" max="8" width="4.54296875" style="8" customWidth="1"/>
    <col min="9" max="9" width="8.81640625" style="10" bestFit="1" customWidth="1"/>
    <col min="10" max="10" width="10.54296875" style="8" customWidth="1"/>
    <col min="11" max="11" width="4.54296875" style="8" customWidth="1"/>
    <col min="12" max="12" width="8" style="10" customWidth="1"/>
    <col min="13" max="13" width="10.54296875" style="8" customWidth="1"/>
    <col min="14" max="14" width="4.54296875" style="8" customWidth="1"/>
    <col min="15" max="15" width="7.26953125" style="8" customWidth="1"/>
    <col min="16" max="16" width="4.54296875" style="8" customWidth="1"/>
    <col min="17" max="18" width="10.54296875" style="8" customWidth="1"/>
    <col min="19" max="19" width="11.1796875" style="8" customWidth="1"/>
    <col min="20" max="21" width="12.54296875" style="8" customWidth="1"/>
    <col min="22" max="26" width="9.1796875" style="8"/>
    <col min="27" max="29" width="0" style="8" hidden="1" customWidth="1"/>
    <col min="30" max="16384" width="9.1796875" style="8"/>
  </cols>
  <sheetData>
    <row r="1" spans="2:29" ht="15" thickBot="1" x14ac:dyDescent="0.4"/>
    <row r="2" spans="2:29" ht="15" thickBot="1" x14ac:dyDescent="0.4">
      <c r="B2" s="21"/>
      <c r="C2" s="22"/>
      <c r="D2" s="22"/>
      <c r="E2" s="22"/>
      <c r="F2" s="22"/>
      <c r="G2" s="23"/>
      <c r="AA2" s="8" t="s">
        <v>50</v>
      </c>
      <c r="AB2" s="10" t="s">
        <v>45</v>
      </c>
      <c r="AC2" s="8" t="s">
        <v>49</v>
      </c>
    </row>
    <row r="3" spans="2:29" ht="15" customHeight="1" x14ac:dyDescent="0.35">
      <c r="B3" s="24"/>
      <c r="C3" s="35" t="s">
        <v>2</v>
      </c>
      <c r="D3" s="36"/>
      <c r="E3" s="36"/>
      <c r="F3" s="37"/>
      <c r="G3" s="25"/>
      <c r="I3" s="41" t="s">
        <v>27</v>
      </c>
      <c r="J3" s="42"/>
      <c r="L3" s="41" t="s">
        <v>29</v>
      </c>
      <c r="M3" s="42"/>
      <c r="O3" s="30" t="s">
        <v>31</v>
      </c>
      <c r="P3" s="30"/>
      <c r="Q3" s="30"/>
      <c r="R3" s="30"/>
      <c r="S3" s="30"/>
      <c r="T3" s="30"/>
      <c r="U3" s="30"/>
      <c r="AA3" s="8">
        <v>0</v>
      </c>
      <c r="AB3" s="8">
        <f>AA3*E$22/E$12/100</f>
        <v>0</v>
      </c>
      <c r="AC3" s="8">
        <f>E$23/E$12*(1-(AB3/$AB$103)^1.2)^(1/1.2)</f>
        <v>3.7987679671457903</v>
      </c>
    </row>
    <row r="4" spans="2:29" ht="15" thickBot="1" x14ac:dyDescent="0.4">
      <c r="B4" s="24"/>
      <c r="C4" s="38"/>
      <c r="D4" s="39"/>
      <c r="E4" s="39"/>
      <c r="F4" s="40"/>
      <c r="G4" s="25"/>
      <c r="I4" s="43"/>
      <c r="J4" s="44"/>
      <c r="L4" s="43"/>
      <c r="M4" s="44"/>
      <c r="O4" s="18" t="s">
        <v>55</v>
      </c>
      <c r="P4" s="18" t="s">
        <v>32</v>
      </c>
      <c r="Q4" s="18" t="s">
        <v>24</v>
      </c>
      <c r="R4" s="18" t="s">
        <v>25</v>
      </c>
      <c r="S4" s="18" t="s">
        <v>5</v>
      </c>
      <c r="T4" s="18" t="s">
        <v>53</v>
      </c>
      <c r="U4" s="18" t="s">
        <v>54</v>
      </c>
      <c r="AA4" s="8">
        <v>1</v>
      </c>
      <c r="AB4" s="8">
        <f>AA4*E$22/E$12/100</f>
        <v>3.6960985626283367E-2</v>
      </c>
      <c r="AC4" s="8">
        <f t="shared" ref="AC4:AC67" si="0">E$23/E$12*(1-(AB4/$AB$103)^1.2)^(1/1.2)</f>
        <v>3.7861611399328443</v>
      </c>
    </row>
    <row r="5" spans="2:29" x14ac:dyDescent="0.35">
      <c r="B5" s="24"/>
      <c r="C5" s="1"/>
      <c r="D5" s="1"/>
      <c r="E5" s="1"/>
      <c r="F5" s="1"/>
      <c r="G5" s="25"/>
      <c r="I5" s="11" t="s">
        <v>39</v>
      </c>
      <c r="J5" s="12">
        <f>E13/E12</f>
        <v>1.784394250513347</v>
      </c>
      <c r="L5" s="13" t="s">
        <v>17</v>
      </c>
      <c r="M5" s="14">
        <f>3.46*E9/E7</f>
        <v>75.378571428571419</v>
      </c>
      <c r="O5" s="31" t="s">
        <v>56</v>
      </c>
      <c r="P5" s="16" t="s">
        <v>33</v>
      </c>
      <c r="Q5" s="17">
        <f>MAX(J5,J10)</f>
        <v>1.92</v>
      </c>
      <c r="R5" s="17">
        <f>J14</f>
        <v>0</v>
      </c>
      <c r="S5" s="19">
        <f>E12</f>
        <v>487</v>
      </c>
      <c r="T5" s="20">
        <f>S5*Q5</f>
        <v>935.04</v>
      </c>
      <c r="U5" s="20">
        <f>S5*R5</f>
        <v>0</v>
      </c>
      <c r="AA5" s="8">
        <v>2</v>
      </c>
      <c r="AB5" s="8">
        <f t="shared" ref="AB5:AB68" si="1">AA5*E$22/E$12/100</f>
        <v>7.3921971252566734E-2</v>
      </c>
      <c r="AC5" s="8">
        <f t="shared" si="0"/>
        <v>3.7697925577677482</v>
      </c>
    </row>
    <row r="6" spans="2:29" x14ac:dyDescent="0.35">
      <c r="B6" s="24"/>
      <c r="C6" s="1"/>
      <c r="D6" s="33" t="s">
        <v>0</v>
      </c>
      <c r="E6" s="34"/>
      <c r="F6" s="1"/>
      <c r="G6" s="25"/>
      <c r="I6" s="11" t="s">
        <v>40</v>
      </c>
      <c r="J6" s="12">
        <f>E14/E12</f>
        <v>0.97125256673511295</v>
      </c>
      <c r="L6" s="13" t="s">
        <v>20</v>
      </c>
      <c r="M6" s="14">
        <f>IF(J7&lt;J10,1,MAX(0.6+0.4*J8/J7,0.4))</f>
        <v>1</v>
      </c>
      <c r="O6" s="32"/>
      <c r="P6" s="16" t="s">
        <v>34</v>
      </c>
      <c r="Q6" s="17">
        <f>J5</f>
        <v>1.784394250513347</v>
      </c>
      <c r="R6" s="17">
        <f>MAX(J14,J19)</f>
        <v>2.4</v>
      </c>
      <c r="S6" s="19">
        <f>S5</f>
        <v>487</v>
      </c>
      <c r="T6" s="20">
        <f t="shared" ref="T6:T10" si="2">S6*Q6</f>
        <v>869</v>
      </c>
      <c r="U6" s="20">
        <f t="shared" ref="U6:U10" si="3">S6*R6</f>
        <v>1168.8</v>
      </c>
      <c r="AA6" s="8">
        <v>3</v>
      </c>
      <c r="AB6" s="8">
        <f t="shared" si="1"/>
        <v>0.11088295687885009</v>
      </c>
      <c r="AC6" s="8">
        <f t="shared" si="0"/>
        <v>3.7516107374427028</v>
      </c>
    </row>
    <row r="7" spans="2:29" x14ac:dyDescent="0.35">
      <c r="B7" s="24"/>
      <c r="C7" s="1"/>
      <c r="D7" s="3" t="s">
        <v>1</v>
      </c>
      <c r="E7" s="4">
        <v>14</v>
      </c>
      <c r="F7" s="1"/>
      <c r="G7" s="25"/>
      <c r="I7" s="11" t="s">
        <v>9</v>
      </c>
      <c r="J7" s="12">
        <f>MAX(J5:J6)</f>
        <v>1.784394250513347</v>
      </c>
      <c r="L7" s="13" t="s">
        <v>19</v>
      </c>
      <c r="M7" s="14">
        <f>MAX(MIN((25+12.5*J7/E7)/M6,90),35)</f>
        <v>35</v>
      </c>
      <c r="O7" s="31" t="s">
        <v>57</v>
      </c>
      <c r="P7" s="16" t="s">
        <v>35</v>
      </c>
      <c r="Q7" s="17">
        <f>MAX(J6,J10)</f>
        <v>1.92</v>
      </c>
      <c r="R7" s="17">
        <f>J15</f>
        <v>0</v>
      </c>
      <c r="S7" s="19">
        <f t="shared" ref="S7:S10" si="4">S6</f>
        <v>487</v>
      </c>
      <c r="T7" s="20">
        <f t="shared" si="2"/>
        <v>935.04</v>
      </c>
      <c r="U7" s="20">
        <f t="shared" si="3"/>
        <v>0</v>
      </c>
      <c r="AA7" s="8">
        <v>4</v>
      </c>
      <c r="AB7" s="8">
        <f t="shared" si="1"/>
        <v>0.14784394250513347</v>
      </c>
      <c r="AC7" s="8">
        <f t="shared" si="0"/>
        <v>3.7321334004351092</v>
      </c>
    </row>
    <row r="8" spans="2:29" x14ac:dyDescent="0.35">
      <c r="B8" s="24"/>
      <c r="C8" s="1"/>
      <c r="D8" s="3" t="s">
        <v>3</v>
      </c>
      <c r="E8" s="4">
        <v>30</v>
      </c>
      <c r="F8" s="1"/>
      <c r="G8" s="25"/>
      <c r="I8" s="11" t="s">
        <v>10</v>
      </c>
      <c r="J8" s="12">
        <f>-MIN(J5:J6)</f>
        <v>-0.97125256673511295</v>
      </c>
      <c r="L8" s="13" t="s">
        <v>23</v>
      </c>
      <c r="M8" s="12">
        <f>IF(M5&lt;=M7,0,0.0005*E$9^2/((MAX(E$12/(E$7*E$8*E$19/1.4),0.5)+0.5)*E7))</f>
        <v>2.8906508949287373</v>
      </c>
      <c r="O8" s="32"/>
      <c r="P8" s="16" t="s">
        <v>36</v>
      </c>
      <c r="Q8" s="17">
        <f>J6</f>
        <v>0.97125256673511295</v>
      </c>
      <c r="R8" s="17">
        <f>MAX(J15,J19)</f>
        <v>2.4</v>
      </c>
      <c r="S8" s="19">
        <f t="shared" si="4"/>
        <v>487</v>
      </c>
      <c r="T8" s="20">
        <f t="shared" si="2"/>
        <v>473</v>
      </c>
      <c r="U8" s="20">
        <f t="shared" si="3"/>
        <v>1168.8</v>
      </c>
      <c r="AA8" s="8">
        <v>5</v>
      </c>
      <c r="AB8" s="8">
        <f t="shared" si="1"/>
        <v>0.18480492813141683</v>
      </c>
      <c r="AC8" s="8">
        <f t="shared" si="0"/>
        <v>3.7116256510967363</v>
      </c>
    </row>
    <row r="9" spans="2:29" x14ac:dyDescent="0.35">
      <c r="B9" s="24"/>
      <c r="C9" s="1"/>
      <c r="D9" s="3" t="s">
        <v>4</v>
      </c>
      <c r="E9" s="4">
        <v>305</v>
      </c>
      <c r="F9" s="1"/>
      <c r="G9" s="25"/>
      <c r="I9" s="11" t="s">
        <v>11</v>
      </c>
      <c r="J9" s="12">
        <f>MAX(0.6*J7+0.4*J8,0.4*J7)</f>
        <v>0.7137577002053388</v>
      </c>
      <c r="O9" s="31" t="s">
        <v>58</v>
      </c>
      <c r="P9" s="16" t="s">
        <v>43</v>
      </c>
      <c r="Q9" s="17">
        <f>MAX(J9,J10)+M8</f>
        <v>4.8106508949287372</v>
      </c>
      <c r="R9" s="17">
        <f>J18</f>
        <v>0</v>
      </c>
      <c r="S9" s="19">
        <f t="shared" si="4"/>
        <v>487</v>
      </c>
      <c r="T9" s="20">
        <f t="shared" si="2"/>
        <v>2342.7869858302952</v>
      </c>
      <c r="U9" s="20">
        <f t="shared" si="3"/>
        <v>0</v>
      </c>
      <c r="AA9" s="8">
        <v>6</v>
      </c>
      <c r="AB9" s="8">
        <f t="shared" si="1"/>
        <v>0.22176591375770019</v>
      </c>
      <c r="AC9" s="8">
        <f t="shared" si="0"/>
        <v>3.6902516584880276</v>
      </c>
    </row>
    <row r="10" spans="2:29" x14ac:dyDescent="0.35">
      <c r="B10" s="24"/>
      <c r="C10" s="1"/>
      <c r="D10" s="1"/>
      <c r="E10" s="9"/>
      <c r="F10" s="1"/>
      <c r="G10" s="25"/>
      <c r="I10" s="11" t="s">
        <v>12</v>
      </c>
      <c r="J10" s="12">
        <f>1.5+0.03*E7</f>
        <v>1.92</v>
      </c>
      <c r="O10" s="32"/>
      <c r="P10" s="16" t="s">
        <v>44</v>
      </c>
      <c r="Q10" s="17">
        <f>J9</f>
        <v>0.7137577002053388</v>
      </c>
      <c r="R10" s="17">
        <f>MAX(J18,J19)+M17</f>
        <v>3.7489704176334109</v>
      </c>
      <c r="S10" s="19">
        <f t="shared" si="4"/>
        <v>487</v>
      </c>
      <c r="T10" s="20">
        <f t="shared" si="2"/>
        <v>347.59999999999997</v>
      </c>
      <c r="U10" s="20">
        <f t="shared" si="3"/>
        <v>1825.7485933874711</v>
      </c>
      <c r="AA10" s="8">
        <v>7</v>
      </c>
      <c r="AB10" s="8">
        <f t="shared" si="1"/>
        <v>0.25872689938398358</v>
      </c>
      <c r="AC10" s="8">
        <f t="shared" si="0"/>
        <v>3.6681240199307452</v>
      </c>
    </row>
    <row r="11" spans="2:29" x14ac:dyDescent="0.35">
      <c r="B11" s="24"/>
      <c r="C11" s="26"/>
      <c r="D11" s="33" t="s">
        <v>51</v>
      </c>
      <c r="E11" s="34"/>
      <c r="F11" s="26"/>
      <c r="G11" s="25"/>
      <c r="AA11" s="8">
        <v>8</v>
      </c>
      <c r="AB11" s="8">
        <f t="shared" si="1"/>
        <v>0.29568788501026694</v>
      </c>
      <c r="AC11" s="8">
        <f t="shared" si="0"/>
        <v>3.6453251299409266</v>
      </c>
    </row>
    <row r="12" spans="2:29" x14ac:dyDescent="0.35">
      <c r="B12" s="24"/>
      <c r="C12" s="26"/>
      <c r="D12" s="3" t="s">
        <v>5</v>
      </c>
      <c r="E12" s="7">
        <v>487</v>
      </c>
      <c r="F12" s="26"/>
      <c r="G12" s="25"/>
      <c r="I12" s="41" t="s">
        <v>28</v>
      </c>
      <c r="J12" s="42"/>
      <c r="L12" s="41" t="s">
        <v>30</v>
      </c>
      <c r="M12" s="42"/>
      <c r="AA12" s="8">
        <v>9</v>
      </c>
      <c r="AB12" s="8">
        <f t="shared" si="1"/>
        <v>0.3326488706365503</v>
      </c>
      <c r="AC12" s="8">
        <f t="shared" si="0"/>
        <v>3.6219180533474722</v>
      </c>
    </row>
    <row r="13" spans="2:29" x14ac:dyDescent="0.35">
      <c r="B13" s="24"/>
      <c r="C13" s="26"/>
      <c r="D13" s="3" t="s">
        <v>6</v>
      </c>
      <c r="E13" s="5">
        <v>869</v>
      </c>
      <c r="F13" s="26"/>
      <c r="G13" s="25"/>
      <c r="I13" s="43"/>
      <c r="J13" s="44"/>
      <c r="L13" s="43"/>
      <c r="M13" s="44"/>
      <c r="AA13" s="8">
        <v>10</v>
      </c>
      <c r="AB13" s="8">
        <f t="shared" si="1"/>
        <v>0.36960985626283366</v>
      </c>
      <c r="AC13" s="8">
        <f t="shared" si="0"/>
        <v>3.5979526810771238</v>
      </c>
    </row>
    <row r="14" spans="2:29" x14ac:dyDescent="0.35">
      <c r="B14" s="24"/>
      <c r="C14" s="26"/>
      <c r="D14" s="3" t="s">
        <v>7</v>
      </c>
      <c r="E14" s="5">
        <v>473</v>
      </c>
      <c r="F14" s="26"/>
      <c r="G14" s="25"/>
      <c r="I14" s="11" t="s">
        <v>41</v>
      </c>
      <c r="J14" s="12">
        <f>E15/E12</f>
        <v>0</v>
      </c>
      <c r="L14" s="13" t="s">
        <v>18</v>
      </c>
      <c r="M14" s="15">
        <f>3.46*E9/E8</f>
        <v>35.176666666666662</v>
      </c>
      <c r="AA14" s="8">
        <v>11</v>
      </c>
      <c r="AB14" s="8">
        <f t="shared" si="1"/>
        <v>0.40657084188911702</v>
      </c>
      <c r="AC14" s="8">
        <f t="shared" si="0"/>
        <v>3.5734694923899575</v>
      </c>
    </row>
    <row r="15" spans="2:29" x14ac:dyDescent="0.35">
      <c r="B15" s="24"/>
      <c r="C15" s="26"/>
      <c r="D15" s="3" t="s">
        <v>37</v>
      </c>
      <c r="E15" s="5">
        <v>0</v>
      </c>
      <c r="F15" s="26"/>
      <c r="G15" s="25"/>
      <c r="I15" s="11" t="s">
        <v>42</v>
      </c>
      <c r="J15" s="12">
        <f>E16/E12</f>
        <v>0</v>
      </c>
      <c r="L15" s="13" t="s">
        <v>21</v>
      </c>
      <c r="M15" s="14">
        <f>IF(J16&lt;J19,1,MAX(0.6+0.4*J17/J16,0.4))</f>
        <v>1</v>
      </c>
      <c r="AA15" s="8">
        <v>12</v>
      </c>
      <c r="AB15" s="8">
        <f t="shared" si="1"/>
        <v>0.44353182751540038</v>
      </c>
      <c r="AC15" s="8">
        <f t="shared" si="0"/>
        <v>3.5485019911287274</v>
      </c>
    </row>
    <row r="16" spans="2:29" x14ac:dyDescent="0.35">
      <c r="B16" s="24"/>
      <c r="C16" s="26"/>
      <c r="D16" s="3" t="s">
        <v>38</v>
      </c>
      <c r="E16" s="5">
        <v>0</v>
      </c>
      <c r="F16" s="26"/>
      <c r="G16" s="25"/>
      <c r="I16" s="11" t="s">
        <v>13</v>
      </c>
      <c r="J16" s="12">
        <f>MAX(J14:J15)</f>
        <v>0</v>
      </c>
      <c r="L16" s="13" t="s">
        <v>22</v>
      </c>
      <c r="M16" s="14">
        <f>MAX(MIN((25+12.5*J16/E8)/M15,90),35)</f>
        <v>35</v>
      </c>
      <c r="AA16" s="8">
        <v>13</v>
      </c>
      <c r="AB16" s="8">
        <f t="shared" si="1"/>
        <v>0.48049281314168374</v>
      </c>
      <c r="AC16" s="8">
        <f t="shared" si="0"/>
        <v>3.5230783565165411</v>
      </c>
    </row>
    <row r="17" spans="2:29" x14ac:dyDescent="0.35">
      <c r="B17" s="24"/>
      <c r="C17" s="26"/>
      <c r="D17" s="26"/>
      <c r="E17" s="26"/>
      <c r="F17" s="26"/>
      <c r="G17" s="25"/>
      <c r="I17" s="11" t="s">
        <v>14</v>
      </c>
      <c r="J17" s="12">
        <f>-MIN(J14:J15)</f>
        <v>0</v>
      </c>
      <c r="L17" s="13" t="s">
        <v>26</v>
      </c>
      <c r="M17" s="12">
        <f>IF(M14&lt;=M16,0,0.0005*E$9^2/((MAX(E$12/(E$7*E$8*E$19/1.4),0.5)+0.5)*E8))</f>
        <v>1.348970417633411</v>
      </c>
      <c r="AA17" s="8">
        <v>14</v>
      </c>
      <c r="AB17" s="8">
        <f t="shared" si="1"/>
        <v>0.51745379876796715</v>
      </c>
      <c r="AC17" s="8">
        <f t="shared" si="0"/>
        <v>3.4972226034020268</v>
      </c>
    </row>
    <row r="18" spans="2:29" x14ac:dyDescent="0.35">
      <c r="B18" s="24"/>
      <c r="C18" s="26"/>
      <c r="D18" s="33" t="s">
        <v>52</v>
      </c>
      <c r="E18" s="34"/>
      <c r="F18" s="26"/>
      <c r="G18" s="25"/>
      <c r="I18" s="11" t="s">
        <v>15</v>
      </c>
      <c r="J18" s="12">
        <f>MAX(0.6*J16+0.4*J17,0.4*J16)</f>
        <v>0</v>
      </c>
      <c r="AA18" s="8">
        <v>15</v>
      </c>
      <c r="AB18" s="8">
        <f t="shared" si="1"/>
        <v>0.55441478439425051</v>
      </c>
      <c r="AC18" s="8">
        <f t="shared" si="0"/>
        <v>3.4709554226769703</v>
      </c>
    </row>
    <row r="19" spans="2:29" x14ac:dyDescent="0.35">
      <c r="B19" s="24"/>
      <c r="C19" s="26"/>
      <c r="D19" s="2" t="s">
        <v>8</v>
      </c>
      <c r="E19" s="6">
        <v>2.5</v>
      </c>
      <c r="F19" s="26"/>
      <c r="G19" s="25"/>
      <c r="I19" s="11" t="s">
        <v>16</v>
      </c>
      <c r="J19" s="12">
        <f>1.5+0.03*E8</f>
        <v>2.4</v>
      </c>
      <c r="AA19" s="8">
        <v>16</v>
      </c>
      <c r="AB19" s="8">
        <f t="shared" si="1"/>
        <v>0.59137577002053388</v>
      </c>
      <c r="AC19" s="8">
        <f t="shared" si="0"/>
        <v>3.444294805608008</v>
      </c>
    </row>
    <row r="20" spans="2:29" x14ac:dyDescent="0.35">
      <c r="B20" s="24"/>
      <c r="C20" s="26"/>
      <c r="D20" s="26"/>
      <c r="E20" s="26"/>
      <c r="F20" s="26"/>
      <c r="G20" s="25"/>
      <c r="AA20" s="8">
        <v>17</v>
      </c>
      <c r="AB20" s="8">
        <f t="shared" si="1"/>
        <v>0.62833675564681724</v>
      </c>
      <c r="AC20" s="8">
        <f t="shared" si="0"/>
        <v>3.4172565177158631</v>
      </c>
    </row>
    <row r="21" spans="2:29" x14ac:dyDescent="0.35">
      <c r="B21" s="24"/>
      <c r="C21" s="26"/>
      <c r="D21" s="33" t="s">
        <v>46</v>
      </c>
      <c r="E21" s="34"/>
      <c r="F21" s="26"/>
      <c r="G21" s="25"/>
      <c r="AA21" s="8">
        <v>18</v>
      </c>
      <c r="AB21" s="8">
        <f t="shared" si="1"/>
        <v>0.6652977412731006</v>
      </c>
      <c r="AC21" s="8">
        <f t="shared" si="0"/>
        <v>3.389854465168606</v>
      </c>
    </row>
    <row r="22" spans="2:29" x14ac:dyDescent="0.35">
      <c r="B22" s="24"/>
      <c r="C22" s="26"/>
      <c r="D22" s="3" t="s">
        <v>47</v>
      </c>
      <c r="E22" s="5">
        <v>1800</v>
      </c>
      <c r="F22" s="26"/>
      <c r="G22" s="25"/>
      <c r="AA22" s="8">
        <v>19</v>
      </c>
      <c r="AB22" s="8">
        <f t="shared" si="1"/>
        <v>0.70225872689938396</v>
      </c>
      <c r="AC22" s="8">
        <f t="shared" si="0"/>
        <v>3.3621009826531516</v>
      </c>
    </row>
    <row r="23" spans="2:29" x14ac:dyDescent="0.35">
      <c r="B23" s="24"/>
      <c r="C23" s="26"/>
      <c r="D23" s="3" t="s">
        <v>48</v>
      </c>
      <c r="E23" s="5">
        <v>1850</v>
      </c>
      <c r="F23" s="26"/>
      <c r="G23" s="25"/>
      <c r="AA23" s="8">
        <v>20</v>
      </c>
      <c r="AB23" s="8">
        <f t="shared" si="1"/>
        <v>0.73921971252566732</v>
      </c>
      <c r="AC23" s="8">
        <f t="shared" si="0"/>
        <v>3.3340070627532232</v>
      </c>
    </row>
    <row r="24" spans="2:29" ht="15" thickBot="1" x14ac:dyDescent="0.4">
      <c r="B24" s="27"/>
      <c r="C24" s="28"/>
      <c r="D24" s="28"/>
      <c r="E24" s="28"/>
      <c r="F24" s="28"/>
      <c r="G24" s="29"/>
      <c r="AA24" s="8">
        <v>21</v>
      </c>
      <c r="AB24" s="8">
        <f t="shared" si="1"/>
        <v>0.77618069815195068</v>
      </c>
      <c r="AC24" s="8">
        <f t="shared" si="0"/>
        <v>3.3055825409951569</v>
      </c>
    </row>
    <row r="25" spans="2:29" x14ac:dyDescent="0.35">
      <c r="AA25" s="8">
        <v>22</v>
      </c>
      <c r="AB25" s="8">
        <f t="shared" si="1"/>
        <v>0.81314168377823404</v>
      </c>
      <c r="AC25" s="8">
        <f t="shared" si="0"/>
        <v>3.2768362467738692</v>
      </c>
    </row>
    <row r="26" spans="2:29" x14ac:dyDescent="0.35">
      <c r="AA26" s="8">
        <v>23</v>
      </c>
      <c r="AB26" s="8">
        <f t="shared" si="1"/>
        <v>0.8501026694045174</v>
      </c>
      <c r="AC26" s="8">
        <f t="shared" si="0"/>
        <v>3.2477761276537338</v>
      </c>
    </row>
    <row r="27" spans="2:29" x14ac:dyDescent="0.35">
      <c r="AA27" s="8">
        <v>24</v>
      </c>
      <c r="AB27" s="8">
        <f t="shared" si="1"/>
        <v>0.88706365503080076</v>
      </c>
      <c r="AC27" s="8">
        <f t="shared" si="0"/>
        <v>3.2184093526317326</v>
      </c>
    </row>
    <row r="28" spans="2:29" x14ac:dyDescent="0.35">
      <c r="AA28" s="8">
        <v>25</v>
      </c>
      <c r="AB28" s="8">
        <f t="shared" si="1"/>
        <v>0.92402464065708412</v>
      </c>
      <c r="AC28" s="8">
        <f t="shared" si="0"/>
        <v>3.1887423985875274</v>
      </c>
    </row>
    <row r="29" spans="2:29" x14ac:dyDescent="0.35">
      <c r="AA29" s="8">
        <v>26</v>
      </c>
      <c r="AB29" s="8">
        <f t="shared" si="1"/>
        <v>0.96098562628336748</v>
      </c>
      <c r="AC29" s="8">
        <f t="shared" si="0"/>
        <v>3.1587811231557699</v>
      </c>
    </row>
    <row r="30" spans="2:29" x14ac:dyDescent="0.35">
      <c r="AA30" s="8">
        <v>27</v>
      </c>
      <c r="AB30" s="8">
        <f t="shared" si="1"/>
        <v>0.99794661190965084</v>
      </c>
      <c r="AC30" s="8">
        <f t="shared" si="0"/>
        <v>3.1285308265271761</v>
      </c>
    </row>
    <row r="31" spans="2:29" x14ac:dyDescent="0.35">
      <c r="AA31" s="8">
        <v>28</v>
      </c>
      <c r="AB31" s="8">
        <f t="shared" si="1"/>
        <v>1.0349075975359343</v>
      </c>
      <c r="AC31" s="8">
        <f t="shared" si="0"/>
        <v>3.0979963041407843</v>
      </c>
    </row>
    <row r="32" spans="2:29" x14ac:dyDescent="0.35">
      <c r="AA32" s="8">
        <v>29</v>
      </c>
      <c r="AB32" s="8">
        <f t="shared" si="1"/>
        <v>1.0718685831622177</v>
      </c>
      <c r="AC32" s="8">
        <f t="shared" si="0"/>
        <v>3.0671818918186151</v>
      </c>
    </row>
    <row r="33" spans="27:29" x14ac:dyDescent="0.35">
      <c r="AA33" s="8">
        <v>30</v>
      </c>
      <c r="AB33" s="8">
        <f t="shared" si="1"/>
        <v>1.108829568788501</v>
      </c>
      <c r="AC33" s="8">
        <f t="shared" si="0"/>
        <v>3.0360915045796051</v>
      </c>
    </row>
    <row r="34" spans="27:29" x14ac:dyDescent="0.35">
      <c r="AA34" s="8">
        <v>31</v>
      </c>
      <c r="AB34" s="8">
        <f t="shared" si="1"/>
        <v>1.1457905544147844</v>
      </c>
      <c r="AC34" s="8">
        <f t="shared" si="0"/>
        <v>3.0047286701269087</v>
      </c>
    </row>
    <row r="35" spans="27:29" x14ac:dyDescent="0.35">
      <c r="AA35" s="8">
        <v>32</v>
      </c>
      <c r="AB35" s="8">
        <f t="shared" si="1"/>
        <v>1.1827515400410678</v>
      </c>
      <c r="AC35" s="8">
        <f t="shared" si="0"/>
        <v>2.9730965578132138</v>
      </c>
    </row>
    <row r="36" spans="27:29" x14ac:dyDescent="0.35">
      <c r="AA36" s="8">
        <v>33</v>
      </c>
      <c r="AB36" s="8">
        <f t="shared" si="1"/>
        <v>1.2197125256673511</v>
      </c>
      <c r="AC36" s="8">
        <f t="shared" si="0"/>
        <v>2.9411980037395997</v>
      </c>
    </row>
    <row r="37" spans="27:29" x14ac:dyDescent="0.35">
      <c r="AA37" s="8">
        <v>34</v>
      </c>
      <c r="AB37" s="8">
        <f t="shared" si="1"/>
        <v>1.2566735112936345</v>
      </c>
      <c r="AC37" s="8">
        <f t="shared" si="0"/>
        <v>2.9090355325249657</v>
      </c>
    </row>
    <row r="38" spans="27:29" x14ac:dyDescent="0.35">
      <c r="AA38" s="8">
        <v>35</v>
      </c>
      <c r="AB38" s="8">
        <f t="shared" si="1"/>
        <v>1.2936344969199178</v>
      </c>
      <c r="AC38" s="8">
        <f t="shared" si="0"/>
        <v>2.8766113761882046</v>
      </c>
    </row>
    <row r="39" spans="27:29" x14ac:dyDescent="0.35">
      <c r="AA39" s="8">
        <v>36</v>
      </c>
      <c r="AB39" s="8">
        <f t="shared" si="1"/>
        <v>1.3305954825462012</v>
      </c>
      <c r="AC39" s="8">
        <f t="shared" si="0"/>
        <v>2.8439274905085825</v>
      </c>
    </row>
    <row r="40" spans="27:29" x14ac:dyDescent="0.35">
      <c r="AA40" s="8">
        <v>37</v>
      </c>
      <c r="AB40" s="8">
        <f t="shared" si="1"/>
        <v>1.3675564681724846</v>
      </c>
      <c r="AC40" s="8">
        <f t="shared" si="0"/>
        <v>2.8109855691674457</v>
      </c>
    </row>
    <row r="41" spans="27:29" x14ac:dyDescent="0.35">
      <c r="AA41" s="8">
        <v>38</v>
      </c>
      <c r="AB41" s="8">
        <f t="shared" si="1"/>
        <v>1.4045174537987679</v>
      </c>
      <c r="AC41" s="8">
        <f t="shared" si="0"/>
        <v>2.7777870559230959</v>
      </c>
    </row>
    <row r="42" spans="27:29" x14ac:dyDescent="0.35">
      <c r="AA42" s="8">
        <v>39</v>
      </c>
      <c r="AB42" s="8">
        <f t="shared" si="1"/>
        <v>1.4414784394250515</v>
      </c>
      <c r="AC42" s="8">
        <f t="shared" si="0"/>
        <v>2.7443331550283263</v>
      </c>
    </row>
    <row r="43" spans="27:29" x14ac:dyDescent="0.35">
      <c r="AA43" s="8">
        <v>40</v>
      </c>
      <c r="AB43" s="8">
        <f t="shared" si="1"/>
        <v>1.4784394250513346</v>
      </c>
      <c r="AC43" s="8">
        <f t="shared" si="0"/>
        <v>2.7106248400646904</v>
      </c>
    </row>
    <row r="44" spans="27:29" x14ac:dyDescent="0.35">
      <c r="AA44" s="8">
        <v>41</v>
      </c>
      <c r="AB44" s="8">
        <f t="shared" si="1"/>
        <v>1.5154004106776182</v>
      </c>
      <c r="AC44" s="8">
        <f t="shared" si="0"/>
        <v>2.6766628613377774</v>
      </c>
    </row>
    <row r="45" spans="27:29" x14ac:dyDescent="0.35">
      <c r="AA45" s="8">
        <v>42</v>
      </c>
      <c r="AB45" s="8">
        <f t="shared" si="1"/>
        <v>1.5523613963039014</v>
      </c>
      <c r="AC45" s="8">
        <f t="shared" si="0"/>
        <v>2.6424477519524037</v>
      </c>
    </row>
    <row r="46" spans="27:29" x14ac:dyDescent="0.35">
      <c r="AA46" s="8">
        <v>43</v>
      </c>
      <c r="AB46" s="8">
        <f t="shared" si="1"/>
        <v>1.5893223819301849</v>
      </c>
      <c r="AC46" s="8">
        <f t="shared" si="0"/>
        <v>2.6079798326647925</v>
      </c>
    </row>
    <row r="47" spans="27:29" x14ac:dyDescent="0.35">
      <c r="AA47" s="8">
        <v>44</v>
      </c>
      <c r="AB47" s="8">
        <f t="shared" si="1"/>
        <v>1.6262833675564681</v>
      </c>
      <c r="AC47" s="8">
        <f t="shared" si="0"/>
        <v>2.5732592155898191</v>
      </c>
    </row>
    <row r="48" spans="27:29" x14ac:dyDescent="0.35">
      <c r="AA48" s="8">
        <v>45</v>
      </c>
      <c r="AB48" s="8">
        <f t="shared" si="1"/>
        <v>1.6632443531827517</v>
      </c>
      <c r="AC48" s="8">
        <f t="shared" si="0"/>
        <v>2.5382858068245944</v>
      </c>
    </row>
    <row r="49" spans="27:29" x14ac:dyDescent="0.35">
      <c r="AA49" s="8">
        <v>46</v>
      </c>
      <c r="AB49" s="8">
        <f t="shared" si="1"/>
        <v>1.7002053388090348</v>
      </c>
      <c r="AC49" s="8">
        <f t="shared" si="0"/>
        <v>2.5030593080346106</v>
      </c>
    </row>
    <row r="50" spans="27:29" x14ac:dyDescent="0.35">
      <c r="AA50" s="8">
        <v>47</v>
      </c>
      <c r="AB50" s="8">
        <f t="shared" si="1"/>
        <v>1.7371663244353184</v>
      </c>
      <c r="AC50" s="8">
        <f t="shared" si="0"/>
        <v>2.4675792170349093</v>
      </c>
    </row>
    <row r="51" spans="27:29" x14ac:dyDescent="0.35">
      <c r="AA51" s="8">
        <v>48</v>
      </c>
      <c r="AB51" s="8">
        <f t="shared" si="1"/>
        <v>1.7741273100616015</v>
      </c>
      <c r="AC51" s="8">
        <f t="shared" si="0"/>
        <v>2.4318448273859397</v>
      </c>
    </row>
    <row r="52" spans="27:29" x14ac:dyDescent="0.35">
      <c r="AA52" s="8">
        <v>49</v>
      </c>
      <c r="AB52" s="8">
        <f t="shared" si="1"/>
        <v>1.8110882956878851</v>
      </c>
      <c r="AC52" s="8">
        <f t="shared" si="0"/>
        <v>2.3958552270115967</v>
      </c>
    </row>
    <row r="53" spans="27:29" x14ac:dyDescent="0.35">
      <c r="AA53" s="8">
        <v>50</v>
      </c>
      <c r="AB53" s="8">
        <f t="shared" si="1"/>
        <v>1.8480492813141682</v>
      </c>
      <c r="AC53" s="8">
        <f t="shared" si="0"/>
        <v>2.3596092958351194</v>
      </c>
    </row>
    <row r="54" spans="27:29" x14ac:dyDescent="0.35">
      <c r="AA54" s="8">
        <v>51</v>
      </c>
      <c r="AB54" s="8">
        <f t="shared" si="1"/>
        <v>1.8850102669404518</v>
      </c>
      <c r="AC54" s="8">
        <f t="shared" si="0"/>
        <v>2.3231057024167661</v>
      </c>
    </row>
    <row r="55" spans="27:29" x14ac:dyDescent="0.35">
      <c r="AA55" s="8">
        <v>52</v>
      </c>
      <c r="AB55" s="8">
        <f t="shared" si="1"/>
        <v>1.921971252566735</v>
      </c>
      <c r="AC55" s="8">
        <f t="shared" si="0"/>
        <v>2.2863428995652586</v>
      </c>
    </row>
    <row r="56" spans="27:29" x14ac:dyDescent="0.35">
      <c r="AA56" s="8">
        <v>53</v>
      </c>
      <c r="AB56" s="8">
        <f t="shared" si="1"/>
        <v>1.9589322381930185</v>
      </c>
      <c r="AC56" s="8">
        <f t="shared" si="0"/>
        <v>2.249319118882581</v>
      </c>
    </row>
    <row r="57" spans="27:29" x14ac:dyDescent="0.35">
      <c r="AA57" s="8">
        <v>54</v>
      </c>
      <c r="AB57" s="8">
        <f t="shared" si="1"/>
        <v>1.9958932238193017</v>
      </c>
      <c r="AC57" s="8">
        <f t="shared" si="0"/>
        <v>2.2120323641885946</v>
      </c>
    </row>
    <row r="58" spans="27:29" x14ac:dyDescent="0.35">
      <c r="AA58" s="8">
        <v>55</v>
      </c>
      <c r="AB58" s="8">
        <f t="shared" si="1"/>
        <v>2.0328542094455853</v>
      </c>
      <c r="AC58" s="8">
        <f t="shared" si="0"/>
        <v>2.1744804037577476</v>
      </c>
    </row>
    <row r="59" spans="27:29" x14ac:dyDescent="0.35">
      <c r="AA59" s="8">
        <v>56</v>
      </c>
      <c r="AB59" s="8">
        <f t="shared" si="1"/>
        <v>2.0698151950718686</v>
      </c>
      <c r="AC59" s="8">
        <f t="shared" si="0"/>
        <v>2.1366607612846287</v>
      </c>
    </row>
    <row r="60" spans="27:29" x14ac:dyDescent="0.35">
      <c r="AA60" s="8">
        <v>57</v>
      </c>
      <c r="AB60" s="8">
        <f t="shared" si="1"/>
        <v>2.106776180698152</v>
      </c>
      <c r="AC60" s="8">
        <f t="shared" si="0"/>
        <v>2.0985707054777971</v>
      </c>
    </row>
    <row r="61" spans="27:29" x14ac:dyDescent="0.35">
      <c r="AA61" s="8">
        <v>58</v>
      </c>
      <c r="AB61" s="8">
        <f t="shared" si="1"/>
        <v>2.1437371663244353</v>
      </c>
      <c r="AC61" s="8">
        <f t="shared" si="0"/>
        <v>2.0602072381618375</v>
      </c>
    </row>
    <row r="62" spans="27:29" x14ac:dyDescent="0.35">
      <c r="AA62" s="8">
        <v>59</v>
      </c>
      <c r="AB62" s="8">
        <f t="shared" si="1"/>
        <v>2.1806981519507187</v>
      </c>
      <c r="AC62" s="8">
        <f t="shared" si="0"/>
        <v>2.0215670807453576</v>
      </c>
    </row>
    <row r="63" spans="27:29" x14ac:dyDescent="0.35">
      <c r="AA63" s="8">
        <v>60</v>
      </c>
      <c r="AB63" s="8">
        <f t="shared" si="1"/>
        <v>2.2176591375770021</v>
      </c>
      <c r="AC63" s="8">
        <f t="shared" si="0"/>
        <v>1.9826466588870879</v>
      </c>
    </row>
    <row r="64" spans="27:29" x14ac:dyDescent="0.35">
      <c r="AA64" s="8">
        <v>61</v>
      </c>
      <c r="AB64" s="8">
        <f t="shared" si="1"/>
        <v>2.2546201232032854</v>
      </c>
      <c r="AC64" s="8">
        <f t="shared" si="0"/>
        <v>1.9434420851625656</v>
      </c>
    </row>
    <row r="65" spans="27:29" x14ac:dyDescent="0.35">
      <c r="AA65" s="8">
        <v>62</v>
      </c>
      <c r="AB65" s="8">
        <f t="shared" si="1"/>
        <v>2.2915811088295688</v>
      </c>
      <c r="AC65" s="8">
        <f t="shared" si="0"/>
        <v>1.9039491394991881</v>
      </c>
    </row>
    <row r="66" spans="27:29" x14ac:dyDescent="0.35">
      <c r="AA66" s="8">
        <v>63</v>
      </c>
      <c r="AB66" s="8">
        <f t="shared" si="1"/>
        <v>2.3285420944558521</v>
      </c>
      <c r="AC66" s="8">
        <f t="shared" si="0"/>
        <v>1.8641632471065555</v>
      </c>
    </row>
    <row r="67" spans="27:29" x14ac:dyDescent="0.35">
      <c r="AA67" s="8">
        <v>64</v>
      </c>
      <c r="AB67" s="8">
        <f t="shared" si="1"/>
        <v>2.3655030800821355</v>
      </c>
      <c r="AC67" s="8">
        <f t="shared" si="0"/>
        <v>1.8240794535805807</v>
      </c>
    </row>
    <row r="68" spans="27:29" x14ac:dyDescent="0.35">
      <c r="AA68" s="8">
        <v>65</v>
      </c>
      <c r="AB68" s="8">
        <f t="shared" si="1"/>
        <v>2.4024640657084189</v>
      </c>
      <c r="AC68" s="8">
        <f t="shared" ref="AC68:AC103" si="5">E$23/E$12*(1-(AB68/$AB$103)^1.2)^(1/1.2)</f>
        <v>1.7836923968020377</v>
      </c>
    </row>
    <row r="69" spans="27:29" x14ac:dyDescent="0.35">
      <c r="AA69" s="8">
        <v>66</v>
      </c>
      <c r="AB69" s="8">
        <f t="shared" ref="AB69:AB103" si="6">AA69*E$22/E$12/100</f>
        <v>2.4394250513347022</v>
      </c>
      <c r="AC69" s="8">
        <f t="shared" si="5"/>
        <v>1.7429962751808672</v>
      </c>
    </row>
    <row r="70" spans="27:29" x14ac:dyDescent="0.35">
      <c r="AA70" s="8">
        <v>67</v>
      </c>
      <c r="AB70" s="8">
        <f t="shared" si="6"/>
        <v>2.4763860369609856</v>
      </c>
      <c r="AC70" s="8">
        <f t="shared" si="5"/>
        <v>1.7019848117137828</v>
      </c>
    </row>
    <row r="71" spans="27:29" x14ac:dyDescent="0.35">
      <c r="AA71" s="8">
        <v>68</v>
      </c>
      <c r="AB71" s="8">
        <f t="shared" si="6"/>
        <v>2.5133470225872689</v>
      </c>
      <c r="AC71" s="8">
        <f t="shared" si="5"/>
        <v>1.6606512132209832</v>
      </c>
    </row>
    <row r="72" spans="27:29" x14ac:dyDescent="0.35">
      <c r="AA72" s="8">
        <v>69</v>
      </c>
      <c r="AB72" s="8">
        <f t="shared" si="6"/>
        <v>2.5503080082135523</v>
      </c>
      <c r="AC72" s="8">
        <f t="shared" si="5"/>
        <v>1.6189881240033541</v>
      </c>
    </row>
    <row r="73" spans="27:29" x14ac:dyDescent="0.35">
      <c r="AA73" s="8">
        <v>70</v>
      </c>
      <c r="AB73" s="8">
        <f t="shared" si="6"/>
        <v>2.5872689938398357</v>
      </c>
      <c r="AC73" s="8">
        <f t="shared" si="5"/>
        <v>1.5769875730085512</v>
      </c>
    </row>
    <row r="74" spans="27:29" x14ac:dyDescent="0.35">
      <c r="AA74" s="8">
        <v>71</v>
      </c>
      <c r="AB74" s="8">
        <f t="shared" si="6"/>
        <v>2.6242299794661195</v>
      </c>
      <c r="AC74" s="8">
        <f t="shared" si="5"/>
        <v>1.5346409134048187</v>
      </c>
    </row>
    <row r="75" spans="27:29" x14ac:dyDescent="0.35">
      <c r="AA75" s="8">
        <v>72</v>
      </c>
      <c r="AB75" s="8">
        <f t="shared" si="6"/>
        <v>2.6611909650924024</v>
      </c>
      <c r="AC75" s="8">
        <f t="shared" si="5"/>
        <v>1.4919387532250985</v>
      </c>
    </row>
    <row r="76" spans="27:29" x14ac:dyDescent="0.35">
      <c r="AA76" s="8">
        <v>73</v>
      </c>
      <c r="AB76" s="8">
        <f t="shared" si="6"/>
        <v>2.6981519507186857</v>
      </c>
      <c r="AC76" s="8">
        <f t="shared" si="5"/>
        <v>1.4488708754471222</v>
      </c>
    </row>
    <row r="77" spans="27:29" x14ac:dyDescent="0.35">
      <c r="AA77" s="8">
        <v>74</v>
      </c>
      <c r="AB77" s="8">
        <f t="shared" si="6"/>
        <v>2.7351129363449691</v>
      </c>
      <c r="AC77" s="8">
        <f t="shared" si="5"/>
        <v>1.4054261454994113</v>
      </c>
    </row>
    <row r="78" spans="27:29" x14ac:dyDescent="0.35">
      <c r="AA78" s="8">
        <v>75</v>
      </c>
      <c r="AB78" s="8">
        <f t="shared" si="6"/>
        <v>2.7720739219712529</v>
      </c>
      <c r="AC78" s="8">
        <f t="shared" si="5"/>
        <v>1.3615924037034695</v>
      </c>
    </row>
    <row r="79" spans="27:29" x14ac:dyDescent="0.35">
      <c r="AA79" s="8">
        <v>76</v>
      </c>
      <c r="AB79" s="8">
        <f t="shared" si="6"/>
        <v>2.8090349075975358</v>
      </c>
      <c r="AC79" s="8">
        <f t="shared" si="5"/>
        <v>1.3173563395449144</v>
      </c>
    </row>
    <row r="80" spans="27:29" x14ac:dyDescent="0.35">
      <c r="AA80" s="8">
        <v>77</v>
      </c>
      <c r="AB80" s="8">
        <f t="shared" si="6"/>
        <v>2.8459958932238192</v>
      </c>
      <c r="AC80" s="8">
        <f t="shared" si="5"/>
        <v>1.2727033438636175</v>
      </c>
    </row>
    <row r="81" spans="27:29" x14ac:dyDescent="0.35">
      <c r="AA81" s="8">
        <v>78</v>
      </c>
      <c r="AB81" s="8">
        <f t="shared" si="6"/>
        <v>2.882956878850103</v>
      </c>
      <c r="AC81" s="8">
        <f t="shared" si="5"/>
        <v>1.2276173339991052</v>
      </c>
    </row>
    <row r="82" spans="27:29" x14ac:dyDescent="0.35">
      <c r="AA82" s="8">
        <v>79</v>
      </c>
      <c r="AB82" s="8">
        <f t="shared" si="6"/>
        <v>2.9199178644763863</v>
      </c>
      <c r="AC82" s="8">
        <f t="shared" si="5"/>
        <v>1.1820805455286354</v>
      </c>
    </row>
    <row r="83" spans="27:29" x14ac:dyDescent="0.35">
      <c r="AA83" s="8">
        <v>80</v>
      </c>
      <c r="AB83" s="8">
        <f t="shared" si="6"/>
        <v>2.9568788501026693</v>
      </c>
      <c r="AC83" s="8">
        <f t="shared" si="5"/>
        <v>1.1360732823566932</v>
      </c>
    </row>
    <row r="84" spans="27:29" x14ac:dyDescent="0.35">
      <c r="AA84" s="8">
        <v>81</v>
      </c>
      <c r="AB84" s="8">
        <f t="shared" si="6"/>
        <v>2.9938398357289526</v>
      </c>
      <c r="AC84" s="8">
        <f t="shared" si="5"/>
        <v>1.0895736143587396</v>
      </c>
    </row>
    <row r="85" spans="27:29" x14ac:dyDescent="0.35">
      <c r="AA85" s="8">
        <v>82</v>
      </c>
      <c r="AB85" s="8">
        <f t="shared" si="6"/>
        <v>3.0308008213552364</v>
      </c>
      <c r="AC85" s="8">
        <f t="shared" si="5"/>
        <v>1.042557008255929</v>
      </c>
    </row>
    <row r="86" spans="27:29" x14ac:dyDescent="0.35">
      <c r="AA86" s="8">
        <v>83</v>
      </c>
      <c r="AB86" s="8">
        <f t="shared" si="6"/>
        <v>3.0677618069815198</v>
      </c>
      <c r="AC86" s="8">
        <f t="shared" si="5"/>
        <v>0.994995872457482</v>
      </c>
    </row>
    <row r="87" spans="27:29" x14ac:dyDescent="0.35">
      <c r="AA87" s="8">
        <v>84</v>
      </c>
      <c r="AB87" s="8">
        <f t="shared" si="6"/>
        <v>3.1047227926078027</v>
      </c>
      <c r="AC87" s="8">
        <f t="shared" si="5"/>
        <v>0.94685898956871239</v>
      </c>
    </row>
    <row r="88" spans="27:29" x14ac:dyDescent="0.35">
      <c r="AA88" s="8">
        <v>85</v>
      </c>
      <c r="AB88" s="8">
        <f t="shared" si="6"/>
        <v>3.1416837782340861</v>
      </c>
      <c r="AC88" s="8">
        <f t="shared" si="5"/>
        <v>0.89811080004420918</v>
      </c>
    </row>
    <row r="89" spans="27:29" x14ac:dyDescent="0.35">
      <c r="AA89" s="8">
        <v>86</v>
      </c>
      <c r="AB89" s="8">
        <f t="shared" si="6"/>
        <v>3.1786447638603699</v>
      </c>
      <c r="AC89" s="8">
        <f t="shared" si="5"/>
        <v>0.84871048531882132</v>
      </c>
    </row>
    <row r="90" spans="27:29" x14ac:dyDescent="0.35">
      <c r="AA90" s="8">
        <v>87</v>
      </c>
      <c r="AB90" s="8">
        <f t="shared" si="6"/>
        <v>3.2156057494866532</v>
      </c>
      <c r="AC90" s="8">
        <f t="shared" si="5"/>
        <v>0.79861077576666273</v>
      </c>
    </row>
    <row r="91" spans="27:29" x14ac:dyDescent="0.35">
      <c r="AA91" s="8">
        <v>88</v>
      </c>
      <c r="AB91" s="8">
        <f t="shared" si="6"/>
        <v>3.2525667351129361</v>
      </c>
      <c r="AC91" s="8">
        <f t="shared" si="5"/>
        <v>0.74775637303649589</v>
      </c>
    </row>
    <row r="92" spans="27:29" x14ac:dyDescent="0.35">
      <c r="AA92" s="8">
        <v>89</v>
      </c>
      <c r="AB92" s="8">
        <f t="shared" si="6"/>
        <v>3.2895277207392195</v>
      </c>
      <c r="AC92" s="8">
        <f t="shared" si="5"/>
        <v>0.69608181884284648</v>
      </c>
    </row>
    <row r="93" spans="27:29" x14ac:dyDescent="0.35">
      <c r="AA93" s="8">
        <v>90</v>
      </c>
      <c r="AB93" s="8">
        <f t="shared" si="6"/>
        <v>3.3264887063655033</v>
      </c>
      <c r="AC93" s="8">
        <f t="shared" si="5"/>
        <v>0.6435085468109647</v>
      </c>
    </row>
    <row r="94" spans="27:29" x14ac:dyDescent="0.35">
      <c r="AA94" s="8">
        <v>91</v>
      </c>
      <c r="AB94" s="8">
        <f t="shared" si="6"/>
        <v>3.3634496919917867</v>
      </c>
      <c r="AC94" s="8">
        <f t="shared" si="5"/>
        <v>0.58994068886020545</v>
      </c>
    </row>
    <row r="95" spans="27:29" x14ac:dyDescent="0.35">
      <c r="AA95" s="8">
        <v>92</v>
      </c>
      <c r="AB95" s="8">
        <f t="shared" si="6"/>
        <v>3.4004106776180696</v>
      </c>
      <c r="AC95" s="8">
        <f t="shared" si="5"/>
        <v>0.53525890830470924</v>
      </c>
    </row>
    <row r="96" spans="27:29" x14ac:dyDescent="0.35">
      <c r="AA96" s="8">
        <v>93</v>
      </c>
      <c r="AB96" s="8">
        <f t="shared" si="6"/>
        <v>3.4373716632443529</v>
      </c>
      <c r="AC96" s="8">
        <f t="shared" si="5"/>
        <v>0.47931095780499672</v>
      </c>
    </row>
    <row r="97" spans="27:29" x14ac:dyDescent="0.35">
      <c r="AA97" s="8">
        <v>94</v>
      </c>
      <c r="AB97" s="8">
        <f t="shared" si="6"/>
        <v>3.4743326488706368</v>
      </c>
      <c r="AC97" s="8">
        <f t="shared" si="5"/>
        <v>0.42189648079826464</v>
      </c>
    </row>
    <row r="98" spans="27:29" x14ac:dyDescent="0.35">
      <c r="AA98" s="8">
        <v>95</v>
      </c>
      <c r="AB98" s="8">
        <f t="shared" si="6"/>
        <v>3.5112936344969201</v>
      </c>
      <c r="AC98" s="8">
        <f t="shared" si="5"/>
        <v>0.36274093284687364</v>
      </c>
    </row>
    <row r="99" spans="27:29" x14ac:dyDescent="0.35">
      <c r="AA99" s="8">
        <v>96</v>
      </c>
      <c r="AB99" s="8">
        <f t="shared" si="6"/>
        <v>3.548254620123203</v>
      </c>
      <c r="AC99" s="8">
        <f t="shared" si="5"/>
        <v>0.30144687839968526</v>
      </c>
    </row>
    <row r="100" spans="27:29" x14ac:dyDescent="0.35">
      <c r="AA100" s="8">
        <v>97</v>
      </c>
      <c r="AB100" s="8">
        <f t="shared" si="6"/>
        <v>3.5852156057494864</v>
      </c>
      <c r="AC100" s="8">
        <f t="shared" si="5"/>
        <v>0.23739158383537984</v>
      </c>
    </row>
    <row r="101" spans="27:29" x14ac:dyDescent="0.35">
      <c r="AA101" s="8">
        <v>98</v>
      </c>
      <c r="AB101" s="8">
        <f t="shared" si="6"/>
        <v>3.6221765913757702</v>
      </c>
      <c r="AC101" s="8">
        <f t="shared" si="5"/>
        <v>0.16946903233903393</v>
      </c>
    </row>
    <row r="102" spans="27:29" x14ac:dyDescent="0.35">
      <c r="AA102" s="8">
        <v>99</v>
      </c>
      <c r="AB102" s="8">
        <f t="shared" si="6"/>
        <v>3.6591375770020536</v>
      </c>
      <c r="AC102" s="8">
        <f t="shared" si="5"/>
        <v>9.5191333042431492E-2</v>
      </c>
    </row>
    <row r="103" spans="27:29" x14ac:dyDescent="0.35">
      <c r="AA103" s="8">
        <v>100</v>
      </c>
      <c r="AB103" s="8">
        <f t="shared" si="6"/>
        <v>3.6960985626283365</v>
      </c>
      <c r="AC103" s="8">
        <f t="shared" si="5"/>
        <v>0</v>
      </c>
    </row>
  </sheetData>
  <sheetProtection algorithmName="SHA-512" hashValue="2xL/qe+3gB/PZPz3wtwPNDPT6H12AzMQ1FWiu8qWWZrxNZ45fm/CvgjcGstOsbji1+am74+TX0JI81g0Mux7jw==" saltValue="+CmNB8p9rsnSfcBgpgSnLA==" spinCount="100000" sheet="1" objects="1" scenarios="1" selectLockedCells="1"/>
  <mergeCells count="13">
    <mergeCell ref="D21:E21"/>
    <mergeCell ref="C3:F4"/>
    <mergeCell ref="I3:J4"/>
    <mergeCell ref="L3:M4"/>
    <mergeCell ref="D6:E6"/>
    <mergeCell ref="D11:E11"/>
    <mergeCell ref="I12:J13"/>
    <mergeCell ref="L12:M13"/>
    <mergeCell ref="O3:U3"/>
    <mergeCell ref="O5:O6"/>
    <mergeCell ref="O7:O8"/>
    <mergeCell ref="O9:O10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19E8-40EB-40DF-A346-DE57B7418F7B}">
  <dimension ref="B1:AC103"/>
  <sheetViews>
    <sheetView topLeftCell="C1" zoomScale="140" zoomScaleNormal="140" workbookViewId="0">
      <selection activeCell="E22" sqref="E22"/>
    </sheetView>
  </sheetViews>
  <sheetFormatPr defaultColWidth="9.1796875" defaultRowHeight="14.5" x14ac:dyDescent="0.35"/>
  <cols>
    <col min="1" max="2" width="4.54296875" style="8" customWidth="1"/>
    <col min="3" max="3" width="9.1796875" style="8"/>
    <col min="4" max="4" width="9.1796875" style="8" bestFit="1" customWidth="1"/>
    <col min="5" max="5" width="13" style="8" customWidth="1"/>
    <col min="6" max="6" width="9.1796875" style="8"/>
    <col min="7" max="8" width="4.54296875" style="8" customWidth="1"/>
    <col min="9" max="9" width="8.81640625" style="10" bestFit="1" customWidth="1"/>
    <col min="10" max="10" width="10.54296875" style="8" customWidth="1"/>
    <col min="11" max="11" width="4.54296875" style="8" customWidth="1"/>
    <col min="12" max="12" width="8" style="10" customWidth="1"/>
    <col min="13" max="13" width="10.54296875" style="8" customWidth="1"/>
    <col min="14" max="14" width="4.54296875" style="8" customWidth="1"/>
    <col min="15" max="15" width="7.26953125" style="8" customWidth="1"/>
    <col min="16" max="16" width="4.54296875" style="8" customWidth="1"/>
    <col min="17" max="18" width="10.54296875" style="8" customWidth="1"/>
    <col min="19" max="19" width="11.1796875" style="8" customWidth="1"/>
    <col min="20" max="21" width="12.54296875" style="8" customWidth="1"/>
    <col min="22" max="26" width="9.1796875" style="8"/>
    <col min="27" max="29" width="0" style="8" hidden="1" customWidth="1"/>
    <col min="30" max="16384" width="9.1796875" style="8"/>
  </cols>
  <sheetData>
    <row r="1" spans="2:29" ht="15" thickBot="1" x14ac:dyDescent="0.4"/>
    <row r="2" spans="2:29" ht="15" thickBot="1" x14ac:dyDescent="0.4">
      <c r="B2" s="21"/>
      <c r="C2" s="22"/>
      <c r="D2" s="22"/>
      <c r="E2" s="22"/>
      <c r="F2" s="22"/>
      <c r="G2" s="23"/>
      <c r="AA2" s="8" t="s">
        <v>50</v>
      </c>
      <c r="AB2" s="10" t="s">
        <v>45</v>
      </c>
      <c r="AC2" s="8" t="s">
        <v>49</v>
      </c>
    </row>
    <row r="3" spans="2:29" ht="15" customHeight="1" x14ac:dyDescent="0.35">
      <c r="B3" s="24"/>
      <c r="C3" s="35" t="s">
        <v>2</v>
      </c>
      <c r="D3" s="36"/>
      <c r="E3" s="36"/>
      <c r="F3" s="37"/>
      <c r="G3" s="25"/>
      <c r="I3" s="41" t="s">
        <v>27</v>
      </c>
      <c r="J3" s="42"/>
      <c r="L3" s="41" t="s">
        <v>29</v>
      </c>
      <c r="M3" s="42"/>
      <c r="O3" s="30" t="s">
        <v>31</v>
      </c>
      <c r="P3" s="30"/>
      <c r="Q3" s="30"/>
      <c r="R3" s="30"/>
      <c r="S3" s="30"/>
      <c r="T3" s="30"/>
      <c r="U3" s="30"/>
      <c r="AA3" s="8">
        <v>0</v>
      </c>
      <c r="AB3" s="8">
        <f>AA3*E$22/E$12/100</f>
        <v>0</v>
      </c>
      <c r="AC3" s="8">
        <f>E$23/E$12*(1-(AB3/$AB$103)^1.2)^(1/1.2)</f>
        <v>4.5945945945945947</v>
      </c>
    </row>
    <row r="4" spans="2:29" ht="15" thickBot="1" x14ac:dyDescent="0.4">
      <c r="B4" s="24"/>
      <c r="C4" s="38"/>
      <c r="D4" s="39"/>
      <c r="E4" s="39"/>
      <c r="F4" s="40"/>
      <c r="G4" s="25"/>
      <c r="I4" s="43"/>
      <c r="J4" s="44"/>
      <c r="L4" s="43"/>
      <c r="M4" s="44"/>
      <c r="O4" s="18" t="s">
        <v>55</v>
      </c>
      <c r="P4" s="18" t="s">
        <v>32</v>
      </c>
      <c r="Q4" s="18" t="s">
        <v>24</v>
      </c>
      <c r="R4" s="18" t="s">
        <v>25</v>
      </c>
      <c r="S4" s="18" t="s">
        <v>5</v>
      </c>
      <c r="T4" s="18" t="s">
        <v>53</v>
      </c>
      <c r="U4" s="18" t="s">
        <v>54</v>
      </c>
      <c r="AA4" s="8">
        <v>1</v>
      </c>
      <c r="AB4" s="8">
        <f>AA4*E$22/E$12/100</f>
        <v>5.2432432432432431E-2</v>
      </c>
      <c r="AC4" s="8">
        <f t="shared" ref="AC4:AC67" si="0">E$23/E$12*(1-(AB4/$AB$103)^1.2)^(1/1.2)</f>
        <v>4.5793466877288562</v>
      </c>
    </row>
    <row r="5" spans="2:29" x14ac:dyDescent="0.35">
      <c r="B5" s="24"/>
      <c r="C5" s="1"/>
      <c r="D5" s="1"/>
      <c r="E5" s="1"/>
      <c r="F5" s="1"/>
      <c r="G5" s="25"/>
      <c r="I5" s="11" t="s">
        <v>39</v>
      </c>
      <c r="J5" s="12">
        <f>E13/E12</f>
        <v>0</v>
      </c>
      <c r="L5" s="13" t="s">
        <v>17</v>
      </c>
      <c r="M5" s="14">
        <f>3.46*E9/E7</f>
        <v>75.378571428571419</v>
      </c>
      <c r="O5" s="31" t="s">
        <v>56</v>
      </c>
      <c r="P5" s="16" t="s">
        <v>33</v>
      </c>
      <c r="Q5" s="17">
        <f>MAX(J5,J10)</f>
        <v>1.92</v>
      </c>
      <c r="R5" s="17">
        <f>J14</f>
        <v>0</v>
      </c>
      <c r="S5" s="19">
        <f>E12</f>
        <v>222</v>
      </c>
      <c r="T5" s="20">
        <f>S5*Q5</f>
        <v>426.24</v>
      </c>
      <c r="U5" s="20">
        <f>S5*R5</f>
        <v>0</v>
      </c>
      <c r="AA5" s="8">
        <v>2</v>
      </c>
      <c r="AB5" s="8">
        <f t="shared" ref="AB5:AB68" si="1">AA5*E$22/E$12/100</f>
        <v>0.10486486486486486</v>
      </c>
      <c r="AC5" s="8">
        <f t="shared" si="0"/>
        <v>4.5595489533614595</v>
      </c>
    </row>
    <row r="6" spans="2:29" x14ac:dyDescent="0.35">
      <c r="B6" s="24"/>
      <c r="C6" s="1"/>
      <c r="D6" s="33" t="s">
        <v>0</v>
      </c>
      <c r="E6" s="34"/>
      <c r="F6" s="1"/>
      <c r="G6" s="25"/>
      <c r="I6" s="11" t="s">
        <v>40</v>
      </c>
      <c r="J6" s="12">
        <f>E14/E12</f>
        <v>1.9594594594594594</v>
      </c>
      <c r="L6" s="13" t="s">
        <v>20</v>
      </c>
      <c r="M6" s="14">
        <f>IF(J7&lt;J10,1,MAX(0.6+0.4*J8/J7,0.4))</f>
        <v>0.6</v>
      </c>
      <c r="O6" s="32"/>
      <c r="P6" s="16" t="s">
        <v>34</v>
      </c>
      <c r="Q6" s="17">
        <f>J5</f>
        <v>0</v>
      </c>
      <c r="R6" s="17">
        <f>MAX(J14,J19)</f>
        <v>2.4</v>
      </c>
      <c r="S6" s="19">
        <f>S5</f>
        <v>222</v>
      </c>
      <c r="T6" s="20">
        <f t="shared" ref="T6:T10" si="2">S6*Q6</f>
        <v>0</v>
      </c>
      <c r="U6" s="20">
        <f t="shared" ref="U6:U10" si="3">S6*R6</f>
        <v>532.79999999999995</v>
      </c>
      <c r="AA6" s="8">
        <v>3</v>
      </c>
      <c r="AB6" s="8">
        <f t="shared" si="1"/>
        <v>0.1572972972972973</v>
      </c>
      <c r="AC6" s="8">
        <f t="shared" si="0"/>
        <v>4.5375581147243444</v>
      </c>
    </row>
    <row r="7" spans="2:29" x14ac:dyDescent="0.35">
      <c r="B7" s="24"/>
      <c r="C7" s="1"/>
      <c r="D7" s="3" t="s">
        <v>1</v>
      </c>
      <c r="E7" s="4">
        <v>14</v>
      </c>
      <c r="F7" s="1"/>
      <c r="G7" s="25"/>
      <c r="I7" s="11" t="s">
        <v>9</v>
      </c>
      <c r="J7" s="12">
        <f>MAX(J5:J6)</f>
        <v>1.9594594594594594</v>
      </c>
      <c r="L7" s="13" t="s">
        <v>19</v>
      </c>
      <c r="M7" s="14">
        <f>MAX(MIN((25+12.5*J7/E7)/M6,90),35)</f>
        <v>44.582528957528957</v>
      </c>
      <c r="O7" s="31" t="s">
        <v>57</v>
      </c>
      <c r="P7" s="16" t="s">
        <v>35</v>
      </c>
      <c r="Q7" s="17">
        <f>MAX(J6,J10)</f>
        <v>1.9594594594594594</v>
      </c>
      <c r="R7" s="17">
        <f>J15</f>
        <v>0</v>
      </c>
      <c r="S7" s="19">
        <f t="shared" ref="S7:S10" si="4">S6</f>
        <v>222</v>
      </c>
      <c r="T7" s="20">
        <f t="shared" si="2"/>
        <v>435</v>
      </c>
      <c r="U7" s="20">
        <f t="shared" si="3"/>
        <v>0</v>
      </c>
      <c r="AA7" s="8">
        <v>4</v>
      </c>
      <c r="AB7" s="8">
        <f t="shared" si="1"/>
        <v>0.20972972972972972</v>
      </c>
      <c r="AC7" s="8">
        <f t="shared" si="0"/>
        <v>4.514000353864466</v>
      </c>
    </row>
    <row r="8" spans="2:29" x14ac:dyDescent="0.35">
      <c r="B8" s="24"/>
      <c r="C8" s="1"/>
      <c r="D8" s="3" t="s">
        <v>3</v>
      </c>
      <c r="E8" s="4">
        <v>30</v>
      </c>
      <c r="F8" s="1"/>
      <c r="G8" s="25"/>
      <c r="I8" s="11" t="s">
        <v>10</v>
      </c>
      <c r="J8" s="12">
        <f>-MIN(J5:J6)</f>
        <v>0</v>
      </c>
      <c r="L8" s="13" t="s">
        <v>23</v>
      </c>
      <c r="M8" s="12">
        <f>IF(M5&lt;=M7,0,0.0005*E$9^2/((MAX(E$12/(E$7*E$8*E$19/1.4),0.5)+0.5)*E7))</f>
        <v>3.3223214285714286</v>
      </c>
      <c r="O8" s="32"/>
      <c r="P8" s="16" t="s">
        <v>36</v>
      </c>
      <c r="Q8" s="17">
        <f>J6</f>
        <v>1.9594594594594594</v>
      </c>
      <c r="R8" s="17">
        <f>MAX(J15,J19)</f>
        <v>2.4</v>
      </c>
      <c r="S8" s="19">
        <f t="shared" si="4"/>
        <v>222</v>
      </c>
      <c r="T8" s="20">
        <f t="shared" si="2"/>
        <v>435</v>
      </c>
      <c r="U8" s="20">
        <f t="shared" si="3"/>
        <v>532.79999999999995</v>
      </c>
      <c r="AA8" s="8">
        <v>5</v>
      </c>
      <c r="AB8" s="8">
        <f t="shared" si="1"/>
        <v>0.26216216216216215</v>
      </c>
      <c r="AC8" s="8">
        <f t="shared" si="0"/>
        <v>4.4891963134302237</v>
      </c>
    </row>
    <row r="9" spans="2:29" x14ac:dyDescent="0.35">
      <c r="B9" s="24"/>
      <c r="C9" s="1"/>
      <c r="D9" s="3" t="s">
        <v>4</v>
      </c>
      <c r="E9" s="4">
        <v>305</v>
      </c>
      <c r="F9" s="1"/>
      <c r="G9" s="25"/>
      <c r="I9" s="11" t="s">
        <v>11</v>
      </c>
      <c r="J9" s="12">
        <f>MAX(0.6*J7+0.4*J8,0.4*J7)</f>
        <v>1.1756756756756757</v>
      </c>
      <c r="O9" s="31" t="s">
        <v>58</v>
      </c>
      <c r="P9" s="16" t="s">
        <v>43</v>
      </c>
      <c r="Q9" s="17">
        <f>MAX(J9,J10)+M8</f>
        <v>5.2423214285714286</v>
      </c>
      <c r="R9" s="17">
        <f>J18</f>
        <v>0</v>
      </c>
      <c r="S9" s="19">
        <f t="shared" si="4"/>
        <v>222</v>
      </c>
      <c r="T9" s="20">
        <f t="shared" si="2"/>
        <v>1163.7953571428573</v>
      </c>
      <c r="U9" s="20">
        <f t="shared" si="3"/>
        <v>0</v>
      </c>
      <c r="AA9" s="8">
        <v>6</v>
      </c>
      <c r="AB9" s="8">
        <f t="shared" si="1"/>
        <v>0.3145945945945946</v>
      </c>
      <c r="AC9" s="8">
        <f t="shared" si="0"/>
        <v>4.4633445552406696</v>
      </c>
    </row>
    <row r="10" spans="2:29" x14ac:dyDescent="0.35">
      <c r="B10" s="24"/>
      <c r="C10" s="1"/>
      <c r="D10" s="1"/>
      <c r="E10" s="9"/>
      <c r="F10" s="1"/>
      <c r="G10" s="25"/>
      <c r="I10" s="11" t="s">
        <v>12</v>
      </c>
      <c r="J10" s="12">
        <f>1.5+0.03*E7</f>
        <v>1.92</v>
      </c>
      <c r="O10" s="32"/>
      <c r="P10" s="16" t="s">
        <v>44</v>
      </c>
      <c r="Q10" s="17">
        <f>J9</f>
        <v>1.1756756756756757</v>
      </c>
      <c r="R10" s="17">
        <f>MAX(J18,J19)+M17</f>
        <v>3.9504166666666665</v>
      </c>
      <c r="S10" s="19">
        <f t="shared" si="4"/>
        <v>222</v>
      </c>
      <c r="T10" s="20">
        <f t="shared" si="2"/>
        <v>261</v>
      </c>
      <c r="U10" s="20">
        <f t="shared" si="3"/>
        <v>876.99249999999995</v>
      </c>
      <c r="AA10" s="8">
        <v>7</v>
      </c>
      <c r="AB10" s="8">
        <f t="shared" si="1"/>
        <v>0.367027027027027</v>
      </c>
      <c r="AC10" s="8">
        <f t="shared" si="0"/>
        <v>4.4365812653041115</v>
      </c>
    </row>
    <row r="11" spans="2:29" x14ac:dyDescent="0.35">
      <c r="B11" s="24"/>
      <c r="C11" s="26"/>
      <c r="D11" s="33" t="s">
        <v>51</v>
      </c>
      <c r="E11" s="34"/>
      <c r="F11" s="26"/>
      <c r="G11" s="25"/>
      <c r="AA11" s="8">
        <v>8</v>
      </c>
      <c r="AB11" s="8">
        <f t="shared" si="1"/>
        <v>0.41945945945945945</v>
      </c>
      <c r="AC11" s="8">
        <f t="shared" si="0"/>
        <v>4.4090060994566738</v>
      </c>
    </row>
    <row r="12" spans="2:29" x14ac:dyDescent="0.35">
      <c r="B12" s="24"/>
      <c r="C12" s="26"/>
      <c r="D12" s="3" t="s">
        <v>5</v>
      </c>
      <c r="E12" s="7">
        <v>222</v>
      </c>
      <c r="F12" s="26"/>
      <c r="G12" s="25"/>
      <c r="I12" s="41" t="s">
        <v>28</v>
      </c>
      <c r="J12" s="42"/>
      <c r="L12" s="41" t="s">
        <v>30</v>
      </c>
      <c r="M12" s="42"/>
      <c r="AA12" s="8">
        <v>9</v>
      </c>
      <c r="AB12" s="8">
        <f t="shared" si="1"/>
        <v>0.47189189189189185</v>
      </c>
      <c r="AC12" s="8">
        <f t="shared" si="0"/>
        <v>4.3806953343555479</v>
      </c>
    </row>
    <row r="13" spans="2:29" x14ac:dyDescent="0.35">
      <c r="B13" s="24"/>
      <c r="C13" s="26"/>
      <c r="D13" s="3" t="s">
        <v>6</v>
      </c>
      <c r="E13" s="5">
        <v>0</v>
      </c>
      <c r="F13" s="26"/>
      <c r="G13" s="25"/>
      <c r="I13" s="43"/>
      <c r="J13" s="44"/>
      <c r="L13" s="43"/>
      <c r="M13" s="44"/>
      <c r="AA13" s="8">
        <v>10</v>
      </c>
      <c r="AB13" s="8">
        <f t="shared" si="1"/>
        <v>0.5243243243243243</v>
      </c>
      <c r="AC13" s="8">
        <f t="shared" si="0"/>
        <v>4.3517093128761886</v>
      </c>
    </row>
    <row r="14" spans="2:29" x14ac:dyDescent="0.35">
      <c r="B14" s="24"/>
      <c r="C14" s="26"/>
      <c r="D14" s="3" t="s">
        <v>7</v>
      </c>
      <c r="E14" s="5">
        <v>435</v>
      </c>
      <c r="F14" s="26"/>
      <c r="G14" s="25"/>
      <c r="I14" s="11" t="s">
        <v>41</v>
      </c>
      <c r="J14" s="12">
        <f>E15/E12</f>
        <v>0</v>
      </c>
      <c r="L14" s="13" t="s">
        <v>18</v>
      </c>
      <c r="M14" s="15">
        <f>3.46*E9/E8</f>
        <v>35.176666666666662</v>
      </c>
      <c r="AA14" s="8">
        <v>11</v>
      </c>
      <c r="AB14" s="8">
        <f t="shared" si="1"/>
        <v>0.57675675675675675</v>
      </c>
      <c r="AC14" s="8">
        <f t="shared" si="0"/>
        <v>4.322096994521031</v>
      </c>
    </row>
    <row r="15" spans="2:29" x14ac:dyDescent="0.35">
      <c r="B15" s="24"/>
      <c r="C15" s="26"/>
      <c r="D15" s="3" t="s">
        <v>37</v>
      </c>
      <c r="E15" s="5">
        <v>0</v>
      </c>
      <c r="F15" s="26"/>
      <c r="G15" s="25"/>
      <c r="I15" s="11" t="s">
        <v>42</v>
      </c>
      <c r="J15" s="12">
        <f>E16/E12</f>
        <v>0</v>
      </c>
      <c r="L15" s="13" t="s">
        <v>21</v>
      </c>
      <c r="M15" s="14">
        <f>IF(J16&lt;J19,1,MAX(0.6+0.4*J17/J16,0.4))</f>
        <v>1</v>
      </c>
      <c r="AA15" s="8">
        <v>12</v>
      </c>
      <c r="AB15" s="8">
        <f t="shared" si="1"/>
        <v>0.6291891891891892</v>
      </c>
      <c r="AC15" s="8">
        <f t="shared" si="0"/>
        <v>4.2918989020532852</v>
      </c>
    </row>
    <row r="16" spans="2:29" x14ac:dyDescent="0.35">
      <c r="B16" s="24"/>
      <c r="C16" s="26"/>
      <c r="D16" s="3" t="s">
        <v>38</v>
      </c>
      <c r="E16" s="5">
        <v>0</v>
      </c>
      <c r="F16" s="26"/>
      <c r="G16" s="25"/>
      <c r="I16" s="11" t="s">
        <v>13</v>
      </c>
      <c r="J16" s="12">
        <f>MAX(J14:J15)</f>
        <v>0</v>
      </c>
      <c r="L16" s="13" t="s">
        <v>22</v>
      </c>
      <c r="M16" s="14">
        <f>MAX(MIN((25+12.5*J16/E8)/M15,90),35)</f>
        <v>35</v>
      </c>
      <c r="AA16" s="8">
        <v>13</v>
      </c>
      <c r="AB16" s="8">
        <f t="shared" si="1"/>
        <v>0.68162162162162165</v>
      </c>
      <c r="AC16" s="8">
        <f t="shared" si="0"/>
        <v>4.2611491181300867</v>
      </c>
    </row>
    <row r="17" spans="2:29" x14ac:dyDescent="0.35">
      <c r="B17" s="24"/>
      <c r="C17" s="26"/>
      <c r="D17" s="26"/>
      <c r="E17" s="26"/>
      <c r="F17" s="26"/>
      <c r="G17" s="25"/>
      <c r="I17" s="11" t="s">
        <v>14</v>
      </c>
      <c r="J17" s="12">
        <f>-MIN(J14:J15)</f>
        <v>0</v>
      </c>
      <c r="L17" s="13" t="s">
        <v>26</v>
      </c>
      <c r="M17" s="12">
        <f>IF(M14&lt;=M16,0,0.0005*E$9^2/((MAX(E$12/(E$7*E$8*E$19/1.4),0.5)+0.5)*E8))</f>
        <v>1.5504166666666668</v>
      </c>
      <c r="AA17" s="8">
        <v>14</v>
      </c>
      <c r="AB17" s="8">
        <f t="shared" si="1"/>
        <v>0.73405405405405399</v>
      </c>
      <c r="AC17" s="8">
        <f t="shared" si="0"/>
        <v>4.2298766886143726</v>
      </c>
    </row>
    <row r="18" spans="2:29" x14ac:dyDescent="0.35">
      <c r="B18" s="24"/>
      <c r="C18" s="26"/>
      <c r="D18" s="33" t="s">
        <v>52</v>
      </c>
      <c r="E18" s="34"/>
      <c r="F18" s="26"/>
      <c r="G18" s="25"/>
      <c r="I18" s="11" t="s">
        <v>15</v>
      </c>
      <c r="J18" s="12">
        <f>MAX(0.6*J16+0.4*J17,0.4*J16)</f>
        <v>0</v>
      </c>
      <c r="AA18" s="8">
        <v>15</v>
      </c>
      <c r="AB18" s="8">
        <f t="shared" si="1"/>
        <v>0.78648648648648645</v>
      </c>
      <c r="AC18" s="8">
        <f t="shared" si="0"/>
        <v>4.1981066390566317</v>
      </c>
    </row>
    <row r="19" spans="2:29" x14ac:dyDescent="0.35">
      <c r="B19" s="24"/>
      <c r="C19" s="26"/>
      <c r="D19" s="2" t="s">
        <v>8</v>
      </c>
      <c r="E19" s="6">
        <v>2.5</v>
      </c>
      <c r="F19" s="26"/>
      <c r="G19" s="25"/>
      <c r="I19" s="11" t="s">
        <v>16</v>
      </c>
      <c r="J19" s="12">
        <f>1.5+0.03*E8</f>
        <v>2.4</v>
      </c>
      <c r="AA19" s="8">
        <v>16</v>
      </c>
      <c r="AB19" s="8">
        <f t="shared" si="1"/>
        <v>0.8389189189189189</v>
      </c>
      <c r="AC19" s="8">
        <f t="shared" si="0"/>
        <v>4.1658607298215786</v>
      </c>
    </row>
    <row r="20" spans="2:29" x14ac:dyDescent="0.35">
      <c r="B20" s="24"/>
      <c r="C20" s="26"/>
      <c r="D20" s="26"/>
      <c r="E20" s="26"/>
      <c r="F20" s="26"/>
      <c r="G20" s="25"/>
      <c r="AA20" s="8">
        <v>17</v>
      </c>
      <c r="AB20" s="8">
        <f t="shared" si="1"/>
        <v>0.89135135135135135</v>
      </c>
      <c r="AC20" s="8">
        <f t="shared" si="0"/>
        <v>4.13315802924319</v>
      </c>
    </row>
    <row r="21" spans="2:29" x14ac:dyDescent="0.35">
      <c r="B21" s="24"/>
      <c r="C21" s="26"/>
      <c r="D21" s="33" t="s">
        <v>46</v>
      </c>
      <c r="E21" s="34"/>
      <c r="F21" s="26"/>
      <c r="G21" s="25"/>
      <c r="AA21" s="8">
        <v>18</v>
      </c>
      <c r="AB21" s="8">
        <f t="shared" si="1"/>
        <v>0.94378378378378369</v>
      </c>
      <c r="AC21" s="8">
        <f t="shared" si="0"/>
        <v>4.100015356775879</v>
      </c>
    </row>
    <row r="22" spans="2:29" x14ac:dyDescent="0.35">
      <c r="B22" s="24"/>
      <c r="C22" s="26"/>
      <c r="D22" s="3" t="s">
        <v>47</v>
      </c>
      <c r="E22" s="5">
        <v>1164</v>
      </c>
      <c r="F22" s="26"/>
      <c r="G22" s="25"/>
      <c r="AA22" s="8">
        <v>19</v>
      </c>
      <c r="AB22" s="8">
        <f t="shared" si="1"/>
        <v>0.99621621621621625</v>
      </c>
      <c r="AC22" s="8">
        <f t="shared" si="0"/>
        <v>4.0664476311739142</v>
      </c>
    </row>
    <row r="23" spans="2:29" x14ac:dyDescent="0.35">
      <c r="B23" s="24"/>
      <c r="C23" s="26"/>
      <c r="D23" s="3" t="s">
        <v>48</v>
      </c>
      <c r="E23" s="5">
        <v>1020</v>
      </c>
      <c r="F23" s="26"/>
      <c r="G23" s="25"/>
      <c r="AA23" s="8">
        <v>20</v>
      </c>
      <c r="AB23" s="8">
        <f t="shared" si="1"/>
        <v>1.0486486486486486</v>
      </c>
      <c r="AC23" s="8">
        <f t="shared" si="0"/>
        <v>4.0324681479231463</v>
      </c>
    </row>
    <row r="24" spans="2:29" ht="15" thickBot="1" x14ac:dyDescent="0.4">
      <c r="B24" s="27"/>
      <c r="C24" s="28"/>
      <c r="D24" s="28"/>
      <c r="E24" s="28"/>
      <c r="F24" s="28"/>
      <c r="G24" s="29"/>
      <c r="AA24" s="8">
        <v>21</v>
      </c>
      <c r="AB24" s="8">
        <f t="shared" si="1"/>
        <v>1.1010810810810812</v>
      </c>
      <c r="AC24" s="8">
        <f t="shared" si="0"/>
        <v>3.9980888030531641</v>
      </c>
    </row>
    <row r="25" spans="2:29" x14ac:dyDescent="0.35">
      <c r="AA25" s="8">
        <v>22</v>
      </c>
      <c r="AB25" s="8">
        <f t="shared" si="1"/>
        <v>1.1535135135135135</v>
      </c>
      <c r="AC25" s="8">
        <f t="shared" si="0"/>
        <v>3.9633202756816464</v>
      </c>
    </row>
    <row r="26" spans="2:29" x14ac:dyDescent="0.35">
      <c r="AA26" s="8">
        <v>23</v>
      </c>
      <c r="AB26" s="8">
        <f t="shared" si="1"/>
        <v>1.2059459459459461</v>
      </c>
      <c r="AC26" s="8">
        <f t="shared" si="0"/>
        <v>3.9281721783557728</v>
      </c>
    </row>
    <row r="27" spans="2:29" x14ac:dyDescent="0.35">
      <c r="AA27" s="8">
        <v>24</v>
      </c>
      <c r="AB27" s="8">
        <f t="shared" si="1"/>
        <v>1.2583783783783784</v>
      </c>
      <c r="AC27" s="8">
        <f t="shared" si="0"/>
        <v>3.8926531819485923</v>
      </c>
    </row>
    <row r="28" spans="2:29" x14ac:dyDescent="0.35">
      <c r="AA28" s="8">
        <v>25</v>
      </c>
      <c r="AB28" s="8">
        <f t="shared" si="1"/>
        <v>1.310810810810811</v>
      </c>
      <c r="AC28" s="8">
        <f t="shared" si="0"/>
        <v>3.8567711202200354</v>
      </c>
    </row>
    <row r="29" spans="2:29" x14ac:dyDescent="0.35">
      <c r="AA29" s="8">
        <v>26</v>
      </c>
      <c r="AB29" s="8">
        <f t="shared" si="1"/>
        <v>1.3632432432432433</v>
      </c>
      <c r="AC29" s="8">
        <f t="shared" si="0"/>
        <v>3.8205330779556785</v>
      </c>
    </row>
    <row r="30" spans="2:29" x14ac:dyDescent="0.35">
      <c r="AA30" s="8">
        <v>27</v>
      </c>
      <c r="AB30" s="8">
        <f t="shared" si="1"/>
        <v>1.4156756756756759</v>
      </c>
      <c r="AC30" s="8">
        <f t="shared" si="0"/>
        <v>3.7839454657149001</v>
      </c>
    </row>
    <row r="31" spans="2:29" x14ac:dyDescent="0.35">
      <c r="AA31" s="8">
        <v>28</v>
      </c>
      <c r="AB31" s="8">
        <f t="shared" si="1"/>
        <v>1.468108108108108</v>
      </c>
      <c r="AC31" s="8">
        <f t="shared" si="0"/>
        <v>3.7470140835619512</v>
      </c>
    </row>
    <row r="32" spans="2:29" x14ac:dyDescent="0.35">
      <c r="AA32" s="8">
        <v>29</v>
      </c>
      <c r="AB32" s="8">
        <f t="shared" si="1"/>
        <v>1.5205405405405406</v>
      </c>
      <c r="AC32" s="8">
        <f t="shared" si="0"/>
        <v>3.7097441756561453</v>
      </c>
    </row>
    <row r="33" spans="27:29" x14ac:dyDescent="0.35">
      <c r="AA33" s="8">
        <v>30</v>
      </c>
      <c r="AB33" s="8">
        <f t="shared" si="1"/>
        <v>1.5729729729729729</v>
      </c>
      <c r="AC33" s="8">
        <f t="shared" si="0"/>
        <v>3.6721404771971589</v>
      </c>
    </row>
    <row r="34" spans="27:29" x14ac:dyDescent="0.35">
      <c r="AA34" s="8">
        <v>31</v>
      </c>
      <c r="AB34" s="8">
        <f t="shared" si="1"/>
        <v>1.6254054054054055</v>
      </c>
      <c r="AC34" s="8">
        <f t="shared" si="0"/>
        <v>3.6342072549277837</v>
      </c>
    </row>
    <row r="35" spans="27:29" x14ac:dyDescent="0.35">
      <c r="AA35" s="8">
        <v>32</v>
      </c>
      <c r="AB35" s="8">
        <f t="shared" si="1"/>
        <v>1.6778378378378378</v>
      </c>
      <c r="AC35" s="8">
        <f t="shared" si="0"/>
        <v>3.5959483421673637</v>
      </c>
    </row>
    <row r="36" spans="27:29" x14ac:dyDescent="0.35">
      <c r="AA36" s="8">
        <v>33</v>
      </c>
      <c r="AB36" s="8">
        <f t="shared" si="1"/>
        <v>1.7302702702702704</v>
      </c>
      <c r="AC36" s="8">
        <f t="shared" si="0"/>
        <v>3.5573671691687583</v>
      </c>
    </row>
    <row r="37" spans="27:29" x14ac:dyDescent="0.35">
      <c r="AA37" s="8">
        <v>34</v>
      </c>
      <c r="AB37" s="8">
        <f t="shared" si="1"/>
        <v>1.7827027027027027</v>
      </c>
      <c r="AC37" s="8">
        <f t="shared" si="0"/>
        <v>3.5184667894483854</v>
      </c>
    </row>
    <row r="38" spans="27:29" x14ac:dyDescent="0.35">
      <c r="AA38" s="8">
        <v>35</v>
      </c>
      <c r="AB38" s="8">
        <f t="shared" si="1"/>
        <v>1.8351351351351353</v>
      </c>
      <c r="AC38" s="8">
        <f t="shared" si="0"/>
        <v>3.4792499026241273</v>
      </c>
    </row>
    <row r="39" spans="27:29" x14ac:dyDescent="0.35">
      <c r="AA39" s="8">
        <v>36</v>
      </c>
      <c r="AB39" s="8">
        <f t="shared" si="1"/>
        <v>1.8875675675675674</v>
      </c>
      <c r="AC39" s="8">
        <f t="shared" si="0"/>
        <v>3.4397188742031504</v>
      </c>
    </row>
    <row r="40" spans="27:29" x14ac:dyDescent="0.35">
      <c r="AA40" s="8">
        <v>37</v>
      </c>
      <c r="AB40" s="8">
        <f t="shared" si="1"/>
        <v>1.94</v>
      </c>
      <c r="AC40" s="8">
        <f t="shared" si="0"/>
        <v>3.3998757526862362</v>
      </c>
    </row>
    <row r="41" spans="27:29" x14ac:dyDescent="0.35">
      <c r="AA41" s="8">
        <v>38</v>
      </c>
      <c r="AB41" s="8">
        <f t="shared" si="1"/>
        <v>1.9924324324324325</v>
      </c>
      <c r="AC41" s="8">
        <f t="shared" si="0"/>
        <v>3.3597222842932526</v>
      </c>
    </row>
    <row r="42" spans="27:29" x14ac:dyDescent="0.35">
      <c r="AA42" s="8">
        <v>39</v>
      </c>
      <c r="AB42" s="8">
        <f t="shared" si="1"/>
        <v>2.0448648648648646</v>
      </c>
      <c r="AC42" s="8">
        <f t="shared" si="0"/>
        <v>3.3192599255631143</v>
      </c>
    </row>
    <row r="43" spans="27:29" x14ac:dyDescent="0.35">
      <c r="AA43" s="8">
        <v>40</v>
      </c>
      <c r="AB43" s="8">
        <f t="shared" si="1"/>
        <v>2.0972972972972972</v>
      </c>
      <c r="AC43" s="8">
        <f t="shared" si="0"/>
        <v>3.2784898540387988</v>
      </c>
    </row>
    <row r="44" spans="27:29" x14ac:dyDescent="0.35">
      <c r="AA44" s="8">
        <v>41</v>
      </c>
      <c r="AB44" s="8">
        <f t="shared" si="1"/>
        <v>2.1497297297297298</v>
      </c>
      <c r="AC44" s="8">
        <f t="shared" si="0"/>
        <v>3.2374129772119007</v>
      </c>
    </row>
    <row r="45" spans="27:29" x14ac:dyDescent="0.35">
      <c r="AA45" s="8">
        <v>42</v>
      </c>
      <c r="AB45" s="8">
        <f t="shared" si="1"/>
        <v>2.2021621621621623</v>
      </c>
      <c r="AC45" s="8">
        <f t="shared" si="0"/>
        <v>3.1960299398705554</v>
      </c>
    </row>
    <row r="46" spans="27:29" x14ac:dyDescent="0.35">
      <c r="AA46" s="8">
        <v>43</v>
      </c>
      <c r="AB46" s="8">
        <f t="shared" si="1"/>
        <v>2.2545945945945944</v>
      </c>
      <c r="AC46" s="8">
        <f t="shared" si="0"/>
        <v>3.1543411299681257</v>
      </c>
    </row>
    <row r="47" spans="27:29" x14ac:dyDescent="0.35">
      <c r="AA47" s="8">
        <v>44</v>
      </c>
      <c r="AB47" s="8">
        <f t="shared" si="1"/>
        <v>2.307027027027027</v>
      </c>
      <c r="AC47" s="8">
        <f t="shared" si="0"/>
        <v>3.1123466831071025</v>
      </c>
    </row>
    <row r="48" spans="27:29" x14ac:dyDescent="0.35">
      <c r="AA48" s="8">
        <v>45</v>
      </c>
      <c r="AB48" s="8">
        <f t="shared" si="1"/>
        <v>2.3594594594594596</v>
      </c>
      <c r="AC48" s="8">
        <f t="shared" si="0"/>
        <v>3.0700464857123189</v>
      </c>
    </row>
    <row r="49" spans="27:29" x14ac:dyDescent="0.35">
      <c r="AA49" s="8">
        <v>46</v>
      </c>
      <c r="AB49" s="8">
        <f t="shared" si="1"/>
        <v>2.4118918918918921</v>
      </c>
      <c r="AC49" s="8">
        <f t="shared" si="0"/>
        <v>3.0274401769493857</v>
      </c>
    </row>
    <row r="50" spans="27:29" x14ac:dyDescent="0.35">
      <c r="AA50" s="8">
        <v>47</v>
      </c>
      <c r="AB50" s="8">
        <f t="shared" si="1"/>
        <v>2.4643243243243242</v>
      </c>
      <c r="AC50" s="8">
        <f t="shared" si="0"/>
        <v>2.9845271494276142</v>
      </c>
    </row>
    <row r="51" spans="27:29" x14ac:dyDescent="0.35">
      <c r="AA51" s="8">
        <v>48</v>
      </c>
      <c r="AB51" s="8">
        <f t="shared" si="1"/>
        <v>2.5167567567567568</v>
      </c>
      <c r="AC51" s="8">
        <f t="shared" si="0"/>
        <v>2.9413065487112049</v>
      </c>
    </row>
    <row r="52" spans="27:29" x14ac:dyDescent="0.35">
      <c r="AA52" s="8">
        <v>49</v>
      </c>
      <c r="AB52" s="8">
        <f t="shared" si="1"/>
        <v>2.5691891891891889</v>
      </c>
      <c r="AC52" s="8">
        <f t="shared" si="0"/>
        <v>2.8977772716477745</v>
      </c>
    </row>
    <row r="53" spans="27:29" x14ac:dyDescent="0.35">
      <c r="AA53" s="8">
        <v>50</v>
      </c>
      <c r="AB53" s="8">
        <f t="shared" si="1"/>
        <v>2.6216216216216219</v>
      </c>
      <c r="AC53" s="8">
        <f t="shared" si="0"/>
        <v>2.8539379635089781</v>
      </c>
    </row>
    <row r="54" spans="27:29" x14ac:dyDescent="0.35">
      <c r="AA54" s="8">
        <v>51</v>
      </c>
      <c r="AB54" s="8">
        <f t="shared" si="1"/>
        <v>2.6740540540540541</v>
      </c>
      <c r="AC54" s="8">
        <f t="shared" si="0"/>
        <v>2.8097870139237999</v>
      </c>
    </row>
    <row r="55" spans="27:29" x14ac:dyDescent="0.35">
      <c r="AA55" s="8">
        <v>52</v>
      </c>
      <c r="AB55" s="8">
        <f t="shared" si="1"/>
        <v>2.7264864864864866</v>
      </c>
      <c r="AC55" s="8">
        <f t="shared" si="0"/>
        <v>2.7653225515706032</v>
      </c>
    </row>
    <row r="56" spans="27:29" x14ac:dyDescent="0.35">
      <c r="AA56" s="8">
        <v>53</v>
      </c>
      <c r="AB56" s="8">
        <f t="shared" si="1"/>
        <v>2.7789189189189187</v>
      </c>
      <c r="AC56" s="8">
        <f t="shared" si="0"/>
        <v>2.7205424375790934</v>
      </c>
    </row>
    <row r="57" spans="27:29" x14ac:dyDescent="0.35">
      <c r="AA57" s="8">
        <v>54</v>
      </c>
      <c r="AB57" s="8">
        <f t="shared" si="1"/>
        <v>2.8313513513513517</v>
      </c>
      <c r="AC57" s="8">
        <f t="shared" si="0"/>
        <v>2.6754442575774107</v>
      </c>
    </row>
    <row r="58" spans="27:29" x14ac:dyDescent="0.35">
      <c r="AA58" s="8">
        <v>55</v>
      </c>
      <c r="AB58" s="8">
        <f t="shared" si="1"/>
        <v>2.8837837837837839</v>
      </c>
      <c r="AC58" s="8">
        <f t="shared" si="0"/>
        <v>2.6300253123024682</v>
      </c>
    </row>
    <row r="59" spans="27:29" x14ac:dyDescent="0.35">
      <c r="AA59" s="8">
        <v>56</v>
      </c>
      <c r="AB59" s="8">
        <f t="shared" si="1"/>
        <v>2.936216216216216</v>
      </c>
      <c r="AC59" s="8">
        <f t="shared" si="0"/>
        <v>2.5842826066728191</v>
      </c>
    </row>
    <row r="60" spans="27:29" x14ac:dyDescent="0.35">
      <c r="AA60" s="8">
        <v>57</v>
      </c>
      <c r="AB60" s="8">
        <f t="shared" si="1"/>
        <v>2.9886486486486485</v>
      </c>
      <c r="AC60" s="8">
        <f t="shared" si="0"/>
        <v>2.5382128372024386</v>
      </c>
    </row>
    <row r="61" spans="27:29" x14ac:dyDescent="0.35">
      <c r="AA61" s="8">
        <v>58</v>
      </c>
      <c r="AB61" s="8">
        <f t="shared" si="1"/>
        <v>3.0410810810810811</v>
      </c>
      <c r="AC61" s="8">
        <f t="shared" si="0"/>
        <v>2.4918123776102061</v>
      </c>
    </row>
    <row r="62" spans="27:29" x14ac:dyDescent="0.35">
      <c r="AA62" s="8">
        <v>59</v>
      </c>
      <c r="AB62" s="8">
        <f t="shared" si="1"/>
        <v>3.0935135135135137</v>
      </c>
      <c r="AC62" s="8">
        <f t="shared" si="0"/>
        <v>2.4450772624530051</v>
      </c>
    </row>
    <row r="63" spans="27:29" x14ac:dyDescent="0.35">
      <c r="AA63" s="8">
        <v>60</v>
      </c>
      <c r="AB63" s="8">
        <f t="shared" si="1"/>
        <v>3.1459459459459458</v>
      </c>
      <c r="AC63" s="8">
        <f t="shared" si="0"/>
        <v>2.3980031685794319</v>
      </c>
    </row>
    <row r="64" spans="27:29" x14ac:dyDescent="0.35">
      <c r="AA64" s="8">
        <v>61</v>
      </c>
      <c r="AB64" s="8">
        <f t="shared" si="1"/>
        <v>3.1983783783783779</v>
      </c>
      <c r="AC64" s="8">
        <f t="shared" si="0"/>
        <v>2.3505853941652148</v>
      </c>
    </row>
    <row r="65" spans="27:29" x14ac:dyDescent="0.35">
      <c r="AA65" s="8">
        <v>62</v>
      </c>
      <c r="AB65" s="8">
        <f t="shared" si="1"/>
        <v>3.2508108108108109</v>
      </c>
      <c r="AC65" s="8">
        <f t="shared" si="0"/>
        <v>2.3028188350494929</v>
      </c>
    </row>
    <row r="66" spans="27:29" x14ac:dyDescent="0.35">
      <c r="AA66" s="8">
        <v>63</v>
      </c>
      <c r="AB66" s="8">
        <f t="shared" si="1"/>
        <v>3.303243243243243</v>
      </c>
      <c r="AC66" s="8">
        <f t="shared" si="0"/>
        <v>2.2546979580416622</v>
      </c>
    </row>
    <row r="67" spans="27:29" x14ac:dyDescent="0.35">
      <c r="AA67" s="8">
        <v>64</v>
      </c>
      <c r="AB67" s="8">
        <f t="shared" si="1"/>
        <v>3.3556756756756756</v>
      </c>
      <c r="AC67" s="8">
        <f t="shared" si="0"/>
        <v>2.2062167708098803</v>
      </c>
    </row>
    <row r="68" spans="27:29" x14ac:dyDescent="0.35">
      <c r="AA68" s="8">
        <v>65</v>
      </c>
      <c r="AB68" s="8">
        <f t="shared" si="1"/>
        <v>3.4081081081081082</v>
      </c>
      <c r="AC68" s="8">
        <f t="shared" ref="AC68:AC103" si="5">E$23/E$12*(1-(AB68/$AB$103)^1.2)^(1/1.2)</f>
        <v>2.1573687878924876</v>
      </c>
    </row>
    <row r="69" spans="27:29" x14ac:dyDescent="0.35">
      <c r="AA69" s="8">
        <v>66</v>
      </c>
      <c r="AB69" s="8">
        <f t="shared" ref="AB69:AB103" si="6">AA69*E$22/E$12/100</f>
        <v>3.4605405405405407</v>
      </c>
      <c r="AC69" s="8">
        <f t="shared" si="5"/>
        <v>2.1081469922896137</v>
      </c>
    </row>
    <row r="70" spans="27:29" x14ac:dyDescent="0.35">
      <c r="AA70" s="8">
        <v>67</v>
      </c>
      <c r="AB70" s="8">
        <f t="shared" si="6"/>
        <v>3.5129729729729728</v>
      </c>
      <c r="AC70" s="8">
        <f t="shared" si="5"/>
        <v>2.0585437919910028</v>
      </c>
    </row>
    <row r="71" spans="27:29" x14ac:dyDescent="0.35">
      <c r="AA71" s="8">
        <v>68</v>
      </c>
      <c r="AB71" s="8">
        <f t="shared" si="6"/>
        <v>3.5654054054054054</v>
      </c>
      <c r="AC71" s="8">
        <f t="shared" si="5"/>
        <v>2.0085509706729763</v>
      </c>
    </row>
    <row r="72" spans="27:29" x14ac:dyDescent="0.35">
      <c r="AA72" s="8">
        <v>69</v>
      </c>
      <c r="AB72" s="8">
        <f t="shared" si="6"/>
        <v>3.617837837837838</v>
      </c>
      <c r="AC72" s="8">
        <f t="shared" si="5"/>
        <v>1.9581596316470087</v>
      </c>
    </row>
    <row r="73" spans="27:29" x14ac:dyDescent="0.35">
      <c r="AA73" s="8">
        <v>70</v>
      </c>
      <c r="AB73" s="8">
        <f t="shared" si="6"/>
        <v>3.6702702702702705</v>
      </c>
      <c r="AC73" s="8">
        <f t="shared" si="5"/>
        <v>1.9073601339573119</v>
      </c>
    </row>
    <row r="74" spans="27:29" x14ac:dyDescent="0.35">
      <c r="AA74" s="8">
        <v>71</v>
      </c>
      <c r="AB74" s="8">
        <f t="shared" si="6"/>
        <v>3.7227027027027026</v>
      </c>
      <c r="AC74" s="8">
        <f t="shared" si="5"/>
        <v>1.8561420192956177</v>
      </c>
    </row>
    <row r="75" spans="27:29" x14ac:dyDescent="0.35">
      <c r="AA75" s="8">
        <v>72</v>
      </c>
      <c r="AB75" s="8">
        <f t="shared" si="6"/>
        <v>3.7751351351351348</v>
      </c>
      <c r="AC75" s="8">
        <f t="shared" si="5"/>
        <v>1.8044939281155001</v>
      </c>
    </row>
    <row r="76" spans="27:29" x14ac:dyDescent="0.35">
      <c r="AA76" s="8">
        <v>73</v>
      </c>
      <c r="AB76" s="8">
        <f t="shared" si="6"/>
        <v>3.8275675675675678</v>
      </c>
      <c r="AC76" s="8">
        <f t="shared" si="5"/>
        <v>1.752403502969573</v>
      </c>
    </row>
    <row r="77" spans="27:29" x14ac:dyDescent="0.35">
      <c r="AA77" s="8">
        <v>74</v>
      </c>
      <c r="AB77" s="8">
        <f t="shared" si="6"/>
        <v>3.88</v>
      </c>
      <c r="AC77" s="8">
        <f t="shared" si="5"/>
        <v>1.6998572766383682</v>
      </c>
    </row>
    <row r="78" spans="27:29" x14ac:dyDescent="0.35">
      <c r="AA78" s="8">
        <v>75</v>
      </c>
      <c r="AB78" s="8">
        <f t="shared" si="6"/>
        <v>3.9324324324324325</v>
      </c>
      <c r="AC78" s="8">
        <f t="shared" si="5"/>
        <v>1.6468405420395957</v>
      </c>
    </row>
    <row r="79" spans="27:29" x14ac:dyDescent="0.35">
      <c r="AA79" s="8">
        <v>76</v>
      </c>
      <c r="AB79" s="8">
        <f t="shared" si="6"/>
        <v>3.984864864864865</v>
      </c>
      <c r="AC79" s="8">
        <f t="shared" si="5"/>
        <v>1.5933372001595836</v>
      </c>
    </row>
    <row r="80" spans="27:29" x14ac:dyDescent="0.35">
      <c r="AA80" s="8">
        <v>77</v>
      </c>
      <c r="AB80" s="8">
        <f t="shared" si="6"/>
        <v>4.0372972972972976</v>
      </c>
      <c r="AC80" s="8">
        <f t="shared" si="5"/>
        <v>1.5393295812778511</v>
      </c>
    </row>
    <row r="81" spans="27:29" x14ac:dyDescent="0.35">
      <c r="AA81" s="8">
        <v>78</v>
      </c>
      <c r="AB81" s="8">
        <f t="shared" si="6"/>
        <v>4.0897297297297293</v>
      </c>
      <c r="AC81" s="8">
        <f t="shared" si="5"/>
        <v>1.4847982334811691</v>
      </c>
    </row>
    <row r="82" spans="27:29" x14ac:dyDescent="0.35">
      <c r="AA82" s="8">
        <v>79</v>
      </c>
      <c r="AB82" s="8">
        <f t="shared" si="6"/>
        <v>4.1421621621621618</v>
      </c>
      <c r="AC82" s="8">
        <f t="shared" si="5"/>
        <v>1.4297216707715974</v>
      </c>
    </row>
    <row r="83" spans="27:29" x14ac:dyDescent="0.35">
      <c r="AA83" s="8">
        <v>80</v>
      </c>
      <c r="AB83" s="8">
        <f t="shared" si="6"/>
        <v>4.1945945945945944</v>
      </c>
      <c r="AC83" s="8">
        <f t="shared" si="5"/>
        <v>1.3740760708007409</v>
      </c>
    </row>
    <row r="84" spans="27:29" x14ac:dyDescent="0.35">
      <c r="AA84" s="8">
        <v>81</v>
      </c>
      <c r="AB84" s="8">
        <f t="shared" si="6"/>
        <v>4.2470270270270269</v>
      </c>
      <c r="AC84" s="8">
        <f t="shared" si="5"/>
        <v>1.3178349091710755</v>
      </c>
    </row>
    <row r="85" spans="27:29" x14ac:dyDescent="0.35">
      <c r="AA85" s="8">
        <v>82</v>
      </c>
      <c r="AB85" s="8">
        <f t="shared" si="6"/>
        <v>4.2994594594594595</v>
      </c>
      <c r="AC85" s="8">
        <f t="shared" si="5"/>
        <v>1.2609685129804007</v>
      </c>
    </row>
    <row r="86" spans="27:29" x14ac:dyDescent="0.35">
      <c r="AA86" s="8">
        <v>83</v>
      </c>
      <c r="AB86" s="8">
        <f t="shared" si="6"/>
        <v>4.3518918918918921</v>
      </c>
      <c r="AC86" s="8">
        <f t="shared" si="5"/>
        <v>1.2034435103105188</v>
      </c>
    </row>
    <row r="87" spans="27:29" x14ac:dyDescent="0.35">
      <c r="AA87" s="8">
        <v>84</v>
      </c>
      <c r="AB87" s="8">
        <f t="shared" si="6"/>
        <v>4.4043243243243246</v>
      </c>
      <c r="AC87" s="8">
        <f t="shared" si="5"/>
        <v>1.1452221438479724</v>
      </c>
    </row>
    <row r="88" spans="27:29" x14ac:dyDescent="0.35">
      <c r="AA88" s="8">
        <v>85</v>
      </c>
      <c r="AB88" s="8">
        <f t="shared" si="6"/>
        <v>4.4567567567567572</v>
      </c>
      <c r="AC88" s="8">
        <f t="shared" si="5"/>
        <v>1.0862614044654506</v>
      </c>
    </row>
    <row r="89" spans="27:29" x14ac:dyDescent="0.35">
      <c r="AA89" s="8">
        <v>86</v>
      </c>
      <c r="AB89" s="8">
        <f t="shared" si="6"/>
        <v>4.5091891891891889</v>
      </c>
      <c r="AC89" s="8">
        <f t="shared" si="5"/>
        <v>1.0265119222723931</v>
      </c>
    </row>
    <row r="90" spans="27:29" x14ac:dyDescent="0.35">
      <c r="AA90" s="8">
        <v>87</v>
      </c>
      <c r="AB90" s="8">
        <f t="shared" si="6"/>
        <v>4.5616216216216223</v>
      </c>
      <c r="AC90" s="8">
        <f t="shared" si="5"/>
        <v>0.9659165248461955</v>
      </c>
    </row>
    <row r="91" spans="27:29" x14ac:dyDescent="0.35">
      <c r="AA91" s="8">
        <v>88</v>
      </c>
      <c r="AB91" s="8">
        <f t="shared" si="6"/>
        <v>4.614054054054054</v>
      </c>
      <c r="AC91" s="8">
        <f t="shared" si="5"/>
        <v>0.90440832905320045</v>
      </c>
    </row>
    <row r="92" spans="27:29" x14ac:dyDescent="0.35">
      <c r="AA92" s="8">
        <v>89</v>
      </c>
      <c r="AB92" s="8">
        <f t="shared" si="6"/>
        <v>4.6664864864864866</v>
      </c>
      <c r="AC92" s="8">
        <f t="shared" si="5"/>
        <v>0.84190816336010665</v>
      </c>
    </row>
    <row r="93" spans="27:29" x14ac:dyDescent="0.35">
      <c r="AA93" s="8">
        <v>90</v>
      </c>
      <c r="AB93" s="8">
        <f t="shared" si="6"/>
        <v>4.7189189189189191</v>
      </c>
      <c r="AC93" s="8">
        <f t="shared" si="5"/>
        <v>0.77832100205229893</v>
      </c>
    </row>
    <row r="94" spans="27:29" x14ac:dyDescent="0.35">
      <c r="AA94" s="8">
        <v>91</v>
      </c>
      <c r="AB94" s="8">
        <f t="shared" si="6"/>
        <v>4.7713513513513517</v>
      </c>
      <c r="AC94" s="8">
        <f t="shared" si="5"/>
        <v>0.71353089307138839</v>
      </c>
    </row>
    <row r="95" spans="27:29" x14ac:dyDescent="0.35">
      <c r="AA95" s="8">
        <v>92</v>
      </c>
      <c r="AB95" s="8">
        <f t="shared" si="6"/>
        <v>4.8237837837837843</v>
      </c>
      <c r="AC95" s="8">
        <f t="shared" si="5"/>
        <v>0.64739349917526534</v>
      </c>
    </row>
    <row r="96" spans="27:29" x14ac:dyDescent="0.35">
      <c r="AA96" s="8">
        <v>93</v>
      </c>
      <c r="AB96" s="8">
        <f t="shared" si="6"/>
        <v>4.8762162162162159</v>
      </c>
      <c r="AC96" s="8">
        <f t="shared" si="5"/>
        <v>0.57972467781849235</v>
      </c>
    </row>
    <row r="97" spans="27:29" x14ac:dyDescent="0.35">
      <c r="AA97" s="8">
        <v>94</v>
      </c>
      <c r="AB97" s="8">
        <f t="shared" si="6"/>
        <v>4.9286486486486485</v>
      </c>
      <c r="AC97" s="8">
        <f t="shared" si="5"/>
        <v>0.51028209854329465</v>
      </c>
    </row>
    <row r="98" spans="27:29" x14ac:dyDescent="0.35">
      <c r="AA98" s="8">
        <v>95</v>
      </c>
      <c r="AB98" s="8">
        <f t="shared" si="6"/>
        <v>4.9810810810810811</v>
      </c>
      <c r="AC98" s="8">
        <f t="shared" si="5"/>
        <v>0.43873370095533681</v>
      </c>
    </row>
    <row r="99" spans="27:29" x14ac:dyDescent="0.35">
      <c r="AA99" s="8">
        <v>96</v>
      </c>
      <c r="AB99" s="8">
        <f t="shared" si="6"/>
        <v>5.0335135135135136</v>
      </c>
      <c r="AC99" s="8">
        <f t="shared" si="5"/>
        <v>0.36459878835222853</v>
      </c>
    </row>
    <row r="100" spans="27:29" x14ac:dyDescent="0.35">
      <c r="AA100" s="8">
        <v>97</v>
      </c>
      <c r="AB100" s="8">
        <f t="shared" si="6"/>
        <v>5.0859459459459462</v>
      </c>
      <c r="AC100" s="8">
        <f t="shared" si="5"/>
        <v>0.28712416692083415</v>
      </c>
    </row>
    <row r="101" spans="27:29" x14ac:dyDescent="0.35">
      <c r="AA101" s="8">
        <v>98</v>
      </c>
      <c r="AB101" s="8">
        <f t="shared" si="6"/>
        <v>5.1383783783783779</v>
      </c>
      <c r="AC101" s="8">
        <f t="shared" si="5"/>
        <v>0.20497211376696547</v>
      </c>
    </row>
    <row r="102" spans="27:29" x14ac:dyDescent="0.35">
      <c r="AA102" s="8">
        <v>99</v>
      </c>
      <c r="AB102" s="8">
        <f t="shared" si="6"/>
        <v>5.1908108108108104</v>
      </c>
      <c r="AC102" s="8">
        <f t="shared" si="5"/>
        <v>0.11513353488068871</v>
      </c>
    </row>
    <row r="103" spans="27:29" x14ac:dyDescent="0.35">
      <c r="AA103" s="8">
        <v>100</v>
      </c>
      <c r="AB103" s="8">
        <f t="shared" si="6"/>
        <v>5.2432432432432439</v>
      </c>
      <c r="AC103" s="8">
        <f t="shared" si="5"/>
        <v>0</v>
      </c>
    </row>
  </sheetData>
  <sheetProtection algorithmName="SHA-512" hashValue="2xL/qe+3gB/PZPz3wtwPNDPT6H12AzMQ1FWiu8qWWZrxNZ45fm/CvgjcGstOsbji1+am74+TX0JI81g0Mux7jw==" saltValue="+CmNB8p9rsnSfcBgpgSnLA==" spinCount="100000" sheet="1" objects="1" scenarios="1" selectLockedCells="1"/>
  <mergeCells count="13">
    <mergeCell ref="D21:E21"/>
    <mergeCell ref="O7:O8"/>
    <mergeCell ref="O9:O10"/>
    <mergeCell ref="D11:E11"/>
    <mergeCell ref="I12:J13"/>
    <mergeCell ref="L12:M13"/>
    <mergeCell ref="D18:E18"/>
    <mergeCell ref="C3:F4"/>
    <mergeCell ref="I3:J4"/>
    <mergeCell ref="L3:M4"/>
    <mergeCell ref="O3:U3"/>
    <mergeCell ref="O5:O6"/>
    <mergeCell ref="D6:E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Fundação</vt:lpstr>
      <vt:lpstr>Térreo</vt:lpstr>
      <vt:lpstr>1o andar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2017-11-08T19:25:03Z</dcterms:created>
  <dcterms:modified xsi:type="dcterms:W3CDTF">2024-08-27T17:54:33Z</dcterms:modified>
</cp:coreProperties>
</file>