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gidez" sheetId="1" r:id="rId4"/>
    <sheet state="visible" name="Fissuração" sheetId="2" r:id="rId5"/>
  </sheets>
  <definedNames>
    <definedName localSheetId="1" name="Uma">'Fissuração'!$Q$4:$Q$6</definedName>
    <definedName localSheetId="1" name="Duas">'Fissuração'!$R$4:$R$5</definedName>
    <definedName localSheetId="1" name="Armação">'Fissuração'!$Q$3:$R$3</definedName>
    <definedName name="Armação">Rigidez!$Q$3:$R$3</definedName>
    <definedName name="Uma">Rigidez!$Q$4:$Q$6</definedName>
    <definedName name="Duas">Rigidez!$R$4:$R$5</definedName>
  </definedNames>
  <calcPr/>
  <extLst>
    <ext uri="GoogleSheetsCustomDataVersion2">
      <go:sheetsCustomData xmlns:go="http://customooxmlschemas.google.com/" r:id="rId6" roundtripDataChecksum="hCnz07MolY4JEAlvxEAgnj3qlAH9yJZfaFebyvy0Fbw="/>
    </ext>
  </extLst>
</workbook>
</file>

<file path=xl/sharedStrings.xml><?xml version="1.0" encoding="utf-8"?>
<sst xmlns="http://schemas.openxmlformats.org/spreadsheetml/2006/main" count="73" uniqueCount="46">
  <si>
    <t>Dados</t>
  </si>
  <si>
    <t>Módulos de Elasticidade</t>
  </si>
  <si>
    <t>A</t>
  </si>
  <si>
    <t>Ecs</t>
  </si>
  <si>
    <t>B</t>
  </si>
  <si>
    <t>Es</t>
  </si>
  <si>
    <t>C</t>
  </si>
  <si>
    <t>Geometria</t>
  </si>
  <si>
    <t>αn</t>
  </si>
  <si>
    <t>x1</t>
  </si>
  <si>
    <t>b</t>
  </si>
  <si>
    <t>h</t>
  </si>
  <si>
    <t>Momento de Fissuração</t>
  </si>
  <si>
    <t>d</t>
  </si>
  <si>
    <t>Mr</t>
  </si>
  <si>
    <t>d'</t>
  </si>
  <si>
    <t>Momentos de Inércia</t>
  </si>
  <si>
    <t>Solicitação</t>
  </si>
  <si>
    <r>
      <rPr>
        <rFont val="Calibri"/>
        <color theme="1"/>
        <sz val="11.0"/>
      </rPr>
      <t>I</t>
    </r>
    <r>
      <rPr>
        <rFont val="Calibri"/>
        <color theme="1"/>
        <sz val="11.0"/>
        <vertAlign val="subscript"/>
      </rPr>
      <t>I</t>
    </r>
  </si>
  <si>
    <t>Ma</t>
  </si>
  <si>
    <r>
      <rPr>
        <rFont val="Calibri"/>
        <color theme="1"/>
        <sz val="11.0"/>
      </rPr>
      <t>I</t>
    </r>
    <r>
      <rPr>
        <rFont val="Calibri"/>
        <color theme="1"/>
        <sz val="11.0"/>
        <vertAlign val="subscript"/>
      </rPr>
      <t>II</t>
    </r>
  </si>
  <si>
    <t>Ieq</t>
  </si>
  <si>
    <t>Armaduras</t>
  </si>
  <si>
    <t>As1</t>
  </si>
  <si>
    <t>Linha Neutra</t>
  </si>
  <si>
    <t>As2</t>
  </si>
  <si>
    <t>x</t>
  </si>
  <si>
    <t>Concreto</t>
  </si>
  <si>
    <t>Seção Equivalente</t>
  </si>
  <si>
    <t>fck</t>
  </si>
  <si>
    <r>
      <rPr>
        <rFont val="Arial"/>
        <color theme="1"/>
        <sz val="11.0"/>
      </rPr>
      <t>α</t>
    </r>
    <r>
      <rPr>
        <rFont val="Calibri"/>
        <color theme="1"/>
        <sz val="11.0"/>
      </rPr>
      <t>e</t>
    </r>
  </si>
  <si>
    <t>heq</t>
  </si>
  <si>
    <t>n</t>
  </si>
  <si>
    <r>
      <rPr>
        <rFont val="Calibri"/>
        <color theme="1"/>
        <sz val="11.0"/>
      </rPr>
      <t>I</t>
    </r>
    <r>
      <rPr>
        <rFont val="Calibri"/>
        <color theme="1"/>
        <sz val="11.0"/>
        <vertAlign val="subscript"/>
      </rPr>
      <t>I</t>
    </r>
  </si>
  <si>
    <r>
      <rPr>
        <rFont val="Calibri"/>
        <color theme="1"/>
        <sz val="11.0"/>
      </rPr>
      <t>I</t>
    </r>
    <r>
      <rPr>
        <rFont val="Calibri"/>
        <color theme="1"/>
        <sz val="11.0"/>
        <vertAlign val="subscript"/>
      </rPr>
      <t>II</t>
    </r>
  </si>
  <si>
    <t>Região de Envolv.</t>
  </si>
  <si>
    <t>Tensão no Aço</t>
  </si>
  <si>
    <t>Acr</t>
  </si>
  <si>
    <r>
      <rPr>
        <rFont val="Calibri"/>
        <color theme="1"/>
        <sz val="11.0"/>
      </rPr>
      <t>σ</t>
    </r>
    <r>
      <rPr>
        <rFont val="Calibri"/>
        <color theme="1"/>
        <sz val="10.0"/>
      </rPr>
      <t>s</t>
    </r>
  </si>
  <si>
    <t>φi</t>
  </si>
  <si>
    <t>ηi</t>
  </si>
  <si>
    <t>Taxa de Armadura</t>
  </si>
  <si>
    <t>ρr</t>
  </si>
  <si>
    <t>Abertura de Fissuras</t>
  </si>
  <si>
    <r>
      <rPr>
        <rFont val="Arial"/>
        <color theme="1"/>
        <sz val="11.0"/>
      </rPr>
      <t>α</t>
    </r>
    <r>
      <rPr>
        <rFont val="Calibri"/>
        <color theme="1"/>
        <sz val="11.0"/>
      </rPr>
      <t>e</t>
    </r>
  </si>
  <si>
    <t>wk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</si>
</sst>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0.00&quot; cm4&quot;"/>
    <numFmt numFmtId="165" formatCode="0&quot; MPa&quot;"/>
    <numFmt numFmtId="166" formatCode="0&quot; cm&quot;"/>
    <numFmt numFmtId="167" formatCode="0.000%"/>
    <numFmt numFmtId="168" formatCode="0\ &quot;MPa&quot;"/>
    <numFmt numFmtId="169" formatCode="0&quot; cm4&quot;"/>
    <numFmt numFmtId="170" formatCode="0.0&quot; cm&quot;"/>
    <numFmt numFmtId="171" formatCode="0.0"/>
    <numFmt numFmtId="172" formatCode="0&quot; kNcm&quot;"/>
    <numFmt numFmtId="173" formatCode="0.00&quot; kN/cm²&quot;"/>
    <numFmt numFmtId="174" formatCode="0.00&quot; cm²&quot;"/>
    <numFmt numFmtId="175" formatCode="0.00&quot; cm&quot;"/>
    <numFmt numFmtId="176" formatCode="0.0&quot; cm³&quot;"/>
    <numFmt numFmtId="177" formatCode="0&quot; kNcm/m&quot;"/>
    <numFmt numFmtId="178" formatCode="0.0&quot; kN/cm²&quot;"/>
    <numFmt numFmtId="179" formatCode="0.00&quot; cm²/m&quot;"/>
    <numFmt numFmtId="180" formatCode="0.00&quot; mm&quot;"/>
    <numFmt numFmtId="181" formatCode="0.00&quot;        &quot;"/>
    <numFmt numFmtId="182" formatCode="0.000&quot; mm&quot;"/>
    <numFmt numFmtId="183" formatCode="0.0000&quot; cm²/m&quot;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/>
    <font>
      <b/>
      <sz val="11.0"/>
      <color theme="1"/>
      <name val="Calibri"/>
    </font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28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3" fillId="3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5" fillId="3" fontId="1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3" fontId="1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vertical="center"/>
    </xf>
    <xf borderId="11" fillId="0" fontId="3" numFmtId="0" xfId="0" applyBorder="1" applyFont="1"/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horizontal="center" vertical="center"/>
    </xf>
    <xf borderId="1" fillId="2" fontId="5" numFmtId="164" xfId="0" applyAlignment="1" applyBorder="1" applyFont="1" applyNumberFormat="1">
      <alignment horizontal="right" vertical="center"/>
    </xf>
    <xf borderId="1" fillId="2" fontId="4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2" fontId="1" numFmtId="0" xfId="0" applyAlignment="1" applyBorder="1" applyFont="1">
      <alignment horizontal="center" vertical="center"/>
    </xf>
    <xf borderId="16" fillId="2" fontId="1" numFmtId="165" xfId="0" applyAlignment="1" applyBorder="1" applyFont="1" applyNumberFormat="1">
      <alignment horizontal="right" vertical="center"/>
    </xf>
    <xf borderId="1" fillId="2" fontId="4" numFmtId="166" xfId="0" applyAlignment="1" applyBorder="1" applyFont="1" applyNumberFormat="1">
      <alignment horizontal="center" vertical="center"/>
    </xf>
    <xf borderId="1" fillId="2" fontId="1" numFmtId="167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18" fillId="2" fontId="1" numFmtId="168" xfId="0" applyAlignment="1" applyBorder="1" applyFont="1" applyNumberFormat="1">
      <alignment horizontal="right" vertical="center"/>
    </xf>
    <xf borderId="1" fillId="2" fontId="1" numFmtId="2" xfId="0" applyAlignment="1" applyBorder="1" applyFont="1" applyNumberFormat="1">
      <alignment horizontal="center" vertical="center"/>
    </xf>
    <xf borderId="1" fillId="2" fontId="5" numFmtId="169" xfId="0" applyAlignment="1" applyBorder="1" applyFont="1" applyNumberFormat="1">
      <alignment horizontal="right" vertical="center"/>
    </xf>
    <xf borderId="19" fillId="2" fontId="4" numFmtId="0" xfId="0" applyAlignment="1" applyBorder="1" applyFont="1">
      <alignment horizontal="center" vertical="center"/>
    </xf>
    <xf borderId="20" fillId="0" fontId="3" numFmtId="0" xfId="0" applyBorder="1" applyFont="1"/>
    <xf borderId="17" fillId="2" fontId="1" numFmtId="0" xfId="0" applyAlignment="1" applyBorder="1" applyFont="1">
      <alignment horizontal="center"/>
    </xf>
    <xf borderId="18" fillId="2" fontId="1" numFmtId="2" xfId="0" applyAlignment="1" applyBorder="1" applyFont="1" applyNumberFormat="1">
      <alignment horizontal="center" vertical="center"/>
    </xf>
    <xf borderId="18" fillId="2" fontId="1" numFmtId="170" xfId="0" applyAlignment="1" applyBorder="1" applyFont="1" applyNumberFormat="1">
      <alignment horizontal="right" vertical="center"/>
    </xf>
    <xf borderId="1" fillId="2" fontId="5" numFmtId="171" xfId="0" applyAlignment="1" applyBorder="1" applyFont="1" applyNumberFormat="1">
      <alignment horizontal="center" vertical="center"/>
    </xf>
    <xf borderId="1" fillId="2" fontId="1" numFmtId="171" xfId="0" applyAlignment="1" applyBorder="1" applyFont="1" applyNumberFormat="1">
      <alignment horizontal="center" vertical="center"/>
    </xf>
    <xf borderId="21" fillId="2" fontId="1" numFmtId="0" xfId="0" applyAlignment="1" applyBorder="1" applyFont="1">
      <alignment horizontal="center" vertical="center"/>
    </xf>
    <xf borderId="22" fillId="2" fontId="1" numFmtId="170" xfId="0" applyAlignment="1" applyBorder="1" applyFont="1" applyNumberFormat="1">
      <alignment horizontal="right" vertical="center"/>
    </xf>
    <xf borderId="18" fillId="2" fontId="1" numFmtId="172" xfId="0" applyAlignment="1" applyBorder="1" applyFont="1" applyNumberFormat="1">
      <alignment horizontal="right" vertical="center"/>
    </xf>
    <xf borderId="18" fillId="2" fontId="1" numFmtId="169" xfId="0" applyAlignment="1" applyBorder="1" applyFont="1" applyNumberFormat="1">
      <alignment horizontal="right" vertical="center"/>
    </xf>
    <xf borderId="1" fillId="2" fontId="1" numFmtId="173" xfId="0" applyAlignment="1" applyBorder="1" applyFont="1" applyNumberFormat="1">
      <alignment vertical="center"/>
    </xf>
    <xf borderId="1" fillId="3" fontId="1" numFmtId="172" xfId="0" applyAlignment="1" applyBorder="1" applyFont="1" applyNumberFormat="1">
      <alignment horizontal="right" vertical="center"/>
    </xf>
    <xf borderId="18" fillId="2" fontId="1" numFmtId="174" xfId="0" applyAlignment="1" applyBorder="1" applyFont="1" applyNumberFormat="1">
      <alignment horizontal="right" vertical="center"/>
    </xf>
    <xf borderId="18" fillId="2" fontId="1" numFmtId="175" xfId="0" applyAlignment="1" applyBorder="1" applyFont="1" applyNumberFormat="1">
      <alignment horizontal="right" vertical="center"/>
    </xf>
    <xf borderId="1" fillId="2" fontId="1" numFmtId="176" xfId="0" applyAlignment="1" applyBorder="1" applyFont="1" applyNumberFormat="1">
      <alignment vertical="center"/>
    </xf>
    <xf borderId="1" fillId="2" fontId="1" numFmtId="177" xfId="0" applyAlignment="1" applyBorder="1" applyFont="1" applyNumberFormat="1">
      <alignment vertical="center"/>
    </xf>
    <xf borderId="18" fillId="2" fontId="1" numFmtId="178" xfId="0" applyAlignment="1" applyBorder="1" applyFont="1" applyNumberFormat="1">
      <alignment horizontal="right" vertical="center"/>
    </xf>
    <xf borderId="1" fillId="2" fontId="1" numFmtId="175" xfId="0" applyAlignment="1" applyBorder="1" applyFont="1" applyNumberFormat="1">
      <alignment vertical="center"/>
    </xf>
    <xf borderId="18" fillId="2" fontId="1" numFmtId="171" xfId="0" applyAlignment="1" applyBorder="1" applyFont="1" applyNumberFormat="1">
      <alignment horizontal="center" vertical="center"/>
    </xf>
    <xf borderId="1" fillId="3" fontId="1" numFmtId="171" xfId="0" applyAlignment="1" applyBorder="1" applyFont="1" applyNumberFormat="1">
      <alignment horizontal="center" vertical="center"/>
    </xf>
    <xf borderId="1" fillId="2" fontId="1" numFmtId="179" xfId="0" applyAlignment="1" applyBorder="1" applyFont="1" applyNumberFormat="1">
      <alignment vertical="center"/>
    </xf>
    <xf borderId="23" fillId="3" fontId="1" numFmtId="0" xfId="0" applyAlignment="1" applyBorder="1" applyFont="1">
      <alignment horizontal="center" vertical="center"/>
    </xf>
    <xf borderId="24" fillId="3" fontId="1" numFmtId="0" xfId="0" applyAlignment="1" applyBorder="1" applyFont="1">
      <alignment horizontal="center" vertical="center"/>
    </xf>
    <xf borderId="25" fillId="3" fontId="1" numFmtId="0" xfId="0" applyAlignment="1" applyBorder="1" applyFont="1">
      <alignment horizontal="center" vertical="center"/>
    </xf>
    <xf borderId="1" fillId="2" fontId="1" numFmtId="0" xfId="0" applyBorder="1" applyFont="1"/>
    <xf borderId="3" fillId="2" fontId="1" numFmtId="0" xfId="0" applyAlignment="1" applyBorder="1" applyFont="1">
      <alignment vertical="center"/>
    </xf>
    <xf borderId="18" fillId="2" fontId="1" numFmtId="173" xfId="0" applyAlignment="1" applyBorder="1" applyFont="1" applyNumberFormat="1">
      <alignment horizontal="right" vertical="center"/>
    </xf>
    <xf borderId="18" fillId="2" fontId="1" numFmtId="180" xfId="0" applyAlignment="1" applyBorder="1" applyFont="1" applyNumberFormat="1">
      <alignment horizontal="right" vertical="center"/>
    </xf>
    <xf borderId="18" fillId="2" fontId="1" numFmtId="181" xfId="0" applyAlignment="1" applyBorder="1" applyFont="1" applyNumberFormat="1">
      <alignment horizontal="right" vertical="center"/>
    </xf>
    <xf borderId="18" fillId="2" fontId="1" numFmtId="167" xfId="0" applyAlignment="1" applyBorder="1" applyFont="1" applyNumberFormat="1">
      <alignment horizontal="right" vertical="center"/>
    </xf>
    <xf borderId="18" fillId="2" fontId="1" numFmtId="182" xfId="0" applyAlignment="1" applyBorder="1" applyFont="1" applyNumberFormat="1">
      <alignment horizontal="right" vertical="center"/>
    </xf>
    <xf borderId="26" fillId="2" fontId="1" numFmtId="183" xfId="0" applyAlignment="1" applyBorder="1" applyFont="1" applyNumberFormat="1">
      <alignment horizontal="center" vertical="center"/>
    </xf>
    <xf borderId="2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rofessordeestruturas/" TargetMode="External"/><Relationship Id="rId2" Type="http://schemas.openxmlformats.org/officeDocument/2006/relationships/image" Target="../media/image6.png"/><Relationship Id="rId3" Type="http://schemas.openxmlformats.org/officeDocument/2006/relationships/hyperlink" Target="mailto:matheuscarini@gmail.com" TargetMode="External"/><Relationship Id="rId4" Type="http://schemas.openxmlformats.org/officeDocument/2006/relationships/image" Target="../media/image11.png"/><Relationship Id="rId10" Type="http://schemas.openxmlformats.org/officeDocument/2006/relationships/hyperlink" Target="https://professordeestruturas.com.br/" TargetMode="External"/><Relationship Id="rId9" Type="http://schemas.openxmlformats.org/officeDocument/2006/relationships/hyperlink" Target="mailto:matheuscarini@gmail.com" TargetMode="External"/><Relationship Id="rId5" Type="http://schemas.openxmlformats.org/officeDocument/2006/relationships/hyperlink" Target="https://linktr.ee/professordeestruturas" TargetMode="External"/><Relationship Id="rId6" Type="http://schemas.openxmlformats.org/officeDocument/2006/relationships/image" Target="../media/image1.png"/><Relationship Id="rId7" Type="http://schemas.openxmlformats.org/officeDocument/2006/relationships/image" Target="../media/image10.png"/><Relationship Id="rId8" Type="http://schemas.openxmlformats.org/officeDocument/2006/relationships/hyperlink" Target="https://www.instagram.com/professordeestruturas/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rofessordeestruturas/" TargetMode="External"/><Relationship Id="rId2" Type="http://schemas.openxmlformats.org/officeDocument/2006/relationships/image" Target="../media/image6.png"/><Relationship Id="rId3" Type="http://schemas.openxmlformats.org/officeDocument/2006/relationships/hyperlink" Target="mailto:matheuscarini@gmail.com" TargetMode="External"/><Relationship Id="rId4" Type="http://schemas.openxmlformats.org/officeDocument/2006/relationships/image" Target="../media/image11.png"/><Relationship Id="rId10" Type="http://schemas.openxmlformats.org/officeDocument/2006/relationships/hyperlink" Target="https://professordeestruturas.com.br/" TargetMode="External"/><Relationship Id="rId9" Type="http://schemas.openxmlformats.org/officeDocument/2006/relationships/hyperlink" Target="mailto:matheuscarini@gmail.com" TargetMode="External"/><Relationship Id="rId5" Type="http://schemas.openxmlformats.org/officeDocument/2006/relationships/hyperlink" Target="https://linktr.ee/professordeestruturas" TargetMode="External"/><Relationship Id="rId6" Type="http://schemas.openxmlformats.org/officeDocument/2006/relationships/image" Target="../media/image1.png"/><Relationship Id="rId7" Type="http://schemas.openxmlformats.org/officeDocument/2006/relationships/image" Target="../media/image10.png"/><Relationship Id="rId8" Type="http://schemas.openxmlformats.org/officeDocument/2006/relationships/hyperlink" Target="https://www.instagram.com/professordeestruturas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123825</xdr:colOff>
      <xdr:row>22</xdr:row>
      <xdr:rowOff>123825</xdr:rowOff>
    </xdr:from>
    <xdr:ext cx="1009650" cy="314325"/>
    <xdr:sp>
      <xdr:nvSpPr>
        <xdr:cNvPr id="3" name="Shape 3"/>
        <xdr:cNvSpPr txBox="1"/>
      </xdr:nvSpPr>
      <xdr:spPr>
        <a:xfrm>
          <a:off x="4845938" y="3627600"/>
          <a:ext cx="10001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20181111</a:t>
          </a:r>
          <a:endParaRPr sz="1400"/>
        </a:p>
      </xdr:txBody>
    </xdr:sp>
    <xdr:clientData fLocksWithSheet="0"/>
  </xdr:oneCellAnchor>
  <xdr:oneCellAnchor>
    <xdr:from>
      <xdr:col>14</xdr:col>
      <xdr:colOff>114300</xdr:colOff>
      <xdr:row>22</xdr:row>
      <xdr:rowOff>95250</xdr:rowOff>
    </xdr:from>
    <xdr:ext cx="1047750" cy="323850"/>
    <xdr:grpSp>
      <xdr:nvGrpSpPr>
        <xdr:cNvPr id="2" name="Shape 2"/>
        <xdr:cNvGrpSpPr/>
      </xdr:nvGrpSpPr>
      <xdr:grpSpPr>
        <a:xfrm>
          <a:off x="4822125" y="3618075"/>
          <a:ext cx="1047750" cy="323850"/>
          <a:chOff x="4822125" y="3618075"/>
          <a:chExt cx="1047750" cy="323850"/>
        </a:xfrm>
      </xdr:grpSpPr>
      <xdr:grpSp>
        <xdr:nvGrpSpPr>
          <xdr:cNvPr id="4" name="Shape 4"/>
          <xdr:cNvGrpSpPr/>
        </xdr:nvGrpSpPr>
        <xdr:grpSpPr>
          <a:xfrm>
            <a:off x="4822125" y="3618075"/>
            <a:ext cx="1047750" cy="323850"/>
            <a:chOff x="7894308" y="3609975"/>
            <a:chExt cx="1050318" cy="301476"/>
          </a:xfrm>
        </xdr:grpSpPr>
        <xdr:sp>
          <xdr:nvSpPr>
            <xdr:cNvPr id="5" name="Shape 5"/>
            <xdr:cNvSpPr/>
          </xdr:nvSpPr>
          <xdr:spPr>
            <a:xfrm>
              <a:off x="7894308" y="3609975"/>
              <a:ext cx="1050300" cy="301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6" name="Shape 6">
              <a:hlinkClick r:id="rId1"/>
            </xdr:cNvPr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7894308" y="3670392"/>
              <a:ext cx="204404" cy="20338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Shape 7">
              <a:hlinkClick r:id="rId3"/>
            </xdr:cNvPr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8641014" y="3609975"/>
              <a:ext cx="303612" cy="30147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>
              <a:hlinkClick r:id="rId5"/>
            </xdr:cNvPr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8252348" y="3672478"/>
              <a:ext cx="228600" cy="19921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19050</xdr:colOff>
      <xdr:row>22</xdr:row>
      <xdr:rowOff>95250</xdr:rowOff>
    </xdr:from>
    <xdr:ext cx="10258425" cy="352425"/>
    <xdr:grpSp>
      <xdr:nvGrpSpPr>
        <xdr:cNvPr id="2" name="Shape 2"/>
        <xdr:cNvGrpSpPr/>
      </xdr:nvGrpSpPr>
      <xdr:grpSpPr>
        <a:xfrm>
          <a:off x="216788" y="3603788"/>
          <a:ext cx="10258425" cy="352425"/>
          <a:chOff x="216788" y="3603788"/>
          <a:chExt cx="10258425" cy="352425"/>
        </a:xfrm>
      </xdr:grpSpPr>
      <xdr:grpSp>
        <xdr:nvGrpSpPr>
          <xdr:cNvPr id="9" name="Shape 9"/>
          <xdr:cNvGrpSpPr/>
        </xdr:nvGrpSpPr>
        <xdr:grpSpPr>
          <a:xfrm>
            <a:off x="216788" y="3603788"/>
            <a:ext cx="10258425" cy="352425"/>
            <a:chOff x="323850" y="6010275"/>
            <a:chExt cx="10264486" cy="327146"/>
          </a:xfrm>
        </xdr:grpSpPr>
        <xdr:sp>
          <xdr:nvSpPr>
            <xdr:cNvPr id="5" name="Shape 5"/>
            <xdr:cNvSpPr/>
          </xdr:nvSpPr>
          <xdr:spPr>
            <a:xfrm>
              <a:off x="323850" y="6010275"/>
              <a:ext cx="10264475" cy="327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0" name="Shape 10"/>
            <xdr:cNvPicPr preferRelativeResize="0"/>
          </xdr:nvPicPr>
          <xdr:blipFill rotWithShape="1">
            <a:blip r:embed="rId7">
              <a:alphaModFix/>
            </a:blip>
            <a:srcRect b="0" l="0" r="0" t="0"/>
            <a:stretch/>
          </xdr:blipFill>
          <xdr:spPr>
            <a:xfrm>
              <a:off x="323850" y="6029324"/>
              <a:ext cx="10077450" cy="299173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11" name="Shape 11"/>
            <xdr:cNvGrpSpPr/>
          </xdr:nvGrpSpPr>
          <xdr:grpSpPr>
            <a:xfrm>
              <a:off x="7286625" y="6010275"/>
              <a:ext cx="1050318" cy="301476"/>
              <a:chOff x="7286625" y="6010275"/>
              <a:chExt cx="1050318" cy="301476"/>
            </a:xfrm>
          </xdr:grpSpPr>
          <xdr:pic>
            <xdr:nvPicPr>
              <xdr:cNvPr id="12" name="Shape 12">
                <a:hlinkClick r:id="rId8"/>
              </xdr:cNvPr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7286625" y="6070692"/>
                <a:ext cx="204404" cy="203388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3" name="Shape 13">
                <a:hlinkClick r:id="rId9"/>
              </xdr:cNvPr>
              <xdr:cNvPicPr preferRelativeResize="0"/>
            </xdr:nvPicPr>
            <xdr:blipFill rotWithShape="1">
              <a:blip r:embed="rId4">
                <a:alphaModFix/>
              </a:blip>
              <a:srcRect b="0" l="0" r="0" t="0"/>
              <a:stretch/>
            </xdr:blipFill>
            <xdr:spPr>
              <a:xfrm>
                <a:off x="8033331" y="6010275"/>
                <a:ext cx="303612" cy="30147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4" name="Shape 14">
                <a:hlinkClick r:id="rId10"/>
              </xdr:cNvPr>
              <xdr:cNvPicPr preferRelativeResize="0"/>
            </xdr:nvPicPr>
            <xdr:blipFill rotWithShape="1">
              <a:blip r:embed="rId6">
                <a:alphaModFix/>
              </a:blip>
              <a:srcRect b="0" l="0" r="0" t="0"/>
              <a:stretch/>
            </xdr:blipFill>
            <xdr:spPr>
              <a:xfrm>
                <a:off x="7644665" y="6072778"/>
                <a:ext cx="228600" cy="19921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sp>
          <xdr:nvSpPr>
            <xdr:cNvPr id="15" name="Shape 15"/>
            <xdr:cNvSpPr txBox="1"/>
          </xdr:nvSpPr>
          <xdr:spPr>
            <a:xfrm>
              <a:off x="9588211" y="6051671"/>
              <a:ext cx="1000125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20181111</a:t>
              </a:r>
              <a:endParaRPr sz="1400"/>
            </a:p>
          </xdr:txBody>
        </xdr: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114300</xdr:colOff>
      <xdr:row>27</xdr:row>
      <xdr:rowOff>114300</xdr:rowOff>
    </xdr:from>
    <xdr:ext cx="1000125" cy="314325"/>
    <xdr:sp>
      <xdr:nvSpPr>
        <xdr:cNvPr id="16" name="Shape 16"/>
        <xdr:cNvSpPr txBox="1"/>
      </xdr:nvSpPr>
      <xdr:spPr>
        <a:xfrm>
          <a:off x="4850700" y="3627600"/>
          <a:ext cx="990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20181111</a:t>
          </a:r>
          <a:endParaRPr sz="1400"/>
        </a:p>
      </xdr:txBody>
    </xdr:sp>
    <xdr:clientData fLocksWithSheet="0"/>
  </xdr:oneCellAnchor>
  <xdr:oneCellAnchor>
    <xdr:from>
      <xdr:col>14</xdr:col>
      <xdr:colOff>323850</xdr:colOff>
      <xdr:row>27</xdr:row>
      <xdr:rowOff>76200</xdr:rowOff>
    </xdr:from>
    <xdr:ext cx="1057275" cy="304800"/>
    <xdr:grpSp>
      <xdr:nvGrpSpPr>
        <xdr:cNvPr id="2" name="Shape 2"/>
        <xdr:cNvGrpSpPr/>
      </xdr:nvGrpSpPr>
      <xdr:grpSpPr>
        <a:xfrm>
          <a:off x="4817363" y="3627600"/>
          <a:ext cx="1057275" cy="304800"/>
          <a:chOff x="4817363" y="3627600"/>
          <a:chExt cx="1057275" cy="304800"/>
        </a:xfrm>
      </xdr:grpSpPr>
      <xdr:grpSp>
        <xdr:nvGrpSpPr>
          <xdr:cNvPr id="17" name="Shape 17"/>
          <xdr:cNvGrpSpPr/>
        </xdr:nvGrpSpPr>
        <xdr:grpSpPr>
          <a:xfrm>
            <a:off x="4817363" y="3627600"/>
            <a:ext cx="1057275" cy="304800"/>
            <a:chOff x="7894308" y="3609975"/>
            <a:chExt cx="1050318" cy="301476"/>
          </a:xfrm>
        </xdr:grpSpPr>
        <xdr:sp>
          <xdr:nvSpPr>
            <xdr:cNvPr id="5" name="Shape 5"/>
            <xdr:cNvSpPr/>
          </xdr:nvSpPr>
          <xdr:spPr>
            <a:xfrm>
              <a:off x="7894308" y="3609975"/>
              <a:ext cx="1050300" cy="301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8" name="Shape 18">
              <a:hlinkClick r:id="rId1"/>
            </xdr:cNvPr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7894308" y="3670392"/>
              <a:ext cx="204404" cy="20338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9" name="Shape 19">
              <a:hlinkClick r:id="rId3"/>
            </xdr:cNvPr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8641014" y="3609975"/>
              <a:ext cx="303612" cy="30147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0" name="Shape 20">
              <a:hlinkClick r:id="rId5"/>
            </xdr:cNvPr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8252348" y="3672478"/>
              <a:ext cx="228600" cy="19921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285750</xdr:colOff>
      <xdr:row>27</xdr:row>
      <xdr:rowOff>161925</xdr:rowOff>
    </xdr:from>
    <xdr:ext cx="10258425" cy="352425"/>
    <xdr:grpSp>
      <xdr:nvGrpSpPr>
        <xdr:cNvPr id="2" name="Shape 2"/>
        <xdr:cNvGrpSpPr/>
      </xdr:nvGrpSpPr>
      <xdr:grpSpPr>
        <a:xfrm>
          <a:off x="216788" y="3603788"/>
          <a:ext cx="10258425" cy="352425"/>
          <a:chOff x="216788" y="3603788"/>
          <a:chExt cx="10258425" cy="352425"/>
        </a:xfrm>
      </xdr:grpSpPr>
      <xdr:grpSp>
        <xdr:nvGrpSpPr>
          <xdr:cNvPr id="21" name="Shape 21"/>
          <xdr:cNvGrpSpPr/>
        </xdr:nvGrpSpPr>
        <xdr:grpSpPr>
          <a:xfrm>
            <a:off x="216788" y="3603788"/>
            <a:ext cx="10258425" cy="352425"/>
            <a:chOff x="323850" y="6010275"/>
            <a:chExt cx="10264486" cy="327146"/>
          </a:xfrm>
        </xdr:grpSpPr>
        <xdr:sp>
          <xdr:nvSpPr>
            <xdr:cNvPr id="5" name="Shape 5"/>
            <xdr:cNvSpPr/>
          </xdr:nvSpPr>
          <xdr:spPr>
            <a:xfrm>
              <a:off x="323850" y="6010275"/>
              <a:ext cx="10264475" cy="327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2" name="Shape 22"/>
            <xdr:cNvPicPr preferRelativeResize="0"/>
          </xdr:nvPicPr>
          <xdr:blipFill rotWithShape="1">
            <a:blip r:embed="rId7">
              <a:alphaModFix/>
            </a:blip>
            <a:srcRect b="0" l="0" r="0" t="0"/>
            <a:stretch/>
          </xdr:blipFill>
          <xdr:spPr>
            <a:xfrm>
              <a:off x="323850" y="6029324"/>
              <a:ext cx="10077450" cy="299173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23" name="Shape 23"/>
            <xdr:cNvGrpSpPr/>
          </xdr:nvGrpSpPr>
          <xdr:grpSpPr>
            <a:xfrm>
              <a:off x="7286625" y="6010275"/>
              <a:ext cx="1050318" cy="301476"/>
              <a:chOff x="7286625" y="6010275"/>
              <a:chExt cx="1050318" cy="301476"/>
            </a:xfrm>
          </xdr:grpSpPr>
          <xdr:pic>
            <xdr:nvPicPr>
              <xdr:cNvPr id="24" name="Shape 24">
                <a:hlinkClick r:id="rId8"/>
              </xdr:cNvPr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7286625" y="6070692"/>
                <a:ext cx="204404" cy="203388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25" name="Shape 25">
                <a:hlinkClick r:id="rId9"/>
              </xdr:cNvPr>
              <xdr:cNvPicPr preferRelativeResize="0"/>
            </xdr:nvPicPr>
            <xdr:blipFill rotWithShape="1">
              <a:blip r:embed="rId4">
                <a:alphaModFix/>
              </a:blip>
              <a:srcRect b="0" l="0" r="0" t="0"/>
              <a:stretch/>
            </xdr:blipFill>
            <xdr:spPr>
              <a:xfrm>
                <a:off x="8033331" y="6010275"/>
                <a:ext cx="303612" cy="30147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26" name="Shape 26">
                <a:hlinkClick r:id="rId10"/>
              </xdr:cNvPr>
              <xdr:cNvPicPr preferRelativeResize="0"/>
            </xdr:nvPicPr>
            <xdr:blipFill rotWithShape="1">
              <a:blip r:embed="rId6">
                <a:alphaModFix/>
              </a:blip>
              <a:srcRect b="0" l="0" r="0" t="0"/>
              <a:stretch/>
            </xdr:blipFill>
            <xdr:spPr>
              <a:xfrm>
                <a:off x="7644665" y="6072778"/>
                <a:ext cx="228600" cy="19921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sp>
          <xdr:nvSpPr>
            <xdr:cNvPr id="27" name="Shape 27"/>
            <xdr:cNvSpPr txBox="1"/>
          </xdr:nvSpPr>
          <xdr:spPr>
            <a:xfrm>
              <a:off x="9588211" y="6051671"/>
              <a:ext cx="1000125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20181111</a:t>
              </a:r>
              <a:endParaRPr sz="1400"/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.57"/>
    <col customWidth="1" min="3" max="3" width="9.14"/>
    <col customWidth="1" min="4" max="4" width="4.57"/>
    <col customWidth="1" min="5" max="5" width="13.71"/>
    <col customWidth="1" min="6" max="6" width="9.14"/>
    <col customWidth="1" min="7" max="8" width="4.57"/>
    <col customWidth="1" min="9" max="9" width="7.14"/>
    <col customWidth="1" min="10" max="10" width="13.43"/>
    <col customWidth="1" min="11" max="12" width="5.71"/>
    <col customWidth="1" min="13" max="16" width="9.14"/>
    <col customWidth="1" min="17" max="18" width="18.0"/>
    <col customWidth="1" min="19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5"/>
      <c r="R2" s="5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7" t="s">
        <v>0</v>
      </c>
      <c r="D3" s="8"/>
      <c r="E3" s="8"/>
      <c r="F3" s="9"/>
      <c r="G3" s="10"/>
      <c r="H3" s="1"/>
      <c r="I3" s="11" t="s">
        <v>1</v>
      </c>
      <c r="J3" s="12"/>
      <c r="K3" s="1"/>
      <c r="L3" s="13"/>
      <c r="M3" s="14" t="s">
        <v>2</v>
      </c>
      <c r="N3" s="15">
        <f>E7/2</f>
        <v>7</v>
      </c>
      <c r="O3" s="16"/>
      <c r="P3" s="1"/>
      <c r="Q3" s="5"/>
      <c r="R3" s="5"/>
      <c r="S3" s="1"/>
      <c r="T3" s="1"/>
      <c r="U3" s="1"/>
      <c r="V3" s="1"/>
      <c r="W3" s="1"/>
      <c r="X3" s="1"/>
      <c r="Y3" s="1"/>
      <c r="Z3" s="1"/>
    </row>
    <row r="4">
      <c r="A4" s="1"/>
      <c r="B4" s="6"/>
      <c r="C4" s="17"/>
      <c r="D4" s="18"/>
      <c r="E4" s="18"/>
      <c r="F4" s="19"/>
      <c r="G4" s="10"/>
      <c r="H4" s="1"/>
      <c r="I4" s="20" t="s">
        <v>3</v>
      </c>
      <c r="J4" s="21">
        <f>E21*5600*(E20*10)^0.5*(0.8+0.2*E20/8)</f>
        <v>28980</v>
      </c>
      <c r="K4" s="1"/>
      <c r="L4" s="22"/>
      <c r="M4" s="14" t="s">
        <v>4</v>
      </c>
      <c r="N4" s="15">
        <f>E17*(J6-1)+E16*J6</f>
        <v>24.06246377</v>
      </c>
      <c r="O4" s="23"/>
      <c r="P4" s="1"/>
      <c r="Q4" s="5"/>
      <c r="R4" s="5"/>
      <c r="S4" s="1"/>
      <c r="T4" s="1"/>
      <c r="U4" s="1"/>
      <c r="V4" s="1"/>
      <c r="W4" s="1"/>
      <c r="X4" s="1"/>
      <c r="Y4" s="1"/>
      <c r="Z4" s="1"/>
    </row>
    <row r="5">
      <c r="A5" s="1"/>
      <c r="B5" s="6"/>
      <c r="C5" s="24"/>
      <c r="D5" s="24"/>
      <c r="E5" s="24"/>
      <c r="F5" s="24"/>
      <c r="G5" s="10"/>
      <c r="H5" s="1"/>
      <c r="I5" s="25" t="s">
        <v>5</v>
      </c>
      <c r="J5" s="26">
        <v>210000.0</v>
      </c>
      <c r="K5" s="1"/>
      <c r="L5" s="27"/>
      <c r="M5" s="14" t="s">
        <v>6</v>
      </c>
      <c r="N5" s="28">
        <f>-E17*(J6-1)*E10-E16*J6*E9</f>
        <v>-667.1493333</v>
      </c>
      <c r="O5" s="23"/>
      <c r="P5" s="1"/>
      <c r="Q5" s="5"/>
      <c r="R5" s="5"/>
      <c r="S5" s="1"/>
      <c r="T5" s="1"/>
      <c r="U5" s="1"/>
      <c r="V5" s="1"/>
      <c r="W5" s="1"/>
      <c r="X5" s="1"/>
      <c r="Y5" s="1"/>
      <c r="Z5" s="1"/>
    </row>
    <row r="6">
      <c r="A6" s="1"/>
      <c r="B6" s="6"/>
      <c r="C6" s="24"/>
      <c r="D6" s="29" t="s">
        <v>7</v>
      </c>
      <c r="E6" s="30"/>
      <c r="F6" s="24"/>
      <c r="G6" s="10"/>
      <c r="H6" s="1"/>
      <c r="I6" s="31" t="s">
        <v>8</v>
      </c>
      <c r="J6" s="32">
        <f>J5/J4</f>
        <v>7.246376812</v>
      </c>
      <c r="K6" s="1"/>
      <c r="L6" s="27"/>
      <c r="M6" s="14" t="s">
        <v>9</v>
      </c>
      <c r="N6" s="14">
        <f>(-N4+(N4^2-4*N3*N5)^0.5)/(2*N3)</f>
        <v>8.193928326</v>
      </c>
      <c r="O6" s="23"/>
      <c r="P6" s="1"/>
      <c r="Q6" s="5"/>
      <c r="R6" s="5"/>
      <c r="S6" s="1"/>
      <c r="T6" s="1"/>
      <c r="U6" s="1"/>
      <c r="V6" s="1"/>
      <c r="W6" s="1"/>
      <c r="X6" s="1"/>
      <c r="Y6" s="1"/>
      <c r="Z6" s="1"/>
    </row>
    <row r="7">
      <c r="A7" s="1"/>
      <c r="B7" s="6"/>
      <c r="C7" s="24"/>
      <c r="D7" s="25" t="s">
        <v>10</v>
      </c>
      <c r="E7" s="33">
        <v>14.0</v>
      </c>
      <c r="F7" s="24"/>
      <c r="G7" s="10"/>
      <c r="H7" s="1"/>
      <c r="I7" s="1"/>
      <c r="J7" s="1"/>
      <c r="K7" s="1"/>
      <c r="L7" s="27"/>
      <c r="M7" s="14"/>
      <c r="N7" s="34"/>
      <c r="O7" s="23"/>
      <c r="P7" s="1"/>
      <c r="Q7" s="5"/>
      <c r="R7" s="5"/>
      <c r="S7" s="1"/>
      <c r="T7" s="1"/>
      <c r="U7" s="1"/>
      <c r="V7" s="1"/>
      <c r="W7" s="1"/>
      <c r="X7" s="1"/>
      <c r="Y7" s="1"/>
      <c r="Z7" s="1"/>
    </row>
    <row r="8">
      <c r="A8" s="1"/>
      <c r="B8" s="6"/>
      <c r="C8" s="24"/>
      <c r="D8" s="25" t="s">
        <v>11</v>
      </c>
      <c r="E8" s="33">
        <v>40.0</v>
      </c>
      <c r="F8" s="24"/>
      <c r="G8" s="10"/>
      <c r="H8" s="1"/>
      <c r="I8" s="11" t="s">
        <v>12</v>
      </c>
      <c r="J8" s="12"/>
      <c r="K8" s="1"/>
      <c r="L8" s="27"/>
      <c r="M8" s="1"/>
      <c r="N8" s="35"/>
      <c r="O8" s="23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/>
      <c r="C9" s="24"/>
      <c r="D9" s="36" t="s">
        <v>13</v>
      </c>
      <c r="E9" s="37">
        <v>36.37</v>
      </c>
      <c r="F9" s="24"/>
      <c r="G9" s="10"/>
      <c r="H9" s="1"/>
      <c r="I9" s="25" t="s">
        <v>14</v>
      </c>
      <c r="J9" s="38">
        <f>0.25*(0.3*(E20*10)^(2/3)/10)*E7*E8^2</f>
        <v>1436.379795</v>
      </c>
      <c r="K9" s="1"/>
      <c r="L9" s="27"/>
      <c r="M9" s="1"/>
      <c r="N9" s="35"/>
      <c r="O9" s="23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/>
      <c r="C10" s="24"/>
      <c r="D10" s="25" t="s">
        <v>15</v>
      </c>
      <c r="E10" s="33">
        <v>3.4</v>
      </c>
      <c r="F10" s="24"/>
      <c r="G10" s="10"/>
      <c r="H10" s="1"/>
      <c r="I10" s="1"/>
      <c r="J10" s="1"/>
      <c r="K10" s="1"/>
      <c r="L10" s="27"/>
      <c r="M10" s="1"/>
      <c r="N10" s="35"/>
      <c r="O10" s="2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/>
      <c r="C11" s="24"/>
      <c r="D11" s="24"/>
      <c r="E11" s="24"/>
      <c r="F11" s="24"/>
      <c r="G11" s="10"/>
      <c r="H11" s="1"/>
      <c r="I11" s="11" t="s">
        <v>16</v>
      </c>
      <c r="J11" s="12"/>
      <c r="K11" s="1"/>
      <c r="L11" s="1"/>
      <c r="M11" s="1"/>
      <c r="N11" s="35"/>
      <c r="O11" s="2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6"/>
      <c r="C12" s="24"/>
      <c r="D12" s="11" t="s">
        <v>17</v>
      </c>
      <c r="E12" s="12"/>
      <c r="F12" s="24"/>
      <c r="G12" s="10"/>
      <c r="H12" s="1"/>
      <c r="I12" s="25" t="s">
        <v>18</v>
      </c>
      <c r="J12" s="39">
        <f>E7*E8^3/12</f>
        <v>74666.66667</v>
      </c>
      <c r="K12" s="1"/>
      <c r="L12" s="13"/>
      <c r="M12" s="1"/>
      <c r="N12" s="35"/>
      <c r="O12" s="2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6"/>
      <c r="C13" s="24"/>
      <c r="D13" s="25" t="s">
        <v>19</v>
      </c>
      <c r="E13" s="38">
        <v>2383.0</v>
      </c>
      <c r="F13" s="24"/>
      <c r="G13" s="10"/>
      <c r="H13" s="1"/>
      <c r="I13" s="25" t="s">
        <v>20</v>
      </c>
      <c r="J13" s="39">
        <f>E7*N6^3/3+E17*(J6-1)*(N6-E10)^2+E16*J6*(E9-N6)^2</f>
        <v>16806.76939</v>
      </c>
      <c r="K13" s="1"/>
      <c r="L13" s="40"/>
      <c r="M13" s="1"/>
      <c r="N13" s="35"/>
      <c r="O13" s="2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6"/>
      <c r="C14" s="24"/>
      <c r="D14" s="24"/>
      <c r="E14" s="41"/>
      <c r="F14" s="24"/>
      <c r="G14" s="10"/>
      <c r="H14" s="1"/>
      <c r="I14" s="25" t="s">
        <v>21</v>
      </c>
      <c r="J14" s="39">
        <f>MIN((J9/E13)^3*J12+(1-(J9/E13)^3)*J13,J12)</f>
        <v>29477.84241</v>
      </c>
      <c r="K14" s="1"/>
      <c r="L14" s="40"/>
      <c r="M14" s="1"/>
      <c r="N14" s="35"/>
      <c r="O14" s="2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6"/>
      <c r="C15" s="24"/>
      <c r="D15" s="11" t="s">
        <v>22</v>
      </c>
      <c r="E15" s="12"/>
      <c r="F15" s="24"/>
      <c r="G15" s="10"/>
      <c r="H15" s="1"/>
      <c r="I15" s="1"/>
      <c r="J15" s="1"/>
      <c r="K15" s="1"/>
      <c r="L15" s="40"/>
      <c r="M15" s="1"/>
      <c r="N15" s="35"/>
      <c r="O15" s="2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"/>
      <c r="C16" s="24"/>
      <c r="D16" s="25" t="s">
        <v>23</v>
      </c>
      <c r="E16" s="42">
        <v>2.45</v>
      </c>
      <c r="F16" s="24"/>
      <c r="G16" s="10"/>
      <c r="H16" s="1"/>
      <c r="I16" s="11" t="s">
        <v>24</v>
      </c>
      <c r="J16" s="12"/>
      <c r="K16" s="1"/>
      <c r="L16" s="40"/>
      <c r="M16" s="1"/>
      <c r="N16" s="35"/>
      <c r="O16" s="2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6"/>
      <c r="C17" s="24"/>
      <c r="D17" s="25" t="s">
        <v>25</v>
      </c>
      <c r="E17" s="42">
        <v>1.01</v>
      </c>
      <c r="F17" s="24"/>
      <c r="G17" s="10"/>
      <c r="H17" s="1"/>
      <c r="I17" s="25" t="s">
        <v>26</v>
      </c>
      <c r="J17" s="43">
        <f>(-N4+(N4^2-4*N3*N5)^0.5)/(2*N3)</f>
        <v>8.193928326</v>
      </c>
      <c r="K17" s="1"/>
      <c r="L17" s="40"/>
      <c r="M17" s="1"/>
      <c r="N17" s="35"/>
      <c r="O17" s="2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"/>
      <c r="C18" s="24"/>
      <c r="D18" s="24"/>
      <c r="E18" s="24"/>
      <c r="F18" s="24"/>
      <c r="G18" s="10"/>
      <c r="H18" s="1"/>
      <c r="I18" s="1"/>
      <c r="J18" s="1"/>
      <c r="K18" s="1"/>
      <c r="L18" s="44"/>
      <c r="M18" s="1"/>
      <c r="N18" s="35"/>
      <c r="O18" s="2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"/>
      <c r="C19" s="24"/>
      <c r="D19" s="11" t="s">
        <v>27</v>
      </c>
      <c r="E19" s="12"/>
      <c r="F19" s="24"/>
      <c r="G19" s="10"/>
      <c r="H19" s="1"/>
      <c r="I19" s="11" t="s">
        <v>28</v>
      </c>
      <c r="J19" s="12"/>
      <c r="K19" s="1"/>
      <c r="L19" s="45"/>
      <c r="M19" s="1"/>
      <c r="N19" s="35"/>
      <c r="O19" s="2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"/>
      <c r="C20" s="24"/>
      <c r="D20" s="25" t="s">
        <v>29</v>
      </c>
      <c r="E20" s="46">
        <v>2.5</v>
      </c>
      <c r="F20" s="24"/>
      <c r="G20" s="10"/>
      <c r="H20" s="1"/>
      <c r="I20" s="25" t="s">
        <v>10</v>
      </c>
      <c r="J20" s="33">
        <f>E7</f>
        <v>14</v>
      </c>
      <c r="K20" s="1"/>
      <c r="L20" s="47"/>
      <c r="M20" s="1"/>
      <c r="N20" s="35"/>
      <c r="O20" s="2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6"/>
      <c r="C21" s="24"/>
      <c r="D21" s="31" t="s">
        <v>30</v>
      </c>
      <c r="E21" s="48">
        <v>1.2</v>
      </c>
      <c r="F21" s="49"/>
      <c r="G21" s="10"/>
      <c r="H21" s="1"/>
      <c r="I21" s="25" t="s">
        <v>31</v>
      </c>
      <c r="J21" s="33">
        <f>(12*J14/J20)^(1/3)</f>
        <v>29.34379643</v>
      </c>
      <c r="K21" s="1"/>
      <c r="L21" s="50"/>
      <c r="M21" s="1"/>
      <c r="N21" s="35"/>
      <c r="O21" s="2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1"/>
      <c r="C22" s="52"/>
      <c r="D22" s="52"/>
      <c r="E22" s="52"/>
      <c r="F22" s="52"/>
      <c r="G22" s="53"/>
      <c r="H22" s="1"/>
      <c r="I22" s="1"/>
      <c r="J22" s="1"/>
      <c r="K22" s="54"/>
      <c r="L22" s="1"/>
      <c r="M22" s="54"/>
      <c r="N22" s="54"/>
      <c r="O22" s="54"/>
      <c r="P22" s="5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55"/>
      <c r="E23" s="55"/>
      <c r="F23" s="1"/>
      <c r="G23" s="1"/>
      <c r="H23" s="1"/>
      <c r="I23" s="1"/>
      <c r="J23" s="54"/>
      <c r="K23" s="54"/>
      <c r="L23" s="54"/>
      <c r="M23" s="54"/>
      <c r="N23" s="54"/>
      <c r="O23" s="54"/>
      <c r="P23" s="5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5"/>
      <c r="E24" s="5"/>
      <c r="F24" s="1"/>
      <c r="G24" s="1"/>
      <c r="H24" s="1"/>
      <c r="I24" s="1"/>
      <c r="J24" s="54"/>
      <c r="K24" s="54"/>
      <c r="L24" s="54"/>
      <c r="M24" s="54"/>
      <c r="N24" s="54"/>
      <c r="O24" s="54"/>
      <c r="P24" s="5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D15:E15"/>
    <mergeCell ref="D19:E19"/>
    <mergeCell ref="C3:F4"/>
    <mergeCell ref="I3:J3"/>
    <mergeCell ref="D6:E6"/>
    <mergeCell ref="I8:J8"/>
    <mergeCell ref="I11:J11"/>
    <mergeCell ref="D12:E12"/>
    <mergeCell ref="I16:J16"/>
    <mergeCell ref="I19:J19"/>
  </mergeCells>
  <dataValidations>
    <dataValidation type="list" allowBlank="1" showErrorMessage="1" sqref="E25">
      <formula1>INDIRECT(E24)</formula1>
    </dataValidation>
    <dataValidation type="list" allowBlank="1" showErrorMessage="1" sqref="E24">
      <formula1>Armação</formula1>
    </dataValidation>
  </dataValidations>
  <printOptions/>
  <pageMargins bottom="0.787401575" footer="0.0" header="0.0" left="0.511811024" right="0.511811024" top="0.7874015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.57"/>
    <col customWidth="1" min="3" max="3" width="9.14"/>
    <col customWidth="1" min="4" max="4" width="4.57"/>
    <col customWidth="1" min="5" max="5" width="13.71"/>
    <col customWidth="1" min="6" max="6" width="9.14"/>
    <col customWidth="1" min="7" max="8" width="4.57"/>
    <col customWidth="1" min="9" max="9" width="7.14"/>
    <col customWidth="1" min="10" max="10" width="19.86"/>
    <col customWidth="1" min="11" max="12" width="5.71"/>
    <col customWidth="1" min="13" max="16" width="9.14"/>
    <col customWidth="1" min="17" max="18" width="18.0"/>
    <col customWidth="1" min="19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5"/>
      <c r="R2" s="5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7" t="s">
        <v>0</v>
      </c>
      <c r="D3" s="8"/>
      <c r="E3" s="8"/>
      <c r="F3" s="9"/>
      <c r="G3" s="10"/>
      <c r="H3" s="1"/>
      <c r="I3" s="11" t="s">
        <v>1</v>
      </c>
      <c r="J3" s="12"/>
      <c r="K3" s="1"/>
      <c r="L3" s="13"/>
      <c r="M3" s="14" t="s">
        <v>2</v>
      </c>
      <c r="N3" s="28">
        <f>E7/2</f>
        <v>7</v>
      </c>
      <c r="O3" s="16"/>
      <c r="P3" s="1"/>
      <c r="Q3" s="5"/>
      <c r="R3" s="5"/>
      <c r="S3" s="1"/>
      <c r="T3" s="1"/>
      <c r="U3" s="1"/>
      <c r="V3" s="1"/>
      <c r="W3" s="1"/>
      <c r="X3" s="1"/>
      <c r="Y3" s="1"/>
      <c r="Z3" s="1"/>
    </row>
    <row r="4">
      <c r="A4" s="1"/>
      <c r="B4" s="6"/>
      <c r="C4" s="17"/>
      <c r="D4" s="18"/>
      <c r="E4" s="18"/>
      <c r="F4" s="19"/>
      <c r="G4" s="10"/>
      <c r="H4" s="1"/>
      <c r="I4" s="20" t="s">
        <v>3</v>
      </c>
      <c r="J4" s="21">
        <f>E26*5600*(E25*10)^0.5*(0.8+0.2*E25/8)</f>
        <v>28980</v>
      </c>
      <c r="K4" s="1"/>
      <c r="L4" s="22"/>
      <c r="M4" s="14" t="s">
        <v>4</v>
      </c>
      <c r="N4" s="28">
        <f>E17*(J6-1)+E16*J6</f>
        <v>50.89</v>
      </c>
      <c r="O4" s="23"/>
      <c r="P4" s="1"/>
      <c r="Q4" s="5"/>
      <c r="R4" s="5"/>
      <c r="S4" s="1"/>
      <c r="T4" s="1"/>
      <c r="U4" s="1"/>
      <c r="V4" s="1"/>
      <c r="W4" s="1"/>
      <c r="X4" s="1"/>
      <c r="Y4" s="1"/>
      <c r="Z4" s="1"/>
    </row>
    <row r="5">
      <c r="A5" s="1"/>
      <c r="B5" s="6"/>
      <c r="C5" s="24"/>
      <c r="D5" s="24"/>
      <c r="E5" s="24"/>
      <c r="F5" s="24"/>
      <c r="G5" s="10"/>
      <c r="H5" s="1"/>
      <c r="I5" s="25" t="s">
        <v>5</v>
      </c>
      <c r="J5" s="26">
        <v>210000.0</v>
      </c>
      <c r="K5" s="1"/>
      <c r="L5" s="27"/>
      <c r="M5" s="14" t="s">
        <v>6</v>
      </c>
      <c r="N5" s="28">
        <f>-E17*(J6-1)*E10-E16*J6*E9</f>
        <v>-1382.101</v>
      </c>
      <c r="O5" s="23"/>
      <c r="P5" s="1"/>
      <c r="Q5" s="5"/>
      <c r="R5" s="5"/>
      <c r="S5" s="1"/>
      <c r="T5" s="1"/>
      <c r="U5" s="1"/>
      <c r="V5" s="1"/>
      <c r="W5" s="1"/>
      <c r="X5" s="1"/>
      <c r="Y5" s="1"/>
      <c r="Z5" s="1"/>
    </row>
    <row r="6">
      <c r="A6" s="1"/>
      <c r="B6" s="6"/>
      <c r="C6" s="24"/>
      <c r="D6" s="29" t="s">
        <v>7</v>
      </c>
      <c r="E6" s="30"/>
      <c r="F6" s="24"/>
      <c r="G6" s="10"/>
      <c r="H6" s="1"/>
      <c r="I6" s="31" t="s">
        <v>32</v>
      </c>
      <c r="J6" s="32">
        <v>15.0</v>
      </c>
      <c r="K6" s="1"/>
      <c r="L6" s="27"/>
      <c r="M6" s="14" t="s">
        <v>9</v>
      </c>
      <c r="N6" s="14">
        <f>(-N4+(N4^2-4*N3*N5)^0.5)/(2*N3)</f>
        <v>10.879001</v>
      </c>
      <c r="O6" s="23"/>
      <c r="P6" s="1"/>
      <c r="Q6" s="5"/>
      <c r="R6" s="5"/>
      <c r="S6" s="1"/>
      <c r="T6" s="1"/>
      <c r="U6" s="1"/>
      <c r="V6" s="1"/>
      <c r="W6" s="1"/>
      <c r="X6" s="1"/>
      <c r="Y6" s="1"/>
      <c r="Z6" s="1"/>
    </row>
    <row r="7">
      <c r="A7" s="1"/>
      <c r="B7" s="6"/>
      <c r="C7" s="24"/>
      <c r="D7" s="25" t="s">
        <v>10</v>
      </c>
      <c r="E7" s="33">
        <v>14.0</v>
      </c>
      <c r="F7" s="24"/>
      <c r="G7" s="10"/>
      <c r="H7" s="1"/>
      <c r="I7" s="1"/>
      <c r="J7" s="1"/>
      <c r="K7" s="1"/>
      <c r="L7" s="27"/>
      <c r="M7" s="1"/>
      <c r="N7" s="35"/>
      <c r="O7" s="23"/>
      <c r="P7" s="1"/>
      <c r="Q7" s="5"/>
      <c r="R7" s="5"/>
      <c r="S7" s="1"/>
      <c r="T7" s="1"/>
      <c r="U7" s="1"/>
      <c r="V7" s="1"/>
      <c r="W7" s="1"/>
      <c r="X7" s="1"/>
      <c r="Y7" s="1"/>
      <c r="Z7" s="1"/>
    </row>
    <row r="8">
      <c r="A8" s="1"/>
      <c r="B8" s="6"/>
      <c r="C8" s="24"/>
      <c r="D8" s="25" t="s">
        <v>11</v>
      </c>
      <c r="E8" s="33">
        <v>40.0</v>
      </c>
      <c r="F8" s="24"/>
      <c r="G8" s="10"/>
      <c r="H8" s="1"/>
      <c r="I8" s="11" t="s">
        <v>12</v>
      </c>
      <c r="J8" s="12"/>
      <c r="K8" s="1"/>
      <c r="L8" s="27"/>
      <c r="M8" s="1"/>
      <c r="N8" s="35"/>
      <c r="O8" s="23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/>
      <c r="C9" s="24"/>
      <c r="D9" s="36" t="s">
        <v>13</v>
      </c>
      <c r="E9" s="37">
        <v>36.3</v>
      </c>
      <c r="F9" s="24"/>
      <c r="G9" s="10"/>
      <c r="H9" s="1"/>
      <c r="I9" s="25" t="s">
        <v>14</v>
      </c>
      <c r="J9" s="38">
        <f>0.25*(0.3*0.7*(E25*10)^(2/3)/10)*E7*E8^2</f>
        <v>1005.465857</v>
      </c>
      <c r="K9" s="1"/>
      <c r="L9" s="27"/>
      <c r="M9" s="1"/>
      <c r="N9" s="35"/>
      <c r="O9" s="23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/>
      <c r="C10" s="24"/>
      <c r="D10" s="25" t="s">
        <v>15</v>
      </c>
      <c r="E10" s="33">
        <f>2.5+0.5+0.4</f>
        <v>3.4</v>
      </c>
      <c r="F10" s="24"/>
      <c r="G10" s="10"/>
      <c r="H10" s="1"/>
      <c r="I10" s="1"/>
      <c r="J10" s="1"/>
      <c r="K10" s="1"/>
      <c r="L10" s="27"/>
      <c r="M10" s="1"/>
      <c r="N10" s="35"/>
      <c r="O10" s="2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/>
      <c r="C11" s="24"/>
      <c r="D11" s="24"/>
      <c r="E11" s="24"/>
      <c r="F11" s="24"/>
      <c r="G11" s="10"/>
      <c r="H11" s="1"/>
      <c r="I11" s="11" t="s">
        <v>16</v>
      </c>
      <c r="J11" s="12"/>
      <c r="K11" s="1"/>
      <c r="L11" s="1"/>
      <c r="M11" s="1"/>
      <c r="N11" s="35"/>
      <c r="O11" s="2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/>
      <c r="C12" s="24"/>
      <c r="D12" s="11" t="s">
        <v>17</v>
      </c>
      <c r="E12" s="12"/>
      <c r="F12" s="24"/>
      <c r="G12" s="10"/>
      <c r="H12" s="1"/>
      <c r="I12" s="25" t="s">
        <v>33</v>
      </c>
      <c r="J12" s="39">
        <f>E7*E8^3/12</f>
        <v>74666.66667</v>
      </c>
      <c r="K12" s="1"/>
      <c r="L12" s="13"/>
      <c r="M12" s="1"/>
      <c r="N12" s="35"/>
      <c r="O12" s="2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6"/>
      <c r="C13" s="24"/>
      <c r="D13" s="25" t="s">
        <v>19</v>
      </c>
      <c r="E13" s="38">
        <v>2383.0</v>
      </c>
      <c r="F13" s="24"/>
      <c r="G13" s="10"/>
      <c r="H13" s="1"/>
      <c r="I13" s="25" t="s">
        <v>34</v>
      </c>
      <c r="J13" s="39">
        <f>E7*N6^3/3+E17*(J6-1)*(N6-E10)^2+E16*J6*(E9-N6)^2</f>
        <v>30548.38402</v>
      </c>
      <c r="K13" s="1"/>
      <c r="L13" s="40"/>
      <c r="M13" s="1"/>
      <c r="N13" s="35"/>
      <c r="O13" s="2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6"/>
      <c r="C14" s="24"/>
      <c r="D14" s="24"/>
      <c r="E14" s="41"/>
      <c r="F14" s="24"/>
      <c r="G14" s="10"/>
      <c r="H14" s="1"/>
      <c r="I14" s="25" t="s">
        <v>21</v>
      </c>
      <c r="J14" s="39">
        <f>MIN((J9/E13)^3*J12+(1-(J9/E13)^3)*J13,J12)</f>
        <v>33862.35312</v>
      </c>
      <c r="K14" s="1"/>
      <c r="L14" s="40"/>
      <c r="M14" s="1"/>
      <c r="N14" s="35"/>
      <c r="O14" s="2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6"/>
      <c r="C15" s="24"/>
      <c r="D15" s="11" t="s">
        <v>22</v>
      </c>
      <c r="E15" s="12"/>
      <c r="F15" s="24"/>
      <c r="G15" s="10"/>
      <c r="H15" s="1"/>
      <c r="I15" s="1"/>
      <c r="J15" s="1"/>
      <c r="K15" s="1"/>
      <c r="L15" s="40"/>
      <c r="M15" s="1"/>
      <c r="N15" s="35"/>
      <c r="O15" s="2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"/>
      <c r="C16" s="24"/>
      <c r="D16" s="25" t="s">
        <v>23</v>
      </c>
      <c r="E16" s="42">
        <v>2.45</v>
      </c>
      <c r="F16" s="24"/>
      <c r="G16" s="10"/>
      <c r="H16" s="1"/>
      <c r="I16" s="11" t="s">
        <v>24</v>
      </c>
      <c r="J16" s="12"/>
      <c r="K16" s="1"/>
      <c r="L16" s="40"/>
      <c r="M16" s="1"/>
      <c r="N16" s="35"/>
      <c r="O16" s="2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6"/>
      <c r="C17" s="24"/>
      <c r="D17" s="25" t="s">
        <v>25</v>
      </c>
      <c r="E17" s="42">
        <v>1.01</v>
      </c>
      <c r="F17" s="24"/>
      <c r="G17" s="10"/>
      <c r="H17" s="1"/>
      <c r="I17" s="25" t="s">
        <v>26</v>
      </c>
      <c r="J17" s="43">
        <f>(-N4+(N4^2-4*N3*N5)^0.5)/(2*N3)</f>
        <v>10.879001</v>
      </c>
      <c r="K17" s="1"/>
      <c r="L17" s="40"/>
      <c r="M17" s="1"/>
      <c r="N17" s="35"/>
      <c r="O17" s="2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"/>
      <c r="C18" s="24"/>
      <c r="D18" s="24"/>
      <c r="E18" s="24"/>
      <c r="F18" s="24"/>
      <c r="G18" s="10"/>
      <c r="H18" s="1"/>
      <c r="I18" s="1"/>
      <c r="J18" s="1"/>
      <c r="K18" s="1"/>
      <c r="L18" s="44"/>
      <c r="M18" s="1"/>
      <c r="N18" s="35"/>
      <c r="O18" s="2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"/>
      <c r="C19" s="24"/>
      <c r="D19" s="11" t="s">
        <v>35</v>
      </c>
      <c r="E19" s="12"/>
      <c r="F19" s="24"/>
      <c r="G19" s="10"/>
      <c r="H19" s="1"/>
      <c r="I19" s="11" t="s">
        <v>36</v>
      </c>
      <c r="J19" s="12"/>
      <c r="K19" s="1"/>
      <c r="L19" s="44"/>
      <c r="M19" s="1"/>
      <c r="N19" s="35"/>
      <c r="O19" s="2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"/>
      <c r="C20" s="24"/>
      <c r="D20" s="25" t="s">
        <v>37</v>
      </c>
      <c r="E20" s="42">
        <v>183.05</v>
      </c>
      <c r="F20" s="24"/>
      <c r="G20" s="10"/>
      <c r="H20" s="1"/>
      <c r="I20" s="25" t="s">
        <v>38</v>
      </c>
      <c r="J20" s="56">
        <f>J6*E13*(E9-J17)/J13</f>
        <v>29.74539041</v>
      </c>
      <c r="K20" s="1"/>
      <c r="L20" s="44"/>
      <c r="M20" s="1"/>
      <c r="N20" s="35"/>
      <c r="O20" s="2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6"/>
      <c r="C21" s="24"/>
      <c r="D21" s="31" t="s">
        <v>39</v>
      </c>
      <c r="E21" s="57">
        <v>12.5</v>
      </c>
      <c r="F21" s="24"/>
      <c r="G21" s="10"/>
      <c r="H21" s="1"/>
      <c r="I21" s="1"/>
      <c r="J21" s="1"/>
      <c r="K21" s="1"/>
      <c r="L21" s="44"/>
      <c r="M21" s="1"/>
      <c r="N21" s="35"/>
      <c r="O21" s="2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6"/>
      <c r="C22" s="24"/>
      <c r="D22" s="31" t="s">
        <v>40</v>
      </c>
      <c r="E22" s="58">
        <v>2.25</v>
      </c>
      <c r="F22" s="24"/>
      <c r="G22" s="10"/>
      <c r="H22" s="1"/>
      <c r="I22" s="11" t="s">
        <v>41</v>
      </c>
      <c r="J22" s="12"/>
      <c r="K22" s="1"/>
      <c r="L22" s="44"/>
      <c r="M22" s="1"/>
      <c r="N22" s="35"/>
      <c r="O22" s="2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6"/>
      <c r="C23" s="24"/>
      <c r="D23" s="24"/>
      <c r="E23" s="24"/>
      <c r="F23" s="24"/>
      <c r="G23" s="10"/>
      <c r="H23" s="1"/>
      <c r="I23" s="25" t="s">
        <v>42</v>
      </c>
      <c r="J23" s="59">
        <f>E16/E20</f>
        <v>0.01338432122</v>
      </c>
      <c r="K23" s="1"/>
      <c r="L23" s="44"/>
      <c r="M23" s="1"/>
      <c r="N23" s="35"/>
      <c r="O23" s="2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6"/>
      <c r="C24" s="24"/>
      <c r="D24" s="11" t="s">
        <v>27</v>
      </c>
      <c r="E24" s="12"/>
      <c r="F24" s="24"/>
      <c r="G24" s="10"/>
      <c r="H24" s="1"/>
      <c r="I24" s="1"/>
      <c r="J24" s="1"/>
      <c r="K24" s="1"/>
      <c r="L24" s="45"/>
      <c r="M24" s="1"/>
      <c r="N24" s="35"/>
      <c r="O24" s="2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6"/>
      <c r="C25" s="24"/>
      <c r="D25" s="25" t="s">
        <v>29</v>
      </c>
      <c r="E25" s="46">
        <v>2.5</v>
      </c>
      <c r="F25" s="24"/>
      <c r="G25" s="10"/>
      <c r="H25" s="1"/>
      <c r="I25" s="11" t="s">
        <v>43</v>
      </c>
      <c r="J25" s="12"/>
      <c r="K25" s="1"/>
      <c r="L25" s="47"/>
      <c r="M25" s="1"/>
      <c r="N25" s="35"/>
      <c r="O25" s="2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6"/>
      <c r="C26" s="24"/>
      <c r="D26" s="31" t="s">
        <v>44</v>
      </c>
      <c r="E26" s="48">
        <v>1.2</v>
      </c>
      <c r="F26" s="24"/>
      <c r="G26" s="10"/>
      <c r="H26" s="1"/>
      <c r="I26" s="25" t="s">
        <v>45</v>
      </c>
      <c r="J26" s="60">
        <f>MIN(E21*J20*3*J20/(12.5*E22*J5/10*0.3*(E25*10)^(2/3)/10),E21*J20*(4/J23+45)/(12.5*E22*J5/10))</f>
        <v>0.2164690997</v>
      </c>
      <c r="K26" s="1"/>
      <c r="L26" s="61"/>
      <c r="M26" s="62"/>
      <c r="N26" s="35"/>
      <c r="O26" s="2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51"/>
      <c r="C27" s="52"/>
      <c r="D27" s="52"/>
      <c r="E27" s="52"/>
      <c r="F27" s="52"/>
      <c r="G27" s="53"/>
      <c r="H27" s="1"/>
      <c r="I27" s="54"/>
      <c r="J27" s="54"/>
      <c r="K27" s="54"/>
      <c r="L27" s="1"/>
      <c r="M27" s="54"/>
      <c r="N27" s="54"/>
      <c r="O27" s="54"/>
      <c r="P27" s="54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55"/>
      <c r="E28" s="55"/>
      <c r="F28" s="1"/>
      <c r="G28" s="1"/>
      <c r="H28" s="1"/>
      <c r="I28" s="1"/>
      <c r="J28" s="54"/>
      <c r="K28" s="54"/>
      <c r="L28" s="54"/>
      <c r="M28" s="54"/>
      <c r="N28" s="54"/>
      <c r="O28" s="54"/>
      <c r="P28" s="54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5"/>
      <c r="E29" s="5"/>
      <c r="F29" s="1"/>
      <c r="G29" s="1"/>
      <c r="H29" s="1"/>
      <c r="I29" s="1"/>
      <c r="J29" s="54"/>
      <c r="K29" s="54"/>
      <c r="L29" s="54"/>
      <c r="M29" s="54"/>
      <c r="N29" s="54"/>
      <c r="O29" s="54"/>
      <c r="P29" s="54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D15:E15"/>
    <mergeCell ref="D19:E19"/>
    <mergeCell ref="D24:E24"/>
    <mergeCell ref="I19:J19"/>
    <mergeCell ref="I22:J22"/>
    <mergeCell ref="I25:J25"/>
    <mergeCell ref="L26:M26"/>
    <mergeCell ref="C3:F4"/>
    <mergeCell ref="I3:J3"/>
    <mergeCell ref="D6:E6"/>
    <mergeCell ref="I8:J8"/>
    <mergeCell ref="I11:J11"/>
    <mergeCell ref="D12:E12"/>
    <mergeCell ref="I16:J16"/>
  </mergeCells>
  <dataValidations>
    <dataValidation type="list" allowBlank="1" showErrorMessage="1" sqref="E29">
      <formula1>'Fissuração'!Armação</formula1>
    </dataValidation>
    <dataValidation type="list" allowBlank="1" showErrorMessage="1" sqref="E30">
      <formula1>INDIRECT(E29)</formula1>
    </dataValidation>
  </dataValidations>
  <printOptions/>
  <pageMargins bottom="0.787401575" footer="0.0" header="0.0" left="0.511811024" right="0.511811024" top="0.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2017-09-15T19:56:45Z</dcterms:created>
  <dc:creator>Matheus Carini</dc:creator>
</cp:coreProperties>
</file>