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name="Duas">Planilha1!$AH$4:$AH$5</definedName>
    <definedName name="Armação">Planilha1!$AG$3:$AH$3</definedName>
    <definedName name="Uma">Planilha1!$AG$4:$AG$6</definedName>
  </definedNames>
  <calcPr/>
  <extLst>
    <ext uri="GoogleSheetsCustomDataVersion2">
      <go:sheetsCustomData xmlns:go="http://customooxmlschemas.google.com/" r:id="rId5" roundtripDataChecksum="YHjFhkbPk8hpLViN1x4It4GeRQzozSGlOVD5enAaRm8="/>
    </ext>
  </extLst>
</workbook>
</file>

<file path=xl/sharedStrings.xml><?xml version="1.0" encoding="utf-8"?>
<sst xmlns="http://schemas.openxmlformats.org/spreadsheetml/2006/main" count="40" uniqueCount="37">
  <si>
    <t>Dados</t>
  </si>
  <si>
    <t>Parâmetros</t>
  </si>
  <si>
    <t>Deformações</t>
  </si>
  <si>
    <t>Armadura Tracionada (cm²)</t>
  </si>
  <si>
    <t>Armadura Comprimida (cm²)</t>
  </si>
  <si>
    <t>λ</t>
  </si>
  <si>
    <t>ε1</t>
  </si>
  <si>
    <t>Bitola (mm)</t>
  </si>
  <si>
    <t>Número de Barras</t>
  </si>
  <si>
    <r>
      <rPr>
        <rFont val="Calibri"/>
        <color theme="1"/>
        <sz val="11.0"/>
      </rPr>
      <t>αc</t>
    </r>
  </si>
  <si>
    <t>ε2</t>
  </si>
  <si>
    <t>Geometria</t>
  </si>
  <si>
    <r>
      <rPr>
        <rFont val="Calibri"/>
        <color theme="1"/>
        <sz val="11.0"/>
      </rPr>
      <t>ƞ</t>
    </r>
    <r>
      <rPr>
        <rFont val="Calibri"/>
        <color theme="1"/>
        <sz val="11.0"/>
      </rPr>
      <t>c</t>
    </r>
  </si>
  <si>
    <t>εc</t>
  </si>
  <si>
    <t>b</t>
  </si>
  <si>
    <t>xduc</t>
  </si>
  <si>
    <t>h</t>
  </si>
  <si>
    <t>Linha Neutra</t>
  </si>
  <si>
    <t>d</t>
  </si>
  <si>
    <t>Resist. de Projeto</t>
  </si>
  <si>
    <t>x</t>
  </si>
  <si>
    <t>d'</t>
  </si>
  <si>
    <t>fcd</t>
  </si>
  <si>
    <t>fyd</t>
  </si>
  <si>
    <t>Solicitação</t>
  </si>
  <si>
    <t>Tensões</t>
  </si>
  <si>
    <t>Md</t>
  </si>
  <si>
    <t>Momentos Fletores</t>
  </si>
  <si>
    <t>σ2</t>
  </si>
  <si>
    <t>Md,min</t>
  </si>
  <si>
    <t>Materiais</t>
  </si>
  <si>
    <t>Md,duc</t>
  </si>
  <si>
    <t>Armaduras</t>
  </si>
  <si>
    <t>fck</t>
  </si>
  <si>
    <t>As1</t>
  </si>
  <si>
    <t>fyk</t>
  </si>
  <si>
    <t>As2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</si>
</sst>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_-&quot;R$&quot;\ * #,##0.00_-;\-&quot;R$&quot;\ * #,##0.00_-;_-&quot;R$&quot;\ * &quot;-&quot;??_-;_-@"/>
    <numFmt numFmtId="165" formatCode="0.00&quot; ‰&quot;"/>
    <numFmt numFmtId="166" formatCode="0&quot; cm&quot;"/>
    <numFmt numFmtId="167" formatCode="0.0"/>
    <numFmt numFmtId="168" formatCode="0.000%"/>
    <numFmt numFmtId="169" formatCode="\Ø0.0"/>
    <numFmt numFmtId="170" formatCode="0.0&quot; cm&quot;"/>
    <numFmt numFmtId="171" formatCode="0.00&quot; cm&quot;"/>
    <numFmt numFmtId="172" formatCode="0.00&quot; kN/cm²&quot;"/>
    <numFmt numFmtId="173" formatCode="0&quot; kNcm&quot;"/>
    <numFmt numFmtId="174" formatCode="0.0&quot; cm³&quot;"/>
    <numFmt numFmtId="175" formatCode="0&quot; kNcm/m&quot;"/>
    <numFmt numFmtId="176" formatCode="0.0&quot; kN/cm²&quot;"/>
    <numFmt numFmtId="177" formatCode="0.00&quot; cm²&quot;"/>
    <numFmt numFmtId="178" formatCode="&quot;+ &quot;0"/>
    <numFmt numFmtId="179" formatCode="0.00&quot; cm²/m&quot;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/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34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5" fillId="3" fontId="1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3" fontId="1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vertical="center"/>
    </xf>
    <xf borderId="11" fillId="0" fontId="3" numFmtId="0" xfId="0" applyBorder="1" applyFont="1"/>
    <xf borderId="12" fillId="2" fontId="4" numFmtId="164" xfId="0" applyAlignment="1" applyBorder="1" applyFont="1" applyNumberFormat="1">
      <alignment horizontal="center" vertical="center"/>
    </xf>
    <xf borderId="13" fillId="0" fontId="3" numFmtId="0" xfId="0" applyBorder="1" applyFont="1"/>
    <xf borderId="1" fillId="2" fontId="4" numFmtId="0" xfId="0" applyAlignment="1" applyBorder="1" applyFont="1">
      <alignment vertical="center"/>
    </xf>
    <xf borderId="14" fillId="0" fontId="3" numFmtId="0" xfId="0" applyBorder="1" applyFont="1"/>
    <xf borderId="1" fillId="2" fontId="4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2" fontId="1" numFmtId="0" xfId="0" applyAlignment="1" applyBorder="1" applyFont="1">
      <alignment horizontal="center" vertical="center"/>
    </xf>
    <xf borderId="19" fillId="2" fontId="1" numFmtId="2" xfId="0" applyAlignment="1" applyBorder="1" applyFont="1" applyNumberFormat="1">
      <alignment horizontal="center" vertical="center"/>
    </xf>
    <xf borderId="20" fillId="2" fontId="1" numFmtId="0" xfId="0" applyAlignment="1" applyBorder="1" applyFont="1">
      <alignment horizontal="center"/>
    </xf>
    <xf borderId="21" fillId="2" fontId="1" numFmtId="165" xfId="0" applyAlignment="1" applyBorder="1" applyFont="1" applyNumberFormat="1">
      <alignment horizontal="right" vertical="center"/>
    </xf>
    <xf borderId="1" fillId="2" fontId="4" numFmtId="166" xfId="0" applyAlignment="1" applyBorder="1" applyFont="1" applyNumberFormat="1">
      <alignment horizontal="center" vertical="center"/>
    </xf>
    <xf borderId="22" fillId="2" fontId="4" numFmtId="166" xfId="0" applyAlignment="1" applyBorder="1" applyFont="1" applyNumberFormat="1">
      <alignment horizontal="center" shrinkToFit="0" vertical="center" wrapText="1"/>
    </xf>
    <xf borderId="10" fillId="2" fontId="4" numFmtId="166" xfId="0" applyAlignment="1" applyBorder="1" applyFont="1" applyNumberFormat="1">
      <alignment horizontal="center" vertical="center"/>
    </xf>
    <xf borderId="1" fillId="2" fontId="1" numFmtId="167" xfId="0" applyAlignment="1" applyBorder="1" applyFont="1" applyNumberFormat="1">
      <alignment horizontal="center" vertical="center"/>
    </xf>
    <xf borderId="1" fillId="2" fontId="1" numFmtId="168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21" fillId="2" fontId="1" numFmtId="2" xfId="0" applyAlignment="1" applyBorder="1" applyFont="1" applyNumberFormat="1">
      <alignment horizontal="center" vertical="center"/>
    </xf>
    <xf borderId="23" fillId="2" fontId="1" numFmtId="0" xfId="0" applyAlignment="1" applyBorder="1" applyFont="1">
      <alignment horizontal="center"/>
    </xf>
    <xf borderId="24" fillId="2" fontId="1" numFmtId="165" xfId="0" applyAlignment="1" applyBorder="1" applyFont="1" applyNumberFormat="1">
      <alignment horizontal="right" vertical="center"/>
    </xf>
    <xf borderId="1" fillId="2" fontId="1" numFmtId="2" xfId="0" applyAlignment="1" applyBorder="1" applyFont="1" applyNumberFormat="1">
      <alignment horizontal="center" vertical="center"/>
    </xf>
    <xf borderId="25" fillId="0" fontId="3" numFmtId="0" xfId="0" applyBorder="1" applyFont="1"/>
    <xf borderId="26" fillId="2" fontId="4" numFmtId="1" xfId="0" applyAlignment="1" applyBorder="1" applyFont="1" applyNumberFormat="1">
      <alignment horizontal="center" vertical="center"/>
    </xf>
    <xf borderId="12" fillId="2" fontId="4" numFmtId="0" xfId="0" applyAlignment="1" applyBorder="1" applyFont="1">
      <alignment horizontal="center" vertical="center"/>
    </xf>
    <xf borderId="26" fillId="2" fontId="4" numFmtId="169" xfId="0" applyAlignment="1" applyBorder="1" applyFont="1" applyNumberFormat="1">
      <alignment horizontal="center" vertical="center"/>
    </xf>
    <xf borderId="26" fillId="2" fontId="1" numFmtId="2" xfId="0" applyAlignment="1" applyBorder="1" applyFont="1" applyNumberFormat="1">
      <alignment horizontal="center" vertical="center"/>
    </xf>
    <xf borderId="21" fillId="2" fontId="1" numFmtId="170" xfId="0" applyAlignment="1" applyBorder="1" applyFont="1" applyNumberFormat="1">
      <alignment horizontal="right" vertical="center"/>
    </xf>
    <xf borderId="21" fillId="2" fontId="1" numFmtId="170" xfId="0" applyAlignment="1" applyBorder="1" applyFont="1" applyNumberFormat="1">
      <alignment horizontal="center" vertical="center"/>
    </xf>
    <xf borderId="27" fillId="2" fontId="1" numFmtId="0" xfId="0" applyAlignment="1" applyBorder="1" applyFont="1">
      <alignment horizontal="center" vertical="center"/>
    </xf>
    <xf borderId="28" fillId="2" fontId="1" numFmtId="170" xfId="0" applyAlignment="1" applyBorder="1" applyFont="1" applyNumberFormat="1">
      <alignment horizontal="right" vertical="center"/>
    </xf>
    <xf borderId="19" fillId="2" fontId="1" numFmtId="171" xfId="0" applyAlignment="1" applyBorder="1" applyFont="1" applyNumberFormat="1">
      <alignment horizontal="right" vertical="center"/>
    </xf>
    <xf borderId="21" fillId="2" fontId="1" numFmtId="172" xfId="0" applyAlignment="1" applyBorder="1" applyFont="1" applyNumberFormat="1">
      <alignment horizontal="right" vertical="center"/>
    </xf>
    <xf borderId="21" fillId="2" fontId="1" numFmtId="173" xfId="0" applyAlignment="1" applyBorder="1" applyFont="1" applyNumberFormat="1">
      <alignment horizontal="right" vertical="center"/>
    </xf>
    <xf borderId="1" fillId="2" fontId="1" numFmtId="172" xfId="0" applyAlignment="1" applyBorder="1" applyFont="1" applyNumberFormat="1">
      <alignment vertical="center"/>
    </xf>
    <xf borderId="1" fillId="2" fontId="1" numFmtId="174" xfId="0" applyAlignment="1" applyBorder="1" applyFont="1" applyNumberFormat="1">
      <alignment vertical="center"/>
    </xf>
    <xf borderId="1" fillId="2" fontId="1" numFmtId="175" xfId="0" applyAlignment="1" applyBorder="1" applyFont="1" applyNumberFormat="1">
      <alignment vertical="center"/>
    </xf>
    <xf borderId="29" fillId="0" fontId="3" numFmtId="0" xfId="0" applyBorder="1" applyFont="1"/>
    <xf borderId="21" fillId="2" fontId="1" numFmtId="176" xfId="0" applyAlignment="1" applyBorder="1" applyFont="1" applyNumberFormat="1">
      <alignment horizontal="right" vertical="center"/>
    </xf>
    <xf borderId="21" fillId="2" fontId="1" numFmtId="177" xfId="0" applyAlignment="1" applyBorder="1" applyFont="1" applyNumberFormat="1">
      <alignment horizontal="right" vertical="center"/>
    </xf>
    <xf borderId="1" fillId="2" fontId="1" numFmtId="171" xfId="0" applyAlignment="1" applyBorder="1" applyFont="1" applyNumberFormat="1">
      <alignment vertical="center"/>
    </xf>
    <xf borderId="30" fillId="2" fontId="1" numFmtId="1" xfId="0" applyAlignment="1" applyBorder="1" applyFont="1" applyNumberFormat="1">
      <alignment horizontal="right" readingOrder="0" vertical="center"/>
    </xf>
    <xf borderId="30" fillId="2" fontId="1" numFmtId="169" xfId="0" applyAlignment="1" applyBorder="1" applyFont="1" applyNumberFormat="1">
      <alignment horizontal="center" readingOrder="0" vertical="center"/>
    </xf>
    <xf borderId="30" fillId="2" fontId="1" numFmtId="178" xfId="0" applyAlignment="1" applyBorder="1" applyFont="1" applyNumberFormat="1">
      <alignment horizontal="center" readingOrder="0" vertical="center"/>
    </xf>
    <xf borderId="30" fillId="2" fontId="1" numFmtId="169" xfId="0" applyAlignment="1" applyBorder="1" applyFont="1" applyNumberFormat="1">
      <alignment horizontal="left" readingOrder="0" vertical="center"/>
    </xf>
    <xf borderId="21" fillId="2" fontId="1" numFmtId="0" xfId="0" applyAlignment="1" applyBorder="1" applyFont="1">
      <alignment horizontal="center" vertical="center"/>
    </xf>
    <xf borderId="30" fillId="2" fontId="1" numFmtId="1" xfId="0" applyAlignment="1" applyBorder="1" applyFont="1" applyNumberFormat="1">
      <alignment horizontal="right" vertical="center"/>
    </xf>
    <xf borderId="30" fillId="2" fontId="1" numFmtId="169" xfId="0" applyAlignment="1" applyBorder="1" applyFont="1" applyNumberFormat="1">
      <alignment horizontal="center" vertical="center"/>
    </xf>
    <xf borderId="30" fillId="2" fontId="1" numFmtId="178" xfId="0" applyAlignment="1" applyBorder="1" applyFont="1" applyNumberFormat="1">
      <alignment horizontal="center" vertical="center"/>
    </xf>
    <xf borderId="30" fillId="2" fontId="1" numFmtId="169" xfId="0" applyAlignment="1" applyBorder="1" applyFont="1" applyNumberFormat="1">
      <alignment horizontal="left" vertical="center"/>
    </xf>
    <xf borderId="20" fillId="2" fontId="1" numFmtId="169" xfId="0" applyAlignment="1" applyBorder="1" applyFont="1" applyNumberFormat="1">
      <alignment horizontal="center" vertical="center"/>
    </xf>
    <xf borderId="1" fillId="2" fontId="1" numFmtId="179" xfId="0" applyAlignment="1" applyBorder="1" applyFont="1" applyNumberFormat="1">
      <alignment vertical="center"/>
    </xf>
    <xf borderId="1" fillId="2" fontId="1" numFmtId="169" xfId="0" applyAlignment="1" applyBorder="1" applyFont="1" applyNumberFormat="1">
      <alignment horizontal="right" vertical="center"/>
    </xf>
    <xf borderId="1" fillId="2" fontId="1" numFmtId="166" xfId="0" applyAlignment="1" applyBorder="1" applyFont="1" applyNumberFormat="1">
      <alignment horizontal="left" vertical="center"/>
    </xf>
    <xf borderId="31" fillId="3" fontId="1" numFmtId="0" xfId="0" applyAlignment="1" applyBorder="1" applyFont="1">
      <alignment horizontal="center" vertical="center"/>
    </xf>
    <xf borderId="32" fillId="3" fontId="1" numFmtId="0" xfId="0" applyAlignment="1" applyBorder="1" applyFont="1">
      <alignment horizontal="center" vertical="center"/>
    </xf>
    <xf borderId="33" fillId="3" fontId="1" numFmtId="0" xfId="0" applyAlignment="1" applyBorder="1" applyFont="1">
      <alignment horizontal="center" vertical="center"/>
    </xf>
    <xf borderId="21" fillId="2" fontId="1" numFmtId="173" xfId="0" applyAlignment="1" applyBorder="1" applyFont="1" applyNumberFormat="1">
      <alignment horizontal="center" vertical="center"/>
    </xf>
    <xf borderId="1" fillId="2" fontId="1" numFmtId="0" xfId="0" applyBorder="1" applyFont="1"/>
    <xf borderId="3" fillId="2" fontId="1" numFmtId="0" xfId="0" applyAlignment="1" applyBorder="1" applyFont="1">
      <alignment vertical="center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rofessordeestruturas/" TargetMode="External"/><Relationship Id="rId2" Type="http://schemas.openxmlformats.org/officeDocument/2006/relationships/image" Target="../media/image3.png"/><Relationship Id="rId3" Type="http://schemas.openxmlformats.org/officeDocument/2006/relationships/hyperlink" Target="mailto:matheuscarini@gmail.com" TargetMode="External"/><Relationship Id="rId4" Type="http://schemas.openxmlformats.org/officeDocument/2006/relationships/image" Target="../media/image6.png"/><Relationship Id="rId10" Type="http://schemas.openxmlformats.org/officeDocument/2006/relationships/hyperlink" Target="https://professordeestruturas.com.br/" TargetMode="External"/><Relationship Id="rId9" Type="http://schemas.openxmlformats.org/officeDocument/2006/relationships/hyperlink" Target="mailto:matheuscarini@gmail.com" TargetMode="External"/><Relationship Id="rId5" Type="http://schemas.openxmlformats.org/officeDocument/2006/relationships/hyperlink" Target="https://linktr.ee/professordeestruturas" TargetMode="External"/><Relationship Id="rId6" Type="http://schemas.openxmlformats.org/officeDocument/2006/relationships/image" Target="../media/image1.png"/><Relationship Id="rId7" Type="http://schemas.openxmlformats.org/officeDocument/2006/relationships/image" Target="../media/image4.png"/><Relationship Id="rId8" Type="http://schemas.openxmlformats.org/officeDocument/2006/relationships/hyperlink" Target="https://www.instagram.com/professordeestrutura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47625</xdr:colOff>
      <xdr:row>18</xdr:row>
      <xdr:rowOff>171450</xdr:rowOff>
    </xdr:from>
    <xdr:ext cx="1009650" cy="314325"/>
    <xdr:sp>
      <xdr:nvSpPr>
        <xdr:cNvPr id="3" name="Shape 3"/>
        <xdr:cNvSpPr txBox="1"/>
      </xdr:nvSpPr>
      <xdr:spPr>
        <a:xfrm>
          <a:off x="4845938" y="3627600"/>
          <a:ext cx="10001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20231012</a:t>
          </a:r>
          <a:endParaRPr sz="1400"/>
        </a:p>
      </xdr:txBody>
    </xdr:sp>
    <xdr:clientData fLocksWithSheet="0"/>
  </xdr:oneCellAnchor>
  <xdr:oneCellAnchor>
    <xdr:from>
      <xdr:col>14</xdr:col>
      <xdr:colOff>400050</xdr:colOff>
      <xdr:row>18</xdr:row>
      <xdr:rowOff>133350</xdr:rowOff>
    </xdr:from>
    <xdr:ext cx="1047750" cy="323850"/>
    <xdr:grpSp>
      <xdr:nvGrpSpPr>
        <xdr:cNvPr id="2" name="Shape 2"/>
        <xdr:cNvGrpSpPr/>
      </xdr:nvGrpSpPr>
      <xdr:grpSpPr>
        <a:xfrm>
          <a:off x="4822125" y="3618075"/>
          <a:ext cx="1047750" cy="323850"/>
          <a:chOff x="4822125" y="3618075"/>
          <a:chExt cx="1047750" cy="323850"/>
        </a:xfrm>
      </xdr:grpSpPr>
      <xdr:grpSp>
        <xdr:nvGrpSpPr>
          <xdr:cNvPr id="4" name="Shape 4"/>
          <xdr:cNvGrpSpPr/>
        </xdr:nvGrpSpPr>
        <xdr:grpSpPr>
          <a:xfrm>
            <a:off x="4822125" y="3618075"/>
            <a:ext cx="1047750" cy="323850"/>
            <a:chOff x="7894308" y="3609975"/>
            <a:chExt cx="1050318" cy="301476"/>
          </a:xfrm>
        </xdr:grpSpPr>
        <xdr:sp>
          <xdr:nvSpPr>
            <xdr:cNvPr id="5" name="Shape 5"/>
            <xdr:cNvSpPr/>
          </xdr:nvSpPr>
          <xdr:spPr>
            <a:xfrm>
              <a:off x="7894308" y="3609975"/>
              <a:ext cx="1050300" cy="301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6" name="Shape 6">
              <a:hlinkClick r:id="rId1"/>
            </xdr:cNvPr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7894308" y="3670392"/>
              <a:ext cx="204404" cy="20338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Shape 7">
              <a:hlinkClick r:id="rId3"/>
            </xdr:cNvPr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8641014" y="3609975"/>
              <a:ext cx="303612" cy="30147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>
              <a:hlinkClick r:id="rId5"/>
            </xdr:cNvPr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8252348" y="3672478"/>
              <a:ext cx="228600" cy="19921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0</xdr:colOff>
      <xdr:row>18</xdr:row>
      <xdr:rowOff>133350</xdr:rowOff>
    </xdr:from>
    <xdr:ext cx="10229850" cy="352425"/>
    <xdr:grpSp>
      <xdr:nvGrpSpPr>
        <xdr:cNvPr id="2" name="Shape 2"/>
        <xdr:cNvGrpSpPr/>
      </xdr:nvGrpSpPr>
      <xdr:grpSpPr>
        <a:xfrm>
          <a:off x="231075" y="3603788"/>
          <a:ext cx="10229850" cy="352425"/>
          <a:chOff x="231075" y="3603788"/>
          <a:chExt cx="10229850" cy="352425"/>
        </a:xfrm>
      </xdr:grpSpPr>
      <xdr:grpSp>
        <xdr:nvGrpSpPr>
          <xdr:cNvPr id="9" name="Shape 9"/>
          <xdr:cNvGrpSpPr/>
        </xdr:nvGrpSpPr>
        <xdr:grpSpPr>
          <a:xfrm>
            <a:off x="231075" y="3603788"/>
            <a:ext cx="10229850" cy="352425"/>
            <a:chOff x="323850" y="6010275"/>
            <a:chExt cx="10264486" cy="327146"/>
          </a:xfrm>
        </xdr:grpSpPr>
        <xdr:sp>
          <xdr:nvSpPr>
            <xdr:cNvPr id="5" name="Shape 5"/>
            <xdr:cNvSpPr/>
          </xdr:nvSpPr>
          <xdr:spPr>
            <a:xfrm>
              <a:off x="323850" y="6010275"/>
              <a:ext cx="10264475" cy="327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0" name="Shape 10"/>
            <xdr:cNvPicPr preferRelativeResize="0"/>
          </xdr:nvPicPr>
          <xdr:blipFill rotWithShape="1">
            <a:blip r:embed="rId7">
              <a:alphaModFix/>
            </a:blip>
            <a:srcRect b="0" l="0" r="0" t="0"/>
            <a:stretch/>
          </xdr:blipFill>
          <xdr:spPr>
            <a:xfrm>
              <a:off x="323850" y="6029324"/>
              <a:ext cx="10077450" cy="299173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11" name="Shape 11"/>
            <xdr:cNvGrpSpPr/>
          </xdr:nvGrpSpPr>
          <xdr:grpSpPr>
            <a:xfrm>
              <a:off x="7286625" y="6010275"/>
              <a:ext cx="1050318" cy="301476"/>
              <a:chOff x="7286625" y="6010275"/>
              <a:chExt cx="1050318" cy="301476"/>
            </a:xfrm>
          </xdr:grpSpPr>
          <xdr:pic>
            <xdr:nvPicPr>
              <xdr:cNvPr id="12" name="Shape 12">
                <a:hlinkClick r:id="rId8"/>
              </xdr:cNvPr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7286625" y="6070692"/>
                <a:ext cx="204404" cy="203388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3" name="Shape 13">
                <a:hlinkClick r:id="rId9"/>
              </xdr:cNvPr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>
                <a:off x="8033331" y="6010275"/>
                <a:ext cx="303612" cy="30147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4" name="Shape 14">
                <a:hlinkClick r:id="rId10"/>
              </xdr:cNvPr>
              <xdr:cNvPicPr preferRelativeResize="0"/>
            </xdr:nvPicPr>
            <xdr:blipFill rotWithShape="1">
              <a:blip r:embed="rId6">
                <a:alphaModFix/>
              </a:blip>
              <a:srcRect b="0" l="0" r="0" t="0"/>
              <a:stretch/>
            </xdr:blipFill>
            <xdr:spPr>
              <a:xfrm>
                <a:off x="7644665" y="6072778"/>
                <a:ext cx="228600" cy="19921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sp>
          <xdr:nvSpPr>
            <xdr:cNvPr id="15" name="Shape 15"/>
            <xdr:cNvSpPr txBox="1"/>
          </xdr:nvSpPr>
          <xdr:spPr>
            <a:xfrm>
              <a:off x="9588211" y="6051671"/>
              <a:ext cx="1000125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20231012</a:t>
              </a:r>
              <a:endParaRPr sz="14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.57"/>
    <col customWidth="1" min="3" max="3" width="9.14"/>
    <col customWidth="1" min="4" max="4" width="4.57"/>
    <col customWidth="1" min="5" max="5" width="13.71"/>
    <col customWidth="1" min="6" max="6" width="9.14"/>
    <col customWidth="1" min="7" max="8" width="4.57"/>
    <col customWidth="1" min="9" max="9" width="7.14"/>
    <col customWidth="1" min="10" max="10" width="13.57"/>
    <col customWidth="1" min="11" max="11" width="5.71"/>
    <col customWidth="1" min="12" max="12" width="6.29"/>
    <col customWidth="1" min="13" max="13" width="12.43"/>
    <col customWidth="1" min="14" max="14" width="5.71"/>
    <col customWidth="1" min="15" max="15" width="7.29"/>
    <col customWidth="1" min="16" max="20" width="6.0"/>
    <col customWidth="1" min="21" max="21" width="5.71"/>
    <col customWidth="1" min="22" max="28" width="6.0"/>
    <col customWidth="1" min="29" max="32" width="9.14"/>
    <col customWidth="1" min="33" max="34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2"/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5"/>
      <c r="AH2" s="5"/>
    </row>
    <row r="3">
      <c r="A3" s="1"/>
      <c r="B3" s="6"/>
      <c r="C3" s="7" t="s">
        <v>0</v>
      </c>
      <c r="D3" s="8"/>
      <c r="E3" s="8"/>
      <c r="F3" s="9"/>
      <c r="G3" s="10"/>
      <c r="H3" s="1"/>
      <c r="I3" s="11" t="s">
        <v>1</v>
      </c>
      <c r="J3" s="12"/>
      <c r="K3" s="1"/>
      <c r="L3" s="13" t="s">
        <v>2</v>
      </c>
      <c r="M3" s="14"/>
      <c r="N3" s="15"/>
      <c r="O3" s="11" t="s">
        <v>3</v>
      </c>
      <c r="P3" s="16"/>
      <c r="Q3" s="16"/>
      <c r="R3" s="16"/>
      <c r="S3" s="16"/>
      <c r="T3" s="12"/>
      <c r="U3" s="15"/>
      <c r="V3" s="11" t="s">
        <v>4</v>
      </c>
      <c r="W3" s="16"/>
      <c r="X3" s="16"/>
      <c r="Y3" s="16"/>
      <c r="Z3" s="16"/>
      <c r="AA3" s="12"/>
      <c r="AB3" s="15"/>
      <c r="AC3" s="1"/>
      <c r="AD3" s="17"/>
      <c r="AE3" s="17"/>
      <c r="AF3" s="1"/>
      <c r="AG3" s="5"/>
      <c r="AH3" s="5"/>
    </row>
    <row r="4">
      <c r="A4" s="1"/>
      <c r="B4" s="6"/>
      <c r="C4" s="18"/>
      <c r="D4" s="19"/>
      <c r="E4" s="19"/>
      <c r="F4" s="20"/>
      <c r="G4" s="10"/>
      <c r="H4" s="1"/>
      <c r="I4" s="21" t="s">
        <v>5</v>
      </c>
      <c r="J4" s="22">
        <f>IF(E16&lt;=5,0.8,0.8-(E16*10-50)/400)</f>
        <v>0.8</v>
      </c>
      <c r="K4" s="1"/>
      <c r="L4" s="23" t="s">
        <v>6</v>
      </c>
      <c r="M4" s="24">
        <f>IF(L10="Domínio 2",1/100*1000,M6/M9*(E9-M9))</f>
        <v>10</v>
      </c>
      <c r="N4" s="25"/>
      <c r="O4" s="26" t="s">
        <v>7</v>
      </c>
      <c r="P4" s="27" t="s">
        <v>8</v>
      </c>
      <c r="Q4" s="16"/>
      <c r="R4" s="16"/>
      <c r="S4" s="16"/>
      <c r="T4" s="12"/>
      <c r="U4" s="25"/>
      <c r="V4" s="26" t="s">
        <v>7</v>
      </c>
      <c r="W4" s="27" t="s">
        <v>8</v>
      </c>
      <c r="X4" s="16"/>
      <c r="Y4" s="16"/>
      <c r="Z4" s="16"/>
      <c r="AA4" s="12"/>
      <c r="AB4" s="25"/>
      <c r="AC4" s="1"/>
      <c r="AD4" s="28"/>
      <c r="AE4" s="29"/>
      <c r="AF4" s="1"/>
      <c r="AG4" s="5"/>
      <c r="AH4" s="5"/>
    </row>
    <row r="5">
      <c r="A5" s="1"/>
      <c r="B5" s="6"/>
      <c r="C5" s="30"/>
      <c r="D5" s="30"/>
      <c r="E5" s="30"/>
      <c r="F5" s="30"/>
      <c r="G5" s="10"/>
      <c r="H5" s="1"/>
      <c r="I5" s="31" t="s">
        <v>9</v>
      </c>
      <c r="J5" s="32">
        <f>IF(E16&lt;=5,0.85,0.85*(1-(E16*10-50)/200))</f>
        <v>0.85</v>
      </c>
      <c r="K5" s="1"/>
      <c r="L5" s="33" t="s">
        <v>10</v>
      </c>
      <c r="M5" s="34">
        <f>IF(I17="Armadura Dupla",M6/M9*(M9-E10),0)</f>
        <v>0</v>
      </c>
      <c r="N5" s="35"/>
      <c r="O5" s="36"/>
      <c r="P5" s="37">
        <v>1.0</v>
      </c>
      <c r="Q5" s="37">
        <v>2.0</v>
      </c>
      <c r="R5" s="37">
        <v>3.0</v>
      </c>
      <c r="S5" s="37">
        <v>4.0</v>
      </c>
      <c r="T5" s="37">
        <v>5.0</v>
      </c>
      <c r="U5" s="35"/>
      <c r="V5" s="36"/>
      <c r="W5" s="37">
        <v>1.0</v>
      </c>
      <c r="X5" s="37">
        <v>2.0</v>
      </c>
      <c r="Y5" s="37">
        <v>3.0</v>
      </c>
      <c r="Z5" s="37">
        <v>4.0</v>
      </c>
      <c r="AA5" s="37">
        <v>5.0</v>
      </c>
      <c r="AB5" s="35"/>
      <c r="AC5" s="1"/>
      <c r="AD5" s="28"/>
      <c r="AE5" s="29"/>
      <c r="AF5" s="1"/>
      <c r="AG5" s="5"/>
      <c r="AH5" s="5"/>
    </row>
    <row r="6">
      <c r="A6" s="1"/>
      <c r="B6" s="6"/>
      <c r="C6" s="30"/>
      <c r="D6" s="38" t="s">
        <v>11</v>
      </c>
      <c r="E6" s="14"/>
      <c r="F6" s="30"/>
      <c r="G6" s="10"/>
      <c r="H6" s="1"/>
      <c r="I6" s="31" t="s">
        <v>12</v>
      </c>
      <c r="J6" s="32">
        <f>IF(E16&lt;=4,1,(4/E16)^(1/3))</f>
        <v>1</v>
      </c>
      <c r="K6" s="1"/>
      <c r="L6" s="23" t="s">
        <v>13</v>
      </c>
      <c r="M6" s="24">
        <f>IF(L10="Domínio 3",3.5,M4/(E9-M9)*M9)</f>
        <v>3.139213415</v>
      </c>
      <c r="N6" s="35"/>
      <c r="O6" s="39">
        <v>6.3</v>
      </c>
      <c r="P6" s="40">
        <f t="shared" ref="P6:T6" si="1">P$5*PI()*($O6/20)^2</f>
        <v>0.3117245311</v>
      </c>
      <c r="Q6" s="40">
        <f t="shared" si="1"/>
        <v>0.6234490621</v>
      </c>
      <c r="R6" s="40">
        <f t="shared" si="1"/>
        <v>0.9351735932</v>
      </c>
      <c r="S6" s="40">
        <f t="shared" si="1"/>
        <v>1.246898124</v>
      </c>
      <c r="T6" s="40">
        <f t="shared" si="1"/>
        <v>1.558622655</v>
      </c>
      <c r="U6" s="35"/>
      <c r="V6" s="39">
        <v>6.3</v>
      </c>
      <c r="W6" s="40">
        <f t="shared" ref="W6:AA6" si="2">W$5*PI()*($O6/20)^2</f>
        <v>0.3117245311</v>
      </c>
      <c r="X6" s="40">
        <f t="shared" si="2"/>
        <v>0.6234490621</v>
      </c>
      <c r="Y6" s="40">
        <f t="shared" si="2"/>
        <v>0.9351735932</v>
      </c>
      <c r="Z6" s="40">
        <f t="shared" si="2"/>
        <v>1.246898124</v>
      </c>
      <c r="AA6" s="40">
        <f t="shared" si="2"/>
        <v>1.558622655</v>
      </c>
      <c r="AB6" s="35"/>
      <c r="AC6" s="1"/>
      <c r="AD6" s="28"/>
      <c r="AE6" s="29"/>
      <c r="AF6" s="1"/>
      <c r="AG6" s="5"/>
      <c r="AH6" s="5"/>
    </row>
    <row r="7">
      <c r="A7" s="1"/>
      <c r="B7" s="6"/>
      <c r="C7" s="30"/>
      <c r="D7" s="31" t="s">
        <v>14</v>
      </c>
      <c r="E7" s="41">
        <v>14.0</v>
      </c>
      <c r="F7" s="30"/>
      <c r="G7" s="10"/>
      <c r="H7" s="1"/>
      <c r="I7" s="31" t="s">
        <v>15</v>
      </c>
      <c r="J7" s="42">
        <f>IF(E16&lt;=5,0.45*E9,0.35*E9)</f>
        <v>15.75</v>
      </c>
      <c r="K7" s="1"/>
      <c r="L7" s="1"/>
      <c r="M7" s="1"/>
      <c r="N7" s="35"/>
      <c r="O7" s="39">
        <v>8.0</v>
      </c>
      <c r="P7" s="40">
        <f t="shared" ref="P7:T7" si="3">P$5*PI()*($O7/20)^2</f>
        <v>0.5026548246</v>
      </c>
      <c r="Q7" s="40">
        <f t="shared" si="3"/>
        <v>1.005309649</v>
      </c>
      <c r="R7" s="40">
        <f t="shared" si="3"/>
        <v>1.507964474</v>
      </c>
      <c r="S7" s="40">
        <f t="shared" si="3"/>
        <v>2.010619298</v>
      </c>
      <c r="T7" s="40">
        <f t="shared" si="3"/>
        <v>2.513274123</v>
      </c>
      <c r="U7" s="35"/>
      <c r="V7" s="39">
        <v>8.0</v>
      </c>
      <c r="W7" s="40">
        <f t="shared" ref="W7:AA7" si="4">W$5*PI()*($O7/20)^2</f>
        <v>0.5026548246</v>
      </c>
      <c r="X7" s="40">
        <f t="shared" si="4"/>
        <v>1.005309649</v>
      </c>
      <c r="Y7" s="40">
        <f t="shared" si="4"/>
        <v>1.507964474</v>
      </c>
      <c r="Z7" s="40">
        <f t="shared" si="4"/>
        <v>2.010619298</v>
      </c>
      <c r="AA7" s="40">
        <f t="shared" si="4"/>
        <v>2.513274123</v>
      </c>
      <c r="AB7" s="35"/>
      <c r="AC7" s="1"/>
      <c r="AD7" s="28"/>
      <c r="AE7" s="29"/>
      <c r="AF7" s="1"/>
      <c r="AG7" s="5"/>
      <c r="AH7" s="5"/>
    </row>
    <row r="8">
      <c r="A8" s="1"/>
      <c r="B8" s="6"/>
      <c r="C8" s="30"/>
      <c r="D8" s="31" t="s">
        <v>16</v>
      </c>
      <c r="E8" s="41">
        <v>40.0</v>
      </c>
      <c r="F8" s="30"/>
      <c r="G8" s="10"/>
      <c r="H8" s="1"/>
      <c r="I8" s="1"/>
      <c r="J8" s="1"/>
      <c r="K8" s="1"/>
      <c r="L8" s="11" t="s">
        <v>17</v>
      </c>
      <c r="M8" s="12"/>
      <c r="N8" s="35"/>
      <c r="O8" s="39">
        <v>10.0</v>
      </c>
      <c r="P8" s="40">
        <f t="shared" ref="P8:T8" si="5">P$5*PI()*($O8/20)^2</f>
        <v>0.7853981634</v>
      </c>
      <c r="Q8" s="40">
        <f t="shared" si="5"/>
        <v>1.570796327</v>
      </c>
      <c r="R8" s="40">
        <f t="shared" si="5"/>
        <v>2.35619449</v>
      </c>
      <c r="S8" s="40">
        <f t="shared" si="5"/>
        <v>3.141592654</v>
      </c>
      <c r="T8" s="40">
        <f t="shared" si="5"/>
        <v>3.926990817</v>
      </c>
      <c r="U8" s="35"/>
      <c r="V8" s="39">
        <v>10.0</v>
      </c>
      <c r="W8" s="40">
        <f t="shared" ref="W8:AA8" si="6">W$5*PI()*($O8/20)^2</f>
        <v>0.7853981634</v>
      </c>
      <c r="X8" s="40">
        <f t="shared" si="6"/>
        <v>1.570796327</v>
      </c>
      <c r="Y8" s="40">
        <f t="shared" si="6"/>
        <v>2.35619449</v>
      </c>
      <c r="Z8" s="40">
        <f t="shared" si="6"/>
        <v>3.141592654</v>
      </c>
      <c r="AA8" s="40">
        <f t="shared" si="6"/>
        <v>3.926990817</v>
      </c>
      <c r="AB8" s="35"/>
      <c r="AC8" s="1"/>
      <c r="AD8" s="28"/>
      <c r="AE8" s="29"/>
      <c r="AF8" s="1"/>
      <c r="AG8" s="1"/>
      <c r="AH8" s="1"/>
    </row>
    <row r="9">
      <c r="A9" s="1"/>
      <c r="B9" s="6"/>
      <c r="C9" s="30"/>
      <c r="D9" s="43" t="s">
        <v>18</v>
      </c>
      <c r="E9" s="44">
        <v>35.0</v>
      </c>
      <c r="F9" s="30"/>
      <c r="G9" s="10"/>
      <c r="H9" s="1"/>
      <c r="I9" s="11" t="s">
        <v>19</v>
      </c>
      <c r="J9" s="12"/>
      <c r="K9" s="1"/>
      <c r="L9" s="21" t="s">
        <v>20</v>
      </c>
      <c r="M9" s="45">
        <f>IF(E13&lt;=J15,E9/J4*(1-(1-2*J18/(J5*J6*J10*E7*E9^2))^0.5),J7)</f>
        <v>8.362180145</v>
      </c>
      <c r="N9" s="35"/>
      <c r="O9" s="39">
        <v>12.5</v>
      </c>
      <c r="P9" s="40">
        <f t="shared" ref="P9:T9" si="7">P$5*PI()*($O9/20)^2</f>
        <v>1.22718463</v>
      </c>
      <c r="Q9" s="40">
        <f t="shared" si="7"/>
        <v>2.454369261</v>
      </c>
      <c r="R9" s="40">
        <f t="shared" si="7"/>
        <v>3.681553891</v>
      </c>
      <c r="S9" s="40">
        <f t="shared" si="7"/>
        <v>4.908738521</v>
      </c>
      <c r="T9" s="40">
        <f t="shared" si="7"/>
        <v>6.135923152</v>
      </c>
      <c r="U9" s="35"/>
      <c r="V9" s="39">
        <v>12.5</v>
      </c>
      <c r="W9" s="40">
        <f t="shared" ref="W9:AA9" si="8">W$5*PI()*($O9/20)^2</f>
        <v>1.22718463</v>
      </c>
      <c r="X9" s="40">
        <f t="shared" si="8"/>
        <v>2.454369261</v>
      </c>
      <c r="Y9" s="40">
        <f t="shared" si="8"/>
        <v>3.681553891</v>
      </c>
      <c r="Z9" s="40">
        <f t="shared" si="8"/>
        <v>4.908738521</v>
      </c>
      <c r="AA9" s="40">
        <f t="shared" si="8"/>
        <v>6.135923152</v>
      </c>
      <c r="AB9" s="35"/>
      <c r="AC9" s="1"/>
      <c r="AD9" s="28"/>
      <c r="AE9" s="29"/>
      <c r="AF9" s="1"/>
      <c r="AG9" s="1"/>
      <c r="AH9" s="1"/>
    </row>
    <row r="10">
      <c r="A10" s="1"/>
      <c r="B10" s="6"/>
      <c r="C10" s="30"/>
      <c r="D10" s="31" t="s">
        <v>21</v>
      </c>
      <c r="E10" s="41">
        <v>5.0</v>
      </c>
      <c r="F10" s="30"/>
      <c r="G10" s="10"/>
      <c r="H10" s="1"/>
      <c r="I10" s="31" t="s">
        <v>22</v>
      </c>
      <c r="J10" s="46">
        <f>E16/1.4</f>
        <v>1.785714286</v>
      </c>
      <c r="K10" s="1"/>
      <c r="L10" s="11" t="str">
        <f>IF(M9&lt;0,"Domínio 1",IF(M9&lt;0.259*E9,"Domínio 2",IF(M9&lt;0.629*E9,"Domínio 3",IF(M9&lt;E9,"Domínio 4","Domínio 5"))))</f>
        <v>Domínio 2</v>
      </c>
      <c r="M10" s="12"/>
      <c r="N10" s="35"/>
      <c r="O10" s="39">
        <v>16.0</v>
      </c>
      <c r="P10" s="40">
        <f t="shared" ref="P10:T10" si="9">P$5*PI()*($O10/20)^2</f>
        <v>2.010619298</v>
      </c>
      <c r="Q10" s="40">
        <f t="shared" si="9"/>
        <v>4.021238597</v>
      </c>
      <c r="R10" s="40">
        <f t="shared" si="9"/>
        <v>6.031857895</v>
      </c>
      <c r="S10" s="40">
        <f t="shared" si="9"/>
        <v>8.042477193</v>
      </c>
      <c r="T10" s="40">
        <f t="shared" si="9"/>
        <v>10.05309649</v>
      </c>
      <c r="U10" s="35"/>
      <c r="V10" s="39">
        <v>16.0</v>
      </c>
      <c r="W10" s="40">
        <f t="shared" ref="W10:AA10" si="10">W$5*PI()*($O10/20)^2</f>
        <v>2.010619298</v>
      </c>
      <c r="X10" s="40">
        <f t="shared" si="10"/>
        <v>4.021238597</v>
      </c>
      <c r="Y10" s="40">
        <f t="shared" si="10"/>
        <v>6.031857895</v>
      </c>
      <c r="Z10" s="40">
        <f t="shared" si="10"/>
        <v>8.042477193</v>
      </c>
      <c r="AA10" s="40">
        <f t="shared" si="10"/>
        <v>10.05309649</v>
      </c>
      <c r="AB10" s="35"/>
      <c r="AC10" s="1"/>
      <c r="AD10" s="28"/>
      <c r="AE10" s="29"/>
      <c r="AF10" s="1"/>
      <c r="AG10" s="1"/>
      <c r="AH10" s="1"/>
    </row>
    <row r="11">
      <c r="A11" s="1"/>
      <c r="B11" s="6"/>
      <c r="C11" s="30"/>
      <c r="D11" s="30"/>
      <c r="E11" s="30"/>
      <c r="F11" s="30"/>
      <c r="G11" s="10"/>
      <c r="H11" s="1"/>
      <c r="I11" s="31" t="s">
        <v>23</v>
      </c>
      <c r="J11" s="46">
        <f>E17/1.15</f>
        <v>43.47826087</v>
      </c>
      <c r="K11" s="1"/>
      <c r="L11" s="1"/>
      <c r="M11" s="1"/>
      <c r="N11" s="1"/>
      <c r="O11" s="39">
        <v>20.0</v>
      </c>
      <c r="P11" s="40">
        <f t="shared" ref="P11:T11" si="11">P$5*PI()*($O11/20)^2</f>
        <v>3.141592654</v>
      </c>
      <c r="Q11" s="40">
        <f t="shared" si="11"/>
        <v>6.283185307</v>
      </c>
      <c r="R11" s="40">
        <f t="shared" si="11"/>
        <v>9.424777961</v>
      </c>
      <c r="S11" s="40">
        <f t="shared" si="11"/>
        <v>12.56637061</v>
      </c>
      <c r="T11" s="40">
        <f t="shared" si="11"/>
        <v>15.70796327</v>
      </c>
      <c r="U11" s="1"/>
      <c r="V11" s="39">
        <v>20.0</v>
      </c>
      <c r="W11" s="40">
        <f t="shared" ref="W11:AA11" si="12">W$5*PI()*($O11/20)^2</f>
        <v>3.141592654</v>
      </c>
      <c r="X11" s="40">
        <f t="shared" si="12"/>
        <v>6.283185307</v>
      </c>
      <c r="Y11" s="40">
        <f t="shared" si="12"/>
        <v>9.424777961</v>
      </c>
      <c r="Z11" s="40">
        <f t="shared" si="12"/>
        <v>12.56637061</v>
      </c>
      <c r="AA11" s="40">
        <f t="shared" si="12"/>
        <v>15.70796327</v>
      </c>
      <c r="AB11" s="1"/>
      <c r="AC11" s="1"/>
      <c r="AD11" s="28"/>
      <c r="AE11" s="29"/>
      <c r="AF11" s="1"/>
      <c r="AG11" s="1"/>
      <c r="AH11" s="1"/>
    </row>
    <row r="12">
      <c r="A12" s="1"/>
      <c r="B12" s="6"/>
      <c r="C12" s="30"/>
      <c r="D12" s="11" t="s">
        <v>24</v>
      </c>
      <c r="E12" s="12"/>
      <c r="F12" s="30"/>
      <c r="G12" s="10"/>
      <c r="H12" s="1"/>
      <c r="I12" s="1"/>
      <c r="J12" s="1"/>
      <c r="K12" s="1"/>
      <c r="L12" s="11" t="s">
        <v>25</v>
      </c>
      <c r="M12" s="12"/>
      <c r="N12" s="15"/>
      <c r="O12" s="39">
        <v>22.0</v>
      </c>
      <c r="P12" s="40">
        <f t="shared" ref="P12:T12" si="13">P$5*PI()*($O12/20)^2</f>
        <v>3.801327111</v>
      </c>
      <c r="Q12" s="40">
        <f t="shared" si="13"/>
        <v>7.602654222</v>
      </c>
      <c r="R12" s="40">
        <f t="shared" si="13"/>
        <v>11.40398133</v>
      </c>
      <c r="S12" s="40">
        <f t="shared" si="13"/>
        <v>15.20530844</v>
      </c>
      <c r="T12" s="40">
        <f t="shared" si="13"/>
        <v>19.00663555</v>
      </c>
      <c r="U12" s="1"/>
      <c r="V12" s="39">
        <v>22.0</v>
      </c>
      <c r="W12" s="40">
        <f t="shared" ref="W12:AA12" si="14">W$5*PI()*($O12/20)^2</f>
        <v>3.801327111</v>
      </c>
      <c r="X12" s="40">
        <f t="shared" si="14"/>
        <v>7.602654222</v>
      </c>
      <c r="Y12" s="40">
        <f t="shared" si="14"/>
        <v>11.40398133</v>
      </c>
      <c r="Z12" s="40">
        <f t="shared" si="14"/>
        <v>15.20530844</v>
      </c>
      <c r="AA12" s="40">
        <f t="shared" si="14"/>
        <v>19.00663555</v>
      </c>
      <c r="AB12" s="1"/>
      <c r="AC12" s="1"/>
      <c r="AD12" s="28"/>
      <c r="AE12" s="29"/>
      <c r="AF12" s="1"/>
      <c r="AG12" s="1"/>
      <c r="AH12" s="1"/>
    </row>
    <row r="13">
      <c r="A13" s="1"/>
      <c r="B13" s="6"/>
      <c r="C13" s="30"/>
      <c r="D13" s="31" t="s">
        <v>26</v>
      </c>
      <c r="E13" s="47">
        <v>4500.0</v>
      </c>
      <c r="F13" s="30"/>
      <c r="G13" s="10"/>
      <c r="H13" s="1"/>
      <c r="I13" s="11" t="s">
        <v>27</v>
      </c>
      <c r="J13" s="12"/>
      <c r="K13" s="1"/>
      <c r="L13" s="31" t="s">
        <v>28</v>
      </c>
      <c r="M13" s="46">
        <f>IF(I17="Armadura Simples",0,MIN(21*M5,J11))</f>
        <v>0</v>
      </c>
      <c r="N13" s="48"/>
      <c r="O13" s="39">
        <v>25.0</v>
      </c>
      <c r="P13" s="40">
        <f t="shared" ref="P13:T13" si="15">P$5*PI()*($O13/20)^2</f>
        <v>4.908738521</v>
      </c>
      <c r="Q13" s="40">
        <f t="shared" si="15"/>
        <v>9.817477042</v>
      </c>
      <c r="R13" s="40">
        <f t="shared" si="15"/>
        <v>14.72621556</v>
      </c>
      <c r="S13" s="40">
        <f t="shared" si="15"/>
        <v>19.63495408</v>
      </c>
      <c r="T13" s="40">
        <f t="shared" si="15"/>
        <v>24.54369261</v>
      </c>
      <c r="U13" s="1"/>
      <c r="V13" s="39">
        <v>25.0</v>
      </c>
      <c r="W13" s="40">
        <f t="shared" ref="W13:AA13" si="16">W$5*PI()*($O13/20)^2</f>
        <v>4.908738521</v>
      </c>
      <c r="X13" s="40">
        <f t="shared" si="16"/>
        <v>9.817477042</v>
      </c>
      <c r="Y13" s="40">
        <f t="shared" si="16"/>
        <v>14.72621556</v>
      </c>
      <c r="Z13" s="40">
        <f t="shared" si="16"/>
        <v>19.63495408</v>
      </c>
      <c r="AA13" s="40">
        <f t="shared" si="16"/>
        <v>24.54369261</v>
      </c>
      <c r="AB13" s="1"/>
      <c r="AC13" s="1"/>
      <c r="AD13" s="28"/>
      <c r="AE13" s="29"/>
      <c r="AF13" s="1"/>
      <c r="AG13" s="1"/>
      <c r="AH13" s="1"/>
    </row>
    <row r="14">
      <c r="A14" s="1"/>
      <c r="B14" s="6"/>
      <c r="C14" s="30"/>
      <c r="D14" s="30"/>
      <c r="E14" s="30"/>
      <c r="F14" s="30"/>
      <c r="G14" s="10"/>
      <c r="H14" s="1"/>
      <c r="I14" s="31" t="s">
        <v>29</v>
      </c>
      <c r="J14" s="47">
        <f>2*E7*E8^2*0.39*(E16*10)^(2/3)/10/15</f>
        <v>995.8899913</v>
      </c>
      <c r="K14" s="1"/>
      <c r="L14" s="1"/>
      <c r="M14" s="49"/>
      <c r="N14" s="4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8"/>
      <c r="AE14" s="29"/>
      <c r="AF14" s="1"/>
      <c r="AG14" s="1"/>
      <c r="AH14" s="1"/>
    </row>
    <row r="15">
      <c r="A15" s="1"/>
      <c r="B15" s="6"/>
      <c r="C15" s="30"/>
      <c r="D15" s="11" t="s">
        <v>30</v>
      </c>
      <c r="E15" s="12"/>
      <c r="F15" s="30"/>
      <c r="G15" s="10"/>
      <c r="H15" s="1"/>
      <c r="I15" s="31" t="s">
        <v>31</v>
      </c>
      <c r="J15" s="47">
        <f>J5*J6*J10*E7*J4*J7*(E9-J4*J7/2)</f>
        <v>7684.425</v>
      </c>
      <c r="K15" s="1"/>
      <c r="L15" s="11" t="s">
        <v>32</v>
      </c>
      <c r="M15" s="12"/>
      <c r="N15" s="50"/>
      <c r="O15" s="38" t="str">
        <f>"Armadura Adotada (As1 = "&amp;TEXT(P16*PI()*(Q16/20)^2+R16*PI()*(S16/20)^2,"0,00")&amp;" cm²)"</f>
        <v>Armadura Adotada (As1 = 005 cm²)</v>
      </c>
      <c r="P15" s="51"/>
      <c r="Q15" s="51"/>
      <c r="R15" s="51"/>
      <c r="S15" s="51"/>
      <c r="T15" s="14"/>
      <c r="U15" s="1"/>
      <c r="V15" s="38" t="str">
        <f>"Armadura Adotada (As2 = "&amp;TEXT(W16*PI()*(X16/20)^2+Y16*PI()*(Z16/20)^2,"0,00")&amp;" cm²)"</f>
        <v>Armadura Adotada (As2 = 001 cm²)</v>
      </c>
      <c r="W15" s="51"/>
      <c r="X15" s="51"/>
      <c r="Y15" s="51"/>
      <c r="Z15" s="51"/>
      <c r="AA15" s="14"/>
      <c r="AB15" s="1"/>
      <c r="AC15" s="1"/>
      <c r="AD15" s="28"/>
      <c r="AE15" s="29"/>
      <c r="AF15" s="1"/>
      <c r="AG15" s="1"/>
      <c r="AH15" s="1"/>
    </row>
    <row r="16">
      <c r="A16" s="1"/>
      <c r="B16" s="6"/>
      <c r="C16" s="30"/>
      <c r="D16" s="31" t="s">
        <v>33</v>
      </c>
      <c r="E16" s="52">
        <v>2.5</v>
      </c>
      <c r="F16" s="30"/>
      <c r="G16" s="10"/>
      <c r="H16" s="1"/>
      <c r="I16" s="1"/>
      <c r="J16" s="1"/>
      <c r="K16" s="1"/>
      <c r="L16" s="31" t="s">
        <v>34</v>
      </c>
      <c r="M16" s="53">
        <f>MAX((J5*J6*J10*E7*J4*M9+M17*M13)/J11,0.15/100*E7*E8)</f>
        <v>3.269612437</v>
      </c>
      <c r="N16" s="54"/>
      <c r="O16" s="31"/>
      <c r="P16" s="55">
        <v>4.0</v>
      </c>
      <c r="Q16" s="56">
        <v>10.0</v>
      </c>
      <c r="R16" s="57">
        <v>2.0</v>
      </c>
      <c r="S16" s="58">
        <v>10.0</v>
      </c>
      <c r="T16" s="59"/>
      <c r="U16" s="1"/>
      <c r="V16" s="31"/>
      <c r="W16" s="60">
        <v>0.0</v>
      </c>
      <c r="X16" s="61">
        <v>6.3</v>
      </c>
      <c r="Y16" s="62">
        <v>1.0</v>
      </c>
      <c r="Z16" s="63">
        <v>10.0</v>
      </c>
      <c r="AA16" s="59"/>
      <c r="AB16" s="1"/>
      <c r="AC16" s="1"/>
      <c r="AD16" s="28"/>
      <c r="AE16" s="29"/>
      <c r="AF16" s="1"/>
      <c r="AG16" s="1"/>
      <c r="AH16" s="1"/>
    </row>
    <row r="17">
      <c r="A17" s="1"/>
      <c r="B17" s="6"/>
      <c r="C17" s="30"/>
      <c r="D17" s="31" t="s">
        <v>35</v>
      </c>
      <c r="E17" s="52">
        <v>50.0</v>
      </c>
      <c r="F17" s="30"/>
      <c r="G17" s="10"/>
      <c r="H17" s="1"/>
      <c r="I17" s="11" t="str">
        <f>IF(E13&lt;=J14,"Armadura Mínima",IF(E13&lt;=J15,"Armadura Simples","Armadura Dupla"))</f>
        <v>Armadura Simples</v>
      </c>
      <c r="J17" s="12"/>
      <c r="K17" s="1"/>
      <c r="L17" s="64" t="s">
        <v>36</v>
      </c>
      <c r="M17" s="53">
        <f>IF(I17="Armadura Dupla",(J18-J15)/(M13*(E9-E10)),0)</f>
        <v>0</v>
      </c>
      <c r="N17" s="65"/>
      <c r="O17" s="1"/>
      <c r="P17" s="65"/>
      <c r="Q17" s="5"/>
      <c r="R17" s="66"/>
      <c r="S17" s="1"/>
      <c r="T17" s="67"/>
      <c r="U17" s="1"/>
      <c r="V17" s="1"/>
      <c r="W17" s="1"/>
      <c r="X17" s="1"/>
      <c r="Y17" s="1"/>
      <c r="Z17" s="1"/>
      <c r="AA17" s="1"/>
      <c r="AB17" s="1"/>
      <c r="AC17" s="1"/>
      <c r="AD17" s="28"/>
      <c r="AE17" s="29"/>
      <c r="AF17" s="1"/>
      <c r="AG17" s="1"/>
      <c r="AH17" s="1"/>
    </row>
    <row r="18">
      <c r="A18" s="1"/>
      <c r="B18" s="68"/>
      <c r="C18" s="69"/>
      <c r="D18" s="69"/>
      <c r="E18" s="69"/>
      <c r="F18" s="69"/>
      <c r="G18" s="70"/>
      <c r="H18" s="1"/>
      <c r="I18" s="31" t="s">
        <v>26</v>
      </c>
      <c r="J18" s="71">
        <f>MAX(E13,J14)</f>
        <v>4500</v>
      </c>
      <c r="K18" s="72"/>
      <c r="L18" s="1"/>
      <c r="M18" s="1"/>
      <c r="N18" s="1"/>
      <c r="O18" s="72"/>
      <c r="Q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1"/>
      <c r="AH18" s="1"/>
    </row>
    <row r="19">
      <c r="A19" s="1"/>
      <c r="B19" s="1"/>
      <c r="C19" s="1"/>
      <c r="D19" s="73"/>
      <c r="E19" s="73"/>
      <c r="F19" s="1"/>
      <c r="G19" s="1"/>
      <c r="H19" s="1"/>
      <c r="I19" s="1"/>
      <c r="J19" s="72"/>
      <c r="K19" s="72"/>
      <c r="L19" s="1"/>
      <c r="M19" s="1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1"/>
      <c r="AH19" s="1"/>
    </row>
    <row r="20">
      <c r="A20" s="1"/>
      <c r="B20" s="1"/>
      <c r="C20" s="1"/>
      <c r="D20" s="5"/>
      <c r="E20" s="5"/>
      <c r="F20" s="1"/>
      <c r="G20" s="1"/>
      <c r="H20" s="1"/>
      <c r="I20" s="1"/>
      <c r="J20" s="72"/>
      <c r="K20" s="72"/>
      <c r="L20" s="1"/>
      <c r="M20" s="1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1"/>
      <c r="AH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21">
    <mergeCell ref="V3:AA3"/>
    <mergeCell ref="W4:AA4"/>
    <mergeCell ref="C3:F4"/>
    <mergeCell ref="I3:J3"/>
    <mergeCell ref="O3:T3"/>
    <mergeCell ref="O4:O5"/>
    <mergeCell ref="P4:T4"/>
    <mergeCell ref="V4:V5"/>
    <mergeCell ref="D6:E6"/>
    <mergeCell ref="L12:M12"/>
    <mergeCell ref="L15:M15"/>
    <mergeCell ref="O15:T15"/>
    <mergeCell ref="V15:AA15"/>
    <mergeCell ref="L3:M3"/>
    <mergeCell ref="L8:M8"/>
    <mergeCell ref="I9:J9"/>
    <mergeCell ref="L10:M10"/>
    <mergeCell ref="D12:E12"/>
    <mergeCell ref="I13:J13"/>
    <mergeCell ref="D15:E15"/>
    <mergeCell ref="I17:J17"/>
  </mergeCells>
  <conditionalFormatting sqref="O16:T16">
    <cfRule type="expression" dxfId="0" priority="1">
      <formula>$P$16*PI()*($Q$16/20)^2+$R$16*PI()*($S$16/20)^2&lt;$M$16</formula>
    </cfRule>
  </conditionalFormatting>
  <conditionalFormatting sqref="O16:T16">
    <cfRule type="expression" dxfId="1" priority="2">
      <formula>$P$16*PI()*($Q$16/20)^2+$R$16*PI()*($S$16/20)^2&gt;=$M$16</formula>
    </cfRule>
  </conditionalFormatting>
  <conditionalFormatting sqref="P6:T13">
    <cfRule type="cellIs" dxfId="0" priority="3" operator="lessThan">
      <formula>$M$16</formula>
    </cfRule>
  </conditionalFormatting>
  <conditionalFormatting sqref="P6:T13">
    <cfRule type="cellIs" dxfId="1" priority="4" operator="greaterThan">
      <formula>$M$16</formula>
    </cfRule>
  </conditionalFormatting>
  <conditionalFormatting sqref="V16:AA16">
    <cfRule type="expression" dxfId="0" priority="5">
      <formula>$W$16*PI()*($X$16/20)^2+$Y$16*PI()*($Z$16/20)^2&lt;$M$17</formula>
    </cfRule>
  </conditionalFormatting>
  <conditionalFormatting sqref="V16:AA16">
    <cfRule type="expression" dxfId="1" priority="6">
      <formula>$W$16*PI()*($X$16/20)^2+$Y$16*PI()*($Z$16/20)^2&gt;=$M$17</formula>
    </cfRule>
  </conditionalFormatting>
  <conditionalFormatting sqref="W6:AA13">
    <cfRule type="cellIs" dxfId="0" priority="7" operator="lessThan">
      <formula>$M$17</formula>
    </cfRule>
  </conditionalFormatting>
  <conditionalFormatting sqref="W6:AA13">
    <cfRule type="cellIs" dxfId="1" priority="8" operator="greaterThan">
      <formula>$M$17</formula>
    </cfRule>
  </conditionalFormatting>
  <dataValidations>
    <dataValidation type="list" allowBlank="1" showErrorMessage="1" sqref="E20">
      <formula1>Armação</formula1>
    </dataValidation>
    <dataValidation type="list" allowBlank="1" showErrorMessage="1" sqref="E21">
      <formula1>INDIRECT(E20)</formula1>
    </dataValidation>
  </dataValidations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2017-09-15T19:56:45Z</dcterms:created>
  <dc:creator>Matheus Carini</dc:creator>
</cp:coreProperties>
</file>