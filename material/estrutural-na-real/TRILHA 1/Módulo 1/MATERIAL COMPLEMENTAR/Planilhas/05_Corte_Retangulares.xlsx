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Planilhas/Bloqueadas/"/>
    </mc:Choice>
  </mc:AlternateContent>
  <xr:revisionPtr revIDLastSave="233" documentId="BF3FC6818CB25873CCE4C9BC51BC10B2643208AA" xr6:coauthVersionLast="47" xr6:coauthVersionMax="47" xr10:uidLastSave="{F958C511-54EB-4F6C-AA5C-558BD0CE949C}"/>
  <bookViews>
    <workbookView xWindow="-120" yWindow="-120" windowWidth="38640" windowHeight="15720" xr2:uid="{BD095C9E-7F6F-436A-9A47-E96EB1DF29B8}"/>
  </bookViews>
  <sheets>
    <sheet name="Modelo I" sheetId="1" r:id="rId1"/>
    <sheet name="Modelo II" sheetId="2" r:id="rId2"/>
  </sheets>
  <definedNames>
    <definedName name="Armação" localSheetId="1">'Modelo II'!$AD$3:$AE$3</definedName>
    <definedName name="Armação">'Modelo I'!$AD$3:$AE$3</definedName>
    <definedName name="Duas" localSheetId="1">'Modelo II'!$AE$4:$AE$5</definedName>
    <definedName name="Duas">'Modelo I'!$AE$4:$AE$5</definedName>
    <definedName name="Uma" localSheetId="1">'Modelo II'!$AD$4:$AD$6</definedName>
    <definedName name="Uma">'Modelo I'!$AD$4:$AD$6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O15" i="2"/>
  <c r="O12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J5" i="2"/>
  <c r="M4" i="2"/>
  <c r="M5" i="2" s="1"/>
  <c r="M13" i="2" s="1"/>
  <c r="J4" i="2"/>
  <c r="J8" i="2" s="1"/>
  <c r="M14" i="2" l="1"/>
  <c r="M15" i="2" s="1"/>
  <c r="I9" i="2"/>
  <c r="M8" i="2"/>
  <c r="M10" i="2" s="1"/>
  <c r="O15" i="1"/>
  <c r="O12" i="1"/>
  <c r="Q5" i="1" l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P6" i="1"/>
  <c r="P7" i="1"/>
  <c r="P8" i="1"/>
  <c r="P9" i="1"/>
  <c r="P5" i="1"/>
  <c r="M4" i="1" l="1"/>
  <c r="M8" i="1" s="1"/>
  <c r="M5" i="1" l="1"/>
  <c r="M13" i="1" s="1"/>
  <c r="J5" i="1"/>
  <c r="M9" i="1" s="1"/>
  <c r="J4" i="1"/>
  <c r="J8" i="1" s="1"/>
  <c r="I9" i="1" s="1"/>
  <c r="M14" i="1" l="1"/>
  <c r="M10" i="1"/>
</calcChain>
</file>

<file path=xl/sharedStrings.xml><?xml version="1.0" encoding="utf-8"?>
<sst xmlns="http://schemas.openxmlformats.org/spreadsheetml/2006/main" count="61" uniqueCount="32">
  <si>
    <t>Geometria</t>
  </si>
  <si>
    <t>d</t>
  </si>
  <si>
    <t>fck</t>
  </si>
  <si>
    <t>Materiais</t>
  </si>
  <si>
    <t>Resist. de Projeto</t>
  </si>
  <si>
    <t>fcd</t>
  </si>
  <si>
    <t>Dados</t>
  </si>
  <si>
    <t>Solicitação</t>
  </si>
  <si>
    <t>Vrd2</t>
  </si>
  <si>
    <t>Vsd</t>
  </si>
  <si>
    <t>fywk</t>
  </si>
  <si>
    <t>fywd</t>
  </si>
  <si>
    <t>Bielas Comprimidas</t>
  </si>
  <si>
    <t>Armadura Mínima</t>
  </si>
  <si>
    <t>Asw/s</t>
  </si>
  <si>
    <t>Resist. à Tração</t>
  </si>
  <si>
    <t>fct,m</t>
  </si>
  <si>
    <t>fctd</t>
  </si>
  <si>
    <t>bw</t>
  </si>
  <si>
    <t>Vrd3</t>
  </si>
  <si>
    <t>Bielas Tracionadas</t>
  </si>
  <si>
    <t>Vc</t>
  </si>
  <si>
    <t>Vsw</t>
  </si>
  <si>
    <t>Asw/s para estribos de dois ramos (cm²/m)</t>
  </si>
  <si>
    <t>s</t>
  </si>
  <si>
    <t>c/</t>
  </si>
  <si>
    <t>Bielas</t>
  </si>
  <si>
    <t>α</t>
  </si>
  <si>
    <t>Estribos</t>
  </si>
  <si>
    <t>θ</t>
  </si>
  <si>
    <t>Vc0</t>
  </si>
  <si>
    <t>Vc1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</si>
</sst>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&quot; cm&quot;"/>
    <numFmt numFmtId="165" formatCode="0.0&quot; kN/cm²&quot;"/>
    <numFmt numFmtId="166" formatCode="0.00&quot; kN/cm²&quot;"/>
    <numFmt numFmtId="167" formatCode="0.00&quot; cm²/m&quot;"/>
    <numFmt numFmtId="168" formatCode="0.000%"/>
    <numFmt numFmtId="169" formatCode="0.0"/>
    <numFmt numFmtId="170" formatCode="\Ø0.0"/>
    <numFmt numFmtId="171" formatCode="0&quot; cm&quot;"/>
    <numFmt numFmtId="172" formatCode="0.0&quot; kN&quot;"/>
    <numFmt numFmtId="173" formatCode="0.000&quot; kN/cm²&quot;"/>
    <numFmt numFmtId="174" formatCode="0\°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 applyProtection="1">
      <alignment horizontal="center" vertical="center"/>
      <protection locked="0"/>
    </xf>
    <xf numFmtId="0" fontId="4" fillId="3" borderId="9" xfId="0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64" fontId="4" fillId="2" borderId="15" xfId="0" applyNumberFormat="1" applyFont="1" applyFill="1" applyBorder="1" applyAlignment="1" applyProtection="1">
      <alignment horizontal="right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164" fontId="4" fillId="2" borderId="14" xfId="0" applyNumberFormat="1" applyFont="1" applyFill="1" applyBorder="1" applyAlignment="1" applyProtection="1">
      <alignment horizontal="right" vertical="center"/>
      <protection locked="0"/>
    </xf>
    <xf numFmtId="165" fontId="4" fillId="2" borderId="15" xfId="0" applyNumberFormat="1" applyFont="1" applyFill="1" applyBorder="1" applyAlignment="1" applyProtection="1">
      <alignment horizontal="right" vertic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172" fontId="4" fillId="2" borderId="15" xfId="0" applyNumberFormat="1" applyFont="1" applyFill="1" applyBorder="1" applyAlignment="1" applyProtection="1">
      <alignment horizontal="right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6" fontId="4" fillId="2" borderId="15" xfId="0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3" fontId="4" fillId="2" borderId="15" xfId="0" applyNumberFormat="1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171" fontId="2" fillId="2" borderId="10" xfId="0" applyNumberFormat="1" applyFont="1" applyFill="1" applyBorder="1" applyAlignment="1">
      <alignment horizontal="center" vertical="center"/>
    </xf>
    <xf numFmtId="170" fontId="2" fillId="2" borderId="10" xfId="0" applyNumberFormat="1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 vertical="center"/>
    </xf>
    <xf numFmtId="172" fontId="4" fillId="2" borderId="15" xfId="0" applyNumberFormat="1" applyFont="1" applyFill="1" applyBorder="1" applyAlignment="1">
      <alignment horizontal="center" vertical="center"/>
    </xf>
    <xf numFmtId="167" fontId="4" fillId="2" borderId="15" xfId="0" applyNumberFormat="1" applyFont="1" applyFill="1" applyBorder="1" applyAlignment="1">
      <alignment horizontal="center" vertical="center"/>
    </xf>
    <xf numFmtId="169" fontId="4" fillId="2" borderId="0" xfId="0" applyNumberFormat="1" applyFont="1" applyFill="1" applyAlignment="1">
      <alignment horizontal="center" vertical="center"/>
    </xf>
    <xf numFmtId="168" fontId="4" fillId="2" borderId="0" xfId="1" applyNumberFormat="1" applyFont="1" applyFill="1" applyBorder="1" applyAlignment="1" applyProtection="1">
      <alignment horizontal="center" vertical="center"/>
    </xf>
    <xf numFmtId="0" fontId="4" fillId="2" borderId="0" xfId="0" applyFont="1" applyFill="1"/>
    <xf numFmtId="174" fontId="4" fillId="2" borderId="15" xfId="0" applyNumberFormat="1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vertical="center"/>
      <protection locked="0"/>
    </xf>
    <xf numFmtId="0" fontId="4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70" fontId="4" fillId="2" borderId="16" xfId="0" applyNumberFormat="1" applyFont="1" applyFill="1" applyBorder="1" applyAlignment="1" applyProtection="1">
      <alignment horizontal="right" vertical="center"/>
      <protection locked="0"/>
    </xf>
    <xf numFmtId="171" fontId="4" fillId="2" borderId="16" xfId="0" applyNumberFormat="1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gem" xfId="1" builtinId="5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rgb="FFFFC7CE"/>
          <bgColor rgb="FFFFC7CE"/>
        </patternFill>
      </fill>
    </dxf>
    <dxf>
      <font>
        <color rgb="FF006100"/>
      </font>
      <fill>
        <patternFill>
          <fgColor rgb="FFC6EFCE"/>
          <bgColor rgb="FFC6EFCE"/>
        </patternFill>
      </fill>
    </dxf>
    <dxf>
      <font>
        <color rgb="FF9C0006"/>
      </font>
      <fill>
        <patternFill>
          <fgColor rgb="FFFFC7CE"/>
          <bgColor rgb="FFFFC7CE"/>
        </patternFill>
      </fill>
    </dxf>
    <dxf>
      <font>
        <color rgb="FF006100"/>
      </font>
      <fill>
        <patternFill>
          <fgColor rgb="FFC6EFCE"/>
          <bgColor rgb="FFC6EFCE"/>
        </patternFill>
      </fill>
    </dxf>
    <dxf>
      <font>
        <color rgb="FF9C0006"/>
      </font>
      <fill>
        <patternFill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rgb="FFFFC7CE"/>
          <bgColor rgb="FFFFC7CE"/>
        </patternFill>
      </fill>
    </dxf>
    <dxf>
      <font>
        <color rgb="FF006100"/>
      </font>
      <fill>
        <patternFill>
          <fgColor rgb="FFC6EFCE"/>
          <bgColor rgb="FFC6EFCE"/>
        </patternFill>
      </fill>
    </dxf>
    <dxf>
      <font>
        <color rgb="FF9C0006"/>
      </font>
      <fill>
        <patternFill>
          <fgColor rgb="FFFFC7CE"/>
          <bgColor rgb="FFFFC7CE"/>
        </patternFill>
      </fill>
    </dxf>
    <dxf>
      <font>
        <color rgb="FF006100"/>
      </font>
      <fill>
        <patternFill>
          <fgColor rgb="FFC6EFCE"/>
          <bgColor rgb="FFC6EFCE"/>
        </patternFill>
      </fill>
    </dxf>
    <dxf>
      <font>
        <color rgb="FF9C0006"/>
      </font>
      <fill>
        <patternFill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9C0006"/>
      <color rgb="FFC6EFCE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fessordeestruturas.com.br/" TargetMode="External"/><Relationship Id="rId3" Type="http://schemas.openxmlformats.org/officeDocument/2006/relationships/hyperlink" Target="mailto:matheuscarini@gmail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instagram.com/professordeestruturas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linktr.ee/professordeestruturas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professordeestruturas.com.br/" TargetMode="External"/><Relationship Id="rId3" Type="http://schemas.openxmlformats.org/officeDocument/2006/relationships/hyperlink" Target="mailto:matheuscarini@gmail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instagram.com/professordeestruturas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linktr.ee/professordeestruturas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207819</xdr:colOff>
      <xdr:row>17</xdr:row>
      <xdr:rowOff>50054</xdr:rowOff>
    </xdr:from>
    <xdr:to>
      <xdr:col>23</xdr:col>
      <xdr:colOff>393989</xdr:colOff>
      <xdr:row>18</xdr:row>
      <xdr:rowOff>145304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7777A0E-2738-47B0-913B-B6D7CE2B57C9}"/>
            </a:ext>
          </a:extLst>
        </xdr:cNvPr>
        <xdr:cNvSpPr txBox="1"/>
      </xdr:nvSpPr>
      <xdr:spPr>
        <a:xfrm>
          <a:off x="9585614" y="3323190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20180301</a:t>
          </a:r>
        </a:p>
      </xdr:txBody>
    </xdr:sp>
    <xdr:clientData/>
  </xdr:twoCellAnchor>
  <xdr:twoCellAnchor>
    <xdr:from>
      <xdr:col>15</xdr:col>
      <xdr:colOff>242454</xdr:colOff>
      <xdr:row>17</xdr:row>
      <xdr:rowOff>8659</xdr:rowOff>
    </xdr:from>
    <xdr:to>
      <xdr:col>18</xdr:col>
      <xdr:colOff>175750</xdr:colOff>
      <xdr:row>18</xdr:row>
      <xdr:rowOff>119635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733D5B4A-FAF4-4EE8-9BCE-53B2F3EBCB41}"/>
            </a:ext>
          </a:extLst>
        </xdr:cNvPr>
        <xdr:cNvGrpSpPr/>
      </xdr:nvGrpSpPr>
      <xdr:grpSpPr>
        <a:xfrm>
          <a:off x="7357629" y="3285259"/>
          <a:ext cx="1047721" cy="301476"/>
          <a:chOff x="7894308" y="3609975"/>
          <a:chExt cx="1050318" cy="301476"/>
        </a:xfrm>
      </xdr:grpSpPr>
      <xdr:pic>
        <xdr:nvPicPr>
          <xdr:cNvPr id="3" name="Imagem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23D2BCE-E257-F890-1060-7E3D81F870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4" name="Imagem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4C44DFC-C696-241A-1FAA-22E7E7767A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12" name="Imagem 1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7D93E82-3BD7-C141-514B-1E039F4096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285750</xdr:colOff>
      <xdr:row>16</xdr:row>
      <xdr:rowOff>114300</xdr:rowOff>
    </xdr:from>
    <xdr:to>
      <xdr:col>23</xdr:col>
      <xdr:colOff>348961</xdr:colOff>
      <xdr:row>18</xdr:row>
      <xdr:rowOff>60446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E4C03296-B6A5-4EC3-8A13-315513093CAB}"/>
            </a:ext>
          </a:extLst>
        </xdr:cNvPr>
        <xdr:cNvGrpSpPr/>
      </xdr:nvGrpSpPr>
      <xdr:grpSpPr>
        <a:xfrm>
          <a:off x="285750" y="3200400"/>
          <a:ext cx="10264486" cy="327146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754ABD7A-94D9-22AE-E21D-71EE4156E8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EF0F2CEF-333D-E77E-04BA-6691293265B1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1" name="Imagem 10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5D7D428B-A822-A158-CEA7-DC862D856C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334657B-D1C4-5B26-79D1-505F3A4C47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076F367C-2A7C-0C22-A1B8-938E396007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22415E1E-D5C2-6F2A-9E3A-58F4EAE2852E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20180301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181841</xdr:colOff>
      <xdr:row>22</xdr:row>
      <xdr:rowOff>162624</xdr:rowOff>
    </xdr:from>
    <xdr:to>
      <xdr:col>23</xdr:col>
      <xdr:colOff>368012</xdr:colOff>
      <xdr:row>24</xdr:row>
      <xdr:rowOff>67374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B6EBCBB-22D5-4FA6-B6DA-BA276438F17D}"/>
            </a:ext>
          </a:extLst>
        </xdr:cNvPr>
        <xdr:cNvSpPr txBox="1"/>
      </xdr:nvSpPr>
      <xdr:spPr>
        <a:xfrm>
          <a:off x="9576955" y="4388260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20240629</a:t>
          </a:r>
        </a:p>
      </xdr:txBody>
    </xdr:sp>
    <xdr:clientData/>
  </xdr:twoCellAnchor>
  <xdr:twoCellAnchor>
    <xdr:from>
      <xdr:col>15</xdr:col>
      <xdr:colOff>329045</xdr:colOff>
      <xdr:row>22</xdr:row>
      <xdr:rowOff>121227</xdr:rowOff>
    </xdr:from>
    <xdr:to>
      <xdr:col>18</xdr:col>
      <xdr:colOff>262340</xdr:colOff>
      <xdr:row>24</xdr:row>
      <xdr:rowOff>41703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C35F3B3E-8871-438A-98FD-2218DB27A62B}"/>
            </a:ext>
          </a:extLst>
        </xdr:cNvPr>
        <xdr:cNvGrpSpPr/>
      </xdr:nvGrpSpPr>
      <xdr:grpSpPr>
        <a:xfrm>
          <a:off x="7463270" y="4350327"/>
          <a:ext cx="1047720" cy="301476"/>
          <a:chOff x="7894308" y="3609975"/>
          <a:chExt cx="1050318" cy="301476"/>
        </a:xfrm>
      </xdr:grpSpPr>
      <xdr:pic>
        <xdr:nvPicPr>
          <xdr:cNvPr id="3" name="Imagem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568B08E1-DCC3-399E-FDE1-8AC80CF969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11" name="Imagem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F880D89-9644-F0FE-8434-1B03DFAC37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12" name="Imagem 1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13D995F-3BFF-B009-A2EC-D2129E766F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47625</xdr:colOff>
      <xdr:row>22</xdr:row>
      <xdr:rowOff>114300</xdr:rowOff>
    </xdr:from>
    <xdr:to>
      <xdr:col>23</xdr:col>
      <xdr:colOff>396586</xdr:colOff>
      <xdr:row>24</xdr:row>
      <xdr:rowOff>60446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3A59A1D6-0690-4188-A5B4-6824DBE3C8DF}"/>
            </a:ext>
          </a:extLst>
        </xdr:cNvPr>
        <xdr:cNvGrpSpPr/>
      </xdr:nvGrpSpPr>
      <xdr:grpSpPr>
        <a:xfrm>
          <a:off x="352425" y="4343400"/>
          <a:ext cx="10264486" cy="327146"/>
          <a:chOff x="323850" y="6010275"/>
          <a:chExt cx="10264486" cy="327146"/>
        </a:xfrm>
      </xdr:grpSpPr>
      <xdr:pic>
        <xdr:nvPicPr>
          <xdr:cNvPr id="5" name="Imagem 4">
            <a:extLst>
              <a:ext uri="{FF2B5EF4-FFF2-40B4-BE49-F238E27FC236}">
                <a16:creationId xmlns:a16="http://schemas.microsoft.com/office/drawing/2014/main" id="{A7882079-9D40-124E-FAB9-83A50DD583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7DCBA99A-DFED-5178-2C1D-52441AF43E0A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0" name="Imagem 9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8C70B473-903E-1D8F-2746-ADDC4696A5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A2912055-5110-B687-7EAB-1EFD9B7364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42390639-43A0-7927-CDBF-2BAA630E84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180F9749-F8EB-B978-A10C-F8E6CC8B0CA3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20180301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966F-8D75-4532-8108-4BDF306B0105}">
  <dimension ref="B1:AO18"/>
  <sheetViews>
    <sheetView tabSelected="1" zoomScaleNormal="100" workbookViewId="0">
      <selection activeCell="E12" sqref="E12"/>
    </sheetView>
  </sheetViews>
  <sheetFormatPr defaultColWidth="9.140625" defaultRowHeight="15" x14ac:dyDescent="0.25"/>
  <cols>
    <col min="1" max="2" width="4.5703125" style="20" customWidth="1"/>
    <col min="3" max="3" width="9.140625" style="20"/>
    <col min="4" max="4" width="4.5703125" style="20" customWidth="1"/>
    <col min="5" max="5" width="13.7109375" style="20" customWidth="1"/>
    <col min="6" max="6" width="9.140625" style="20"/>
    <col min="7" max="8" width="4.5703125" style="20" customWidth="1"/>
    <col min="9" max="9" width="5.140625" style="20" bestFit="1" customWidth="1"/>
    <col min="10" max="10" width="12.5703125" style="20" bestFit="1" customWidth="1"/>
    <col min="11" max="11" width="4.5703125" style="20" customWidth="1"/>
    <col min="12" max="12" width="6.42578125" style="20" bestFit="1" customWidth="1"/>
    <col min="13" max="13" width="12.5703125" style="20" bestFit="1" customWidth="1"/>
    <col min="14" max="14" width="4.5703125" style="20" customWidth="1"/>
    <col min="15" max="15" width="6" style="20" bestFit="1" customWidth="1"/>
    <col min="16" max="20" width="5.5703125" style="20" bestFit="1" customWidth="1"/>
    <col min="21" max="41" width="6.140625" style="20" bestFit="1" customWidth="1"/>
    <col min="42" max="16384" width="9.140625" style="20"/>
  </cols>
  <sheetData>
    <row r="1" spans="2:41" ht="15.75" thickBot="1" x14ac:dyDescent="0.3"/>
    <row r="2" spans="2:41" ht="15.75" thickBot="1" x14ac:dyDescent="0.3">
      <c r="B2" s="1"/>
      <c r="C2" s="2"/>
      <c r="D2" s="2"/>
      <c r="E2" s="2"/>
      <c r="F2" s="2"/>
      <c r="G2" s="3"/>
      <c r="AD2" s="21"/>
      <c r="AE2" s="21"/>
    </row>
    <row r="3" spans="2:41" x14ac:dyDescent="0.25">
      <c r="B3" s="4"/>
      <c r="C3" s="43" t="s">
        <v>6</v>
      </c>
      <c r="D3" s="44"/>
      <c r="E3" s="44"/>
      <c r="F3" s="45"/>
      <c r="G3" s="5"/>
      <c r="I3" s="53" t="s">
        <v>4</v>
      </c>
      <c r="J3" s="54"/>
      <c r="L3" s="38" t="s">
        <v>15</v>
      </c>
      <c r="M3" s="40"/>
      <c r="O3" s="38" t="s">
        <v>23</v>
      </c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40"/>
    </row>
    <row r="4" spans="2:41" ht="15.75" customHeight="1" thickBot="1" x14ac:dyDescent="0.3">
      <c r="B4" s="4"/>
      <c r="C4" s="46"/>
      <c r="D4" s="47"/>
      <c r="E4" s="47"/>
      <c r="F4" s="48"/>
      <c r="G4" s="5"/>
      <c r="I4" s="22" t="s">
        <v>5</v>
      </c>
      <c r="J4" s="23">
        <f>E14/1.4</f>
        <v>1.7857142857142858</v>
      </c>
      <c r="L4" s="24" t="s">
        <v>16</v>
      </c>
      <c r="M4" s="25">
        <f>0.3*(E14*10)^(2/3)/10</f>
        <v>0.25649639200150443</v>
      </c>
      <c r="O4" s="26" t="s">
        <v>24</v>
      </c>
      <c r="P4" s="27">
        <v>5</v>
      </c>
      <c r="Q4" s="27">
        <v>6</v>
      </c>
      <c r="R4" s="27">
        <v>7</v>
      </c>
      <c r="S4" s="27">
        <v>8</v>
      </c>
      <c r="T4" s="27">
        <v>9</v>
      </c>
      <c r="U4" s="27">
        <v>10</v>
      </c>
      <c r="V4" s="27">
        <v>11</v>
      </c>
      <c r="W4" s="27">
        <v>12</v>
      </c>
      <c r="X4" s="27">
        <v>13</v>
      </c>
      <c r="Y4" s="27">
        <v>14</v>
      </c>
      <c r="Z4" s="27">
        <v>15</v>
      </c>
      <c r="AA4" s="27">
        <v>16</v>
      </c>
      <c r="AB4" s="27">
        <v>17</v>
      </c>
      <c r="AC4" s="27">
        <v>18</v>
      </c>
      <c r="AD4" s="27">
        <v>19</v>
      </c>
      <c r="AE4" s="27">
        <v>20</v>
      </c>
      <c r="AF4" s="27">
        <v>21</v>
      </c>
      <c r="AG4" s="27">
        <v>22</v>
      </c>
      <c r="AH4" s="27">
        <v>23</v>
      </c>
      <c r="AI4" s="27">
        <v>24</v>
      </c>
      <c r="AJ4" s="27">
        <v>25</v>
      </c>
      <c r="AK4" s="27">
        <v>26</v>
      </c>
      <c r="AL4" s="27">
        <v>27</v>
      </c>
      <c r="AM4" s="27">
        <v>28</v>
      </c>
      <c r="AN4" s="27">
        <v>29</v>
      </c>
      <c r="AO4" s="27">
        <v>30</v>
      </c>
    </row>
    <row r="5" spans="2:41" x14ac:dyDescent="0.25">
      <c r="B5" s="4"/>
      <c r="C5" s="6"/>
      <c r="D5" s="6"/>
      <c r="E5" s="6"/>
      <c r="F5" s="6"/>
      <c r="G5" s="5"/>
      <c r="I5" s="24" t="s">
        <v>11</v>
      </c>
      <c r="J5" s="23">
        <f>E15/1.15</f>
        <v>43.478260869565219</v>
      </c>
      <c r="L5" s="24" t="s">
        <v>17</v>
      </c>
      <c r="M5" s="25">
        <f>0.7*M4/1.4</f>
        <v>0.12824819600075221</v>
      </c>
      <c r="O5" s="28">
        <v>5</v>
      </c>
      <c r="P5" s="29">
        <f>2*PI()*($O5/20)^2/P$4*100</f>
        <v>7.8539816339744828</v>
      </c>
      <c r="Q5" s="29">
        <f t="shared" ref="Q5:AO9" si="0">2*PI()*($O5/20)^2/Q$4*100</f>
        <v>6.5449846949787354</v>
      </c>
      <c r="R5" s="29">
        <f t="shared" si="0"/>
        <v>5.6099868814103448</v>
      </c>
      <c r="S5" s="29">
        <f t="shared" si="0"/>
        <v>4.908738521234052</v>
      </c>
      <c r="T5" s="29">
        <f t="shared" si="0"/>
        <v>4.3633231299858233</v>
      </c>
      <c r="U5" s="29">
        <f t="shared" si="0"/>
        <v>3.9269908169872414</v>
      </c>
      <c r="V5" s="29">
        <f t="shared" si="0"/>
        <v>3.5699916518065833</v>
      </c>
      <c r="W5" s="29">
        <f t="shared" si="0"/>
        <v>3.2724923474893677</v>
      </c>
      <c r="X5" s="29">
        <f t="shared" si="0"/>
        <v>3.0207621669132623</v>
      </c>
      <c r="Y5" s="29">
        <f t="shared" si="0"/>
        <v>2.8049934407051724</v>
      </c>
      <c r="Z5" s="29">
        <f t="shared" si="0"/>
        <v>2.617993877991494</v>
      </c>
      <c r="AA5" s="29">
        <f t="shared" si="0"/>
        <v>2.454369260617026</v>
      </c>
      <c r="AB5" s="29">
        <f t="shared" si="0"/>
        <v>2.3099945982277892</v>
      </c>
      <c r="AC5" s="29">
        <f t="shared" si="0"/>
        <v>2.1816615649929116</v>
      </c>
      <c r="AD5" s="29">
        <f t="shared" si="0"/>
        <v>2.0668372720985482</v>
      </c>
      <c r="AE5" s="29">
        <f t="shared" si="0"/>
        <v>1.9634954084936207</v>
      </c>
      <c r="AF5" s="29">
        <f t="shared" si="0"/>
        <v>1.8699956271367817</v>
      </c>
      <c r="AG5" s="29">
        <f t="shared" si="0"/>
        <v>1.7849958259032916</v>
      </c>
      <c r="AH5" s="29">
        <f t="shared" si="0"/>
        <v>1.7073873117335832</v>
      </c>
      <c r="AI5" s="29">
        <f t="shared" si="0"/>
        <v>1.6362461737446838</v>
      </c>
      <c r="AJ5" s="29">
        <f t="shared" si="0"/>
        <v>1.5707963267948968</v>
      </c>
      <c r="AK5" s="29">
        <f t="shared" si="0"/>
        <v>1.5103810834566311</v>
      </c>
      <c r="AL5" s="29">
        <f t="shared" si="0"/>
        <v>1.4544410433286079</v>
      </c>
      <c r="AM5" s="29">
        <f t="shared" si="0"/>
        <v>1.4024967203525862</v>
      </c>
      <c r="AN5" s="29">
        <f t="shared" si="0"/>
        <v>1.3541347644783592</v>
      </c>
      <c r="AO5" s="29">
        <f t="shared" si="0"/>
        <v>1.308996938995747</v>
      </c>
    </row>
    <row r="6" spans="2:41" x14ac:dyDescent="0.25">
      <c r="B6" s="4"/>
      <c r="C6" s="6"/>
      <c r="D6" s="49" t="s">
        <v>0</v>
      </c>
      <c r="E6" s="50"/>
      <c r="F6" s="6"/>
      <c r="G6" s="5"/>
      <c r="O6" s="28">
        <v>6.3</v>
      </c>
      <c r="P6" s="29">
        <f t="shared" ref="P6:AE9" si="1">2*PI()*($O6/20)^2/P$4*100</f>
        <v>12.46898124209789</v>
      </c>
      <c r="Q6" s="29">
        <f t="shared" si="1"/>
        <v>10.39081770174824</v>
      </c>
      <c r="R6" s="29">
        <f t="shared" si="1"/>
        <v>8.9064151729270638</v>
      </c>
      <c r="S6" s="29">
        <f t="shared" si="1"/>
        <v>7.793113276311181</v>
      </c>
      <c r="T6" s="29">
        <f t="shared" si="1"/>
        <v>6.9272118011654946</v>
      </c>
      <c r="U6" s="29">
        <f t="shared" si="1"/>
        <v>6.2344906210489448</v>
      </c>
      <c r="V6" s="29">
        <f t="shared" si="1"/>
        <v>5.6677187464081316</v>
      </c>
      <c r="W6" s="29">
        <f t="shared" si="1"/>
        <v>5.1954088508741201</v>
      </c>
      <c r="X6" s="29">
        <f t="shared" si="1"/>
        <v>4.795762016191496</v>
      </c>
      <c r="Y6" s="29">
        <f t="shared" si="1"/>
        <v>4.4532075864635319</v>
      </c>
      <c r="Z6" s="29">
        <f t="shared" si="1"/>
        <v>4.1563270806992962</v>
      </c>
      <c r="AA6" s="29">
        <f t="shared" si="1"/>
        <v>3.8965566381555905</v>
      </c>
      <c r="AB6" s="29">
        <f t="shared" si="1"/>
        <v>3.6673474241464379</v>
      </c>
      <c r="AC6" s="29">
        <f t="shared" si="1"/>
        <v>3.4636059005827473</v>
      </c>
      <c r="AD6" s="29">
        <f t="shared" si="1"/>
        <v>3.2813108531836557</v>
      </c>
      <c r="AE6" s="29">
        <f t="shared" si="1"/>
        <v>3.1172453105244724</v>
      </c>
      <c r="AF6" s="29">
        <f t="shared" si="0"/>
        <v>2.968805057642355</v>
      </c>
      <c r="AG6" s="29">
        <f t="shared" si="0"/>
        <v>2.8338593732040658</v>
      </c>
      <c r="AH6" s="29">
        <f t="shared" si="0"/>
        <v>2.7106480961082369</v>
      </c>
      <c r="AI6" s="29">
        <f t="shared" si="0"/>
        <v>2.59770442543706</v>
      </c>
      <c r="AJ6" s="29">
        <f t="shared" si="0"/>
        <v>2.4937962484195779</v>
      </c>
      <c r="AK6" s="29">
        <f t="shared" si="0"/>
        <v>2.397881008095748</v>
      </c>
      <c r="AL6" s="29">
        <f t="shared" si="0"/>
        <v>2.3090706003884982</v>
      </c>
      <c r="AM6" s="29">
        <f t="shared" si="0"/>
        <v>2.2266037932317659</v>
      </c>
      <c r="AN6" s="29">
        <f t="shared" si="0"/>
        <v>2.1498243520858429</v>
      </c>
      <c r="AO6" s="29">
        <f t="shared" si="0"/>
        <v>2.0781635403496481</v>
      </c>
    </row>
    <row r="7" spans="2:41" x14ac:dyDescent="0.25">
      <c r="B7" s="4"/>
      <c r="C7" s="6"/>
      <c r="D7" s="15" t="s">
        <v>18</v>
      </c>
      <c r="E7" s="8">
        <v>14</v>
      </c>
      <c r="F7" s="6"/>
      <c r="G7" s="5"/>
      <c r="I7" s="38" t="s">
        <v>12</v>
      </c>
      <c r="J7" s="40"/>
      <c r="L7" s="38" t="s">
        <v>13</v>
      </c>
      <c r="M7" s="40"/>
      <c r="O7" s="28">
        <v>8</v>
      </c>
      <c r="P7" s="29">
        <f t="shared" si="1"/>
        <v>20.106192982974676</v>
      </c>
      <c r="Q7" s="29">
        <f t="shared" si="0"/>
        <v>16.755160819145566</v>
      </c>
      <c r="R7" s="29">
        <f t="shared" si="0"/>
        <v>14.361566416410485</v>
      </c>
      <c r="S7" s="29">
        <f t="shared" si="0"/>
        <v>12.566370614359174</v>
      </c>
      <c r="T7" s="29">
        <f t="shared" si="0"/>
        <v>11.170107212763709</v>
      </c>
      <c r="U7" s="29">
        <f t="shared" si="0"/>
        <v>10.053096491487338</v>
      </c>
      <c r="V7" s="29">
        <f t="shared" si="0"/>
        <v>9.1391786286248546</v>
      </c>
      <c r="W7" s="29">
        <f t="shared" si="0"/>
        <v>8.3775804095727828</v>
      </c>
      <c r="X7" s="29">
        <f t="shared" si="0"/>
        <v>7.7331511472979537</v>
      </c>
      <c r="Y7" s="29">
        <f t="shared" si="0"/>
        <v>7.1807832082052423</v>
      </c>
      <c r="Z7" s="29">
        <f t="shared" si="0"/>
        <v>6.7020643276582259</v>
      </c>
      <c r="AA7" s="29">
        <f t="shared" si="0"/>
        <v>6.2831853071795871</v>
      </c>
      <c r="AB7" s="29">
        <f t="shared" si="0"/>
        <v>5.913586171463141</v>
      </c>
      <c r="AC7" s="29">
        <f t="shared" si="0"/>
        <v>5.5850536063818543</v>
      </c>
      <c r="AD7" s="29">
        <f t="shared" si="0"/>
        <v>5.291103416572283</v>
      </c>
      <c r="AE7" s="29">
        <f t="shared" si="0"/>
        <v>5.026548245743669</v>
      </c>
      <c r="AF7" s="29">
        <f t="shared" si="0"/>
        <v>4.7871888054701612</v>
      </c>
      <c r="AG7" s="29">
        <f t="shared" si="0"/>
        <v>4.5695893143124273</v>
      </c>
      <c r="AH7" s="29">
        <f t="shared" si="0"/>
        <v>4.370911518037973</v>
      </c>
      <c r="AI7" s="29">
        <f t="shared" si="0"/>
        <v>4.1887902047863914</v>
      </c>
      <c r="AJ7" s="29">
        <f t="shared" si="0"/>
        <v>4.0212385965949355</v>
      </c>
      <c r="AK7" s="29">
        <f t="shared" si="0"/>
        <v>3.8665755736489769</v>
      </c>
      <c r="AL7" s="29">
        <f t="shared" si="0"/>
        <v>3.7233690709212368</v>
      </c>
      <c r="AM7" s="29">
        <f t="shared" si="0"/>
        <v>3.5903916041026211</v>
      </c>
      <c r="AN7" s="29">
        <f t="shared" si="0"/>
        <v>3.4665849970645994</v>
      </c>
      <c r="AO7" s="29">
        <f t="shared" si="0"/>
        <v>3.351032163829113</v>
      </c>
    </row>
    <row r="8" spans="2:41" x14ac:dyDescent="0.25">
      <c r="B8" s="4"/>
      <c r="C8" s="6"/>
      <c r="D8" s="9" t="s">
        <v>1</v>
      </c>
      <c r="E8" s="10">
        <v>35</v>
      </c>
      <c r="F8" s="6"/>
      <c r="G8" s="5"/>
      <c r="I8" s="24" t="s">
        <v>8</v>
      </c>
      <c r="J8" s="30">
        <f>0.27*(1-E14/25)*J4*E7*E8</f>
        <v>212.62500000000003</v>
      </c>
      <c r="L8" s="24" t="s">
        <v>14</v>
      </c>
      <c r="M8" s="31">
        <f>0.2*M4*E7/E15*100</f>
        <v>1.4363797952084247</v>
      </c>
      <c r="O8" s="28">
        <v>10</v>
      </c>
      <c r="P8" s="29">
        <f t="shared" si="1"/>
        <v>31.415926535897931</v>
      </c>
      <c r="Q8" s="29">
        <f t="shared" si="0"/>
        <v>26.179938779914941</v>
      </c>
      <c r="R8" s="29">
        <f t="shared" si="0"/>
        <v>22.439947525641379</v>
      </c>
      <c r="S8" s="29">
        <f t="shared" si="0"/>
        <v>19.634954084936208</v>
      </c>
      <c r="T8" s="29">
        <f t="shared" si="0"/>
        <v>17.453292519943293</v>
      </c>
      <c r="U8" s="29">
        <f t="shared" si="0"/>
        <v>15.707963267948966</v>
      </c>
      <c r="V8" s="29">
        <f t="shared" si="0"/>
        <v>14.279966607226333</v>
      </c>
      <c r="W8" s="29">
        <f t="shared" si="0"/>
        <v>13.089969389957471</v>
      </c>
      <c r="X8" s="29">
        <f t="shared" si="0"/>
        <v>12.083048667653049</v>
      </c>
      <c r="Y8" s="29">
        <f t="shared" si="0"/>
        <v>11.21997376282069</v>
      </c>
      <c r="Z8" s="29">
        <f t="shared" si="0"/>
        <v>10.471975511965976</v>
      </c>
      <c r="AA8" s="29">
        <f t="shared" si="0"/>
        <v>9.8174770424681039</v>
      </c>
      <c r="AB8" s="29">
        <f t="shared" si="0"/>
        <v>9.2399783929111567</v>
      </c>
      <c r="AC8" s="29">
        <f t="shared" si="0"/>
        <v>8.7266462599716466</v>
      </c>
      <c r="AD8" s="29">
        <f t="shared" si="0"/>
        <v>8.2673490883941927</v>
      </c>
      <c r="AE8" s="29">
        <f t="shared" si="0"/>
        <v>7.8539816339744828</v>
      </c>
      <c r="AF8" s="29">
        <f t="shared" si="0"/>
        <v>7.4799825085471268</v>
      </c>
      <c r="AG8" s="29">
        <f t="shared" si="0"/>
        <v>7.1399833036131666</v>
      </c>
      <c r="AH8" s="29">
        <f t="shared" si="0"/>
        <v>6.8295492469343326</v>
      </c>
      <c r="AI8" s="29">
        <f t="shared" si="0"/>
        <v>6.5449846949787354</v>
      </c>
      <c r="AJ8" s="29">
        <f t="shared" si="0"/>
        <v>6.2831853071795871</v>
      </c>
      <c r="AK8" s="29">
        <f t="shared" si="0"/>
        <v>6.0415243338265245</v>
      </c>
      <c r="AL8" s="29">
        <f t="shared" si="0"/>
        <v>5.8177641733144316</v>
      </c>
      <c r="AM8" s="29">
        <f t="shared" si="0"/>
        <v>5.6099868814103448</v>
      </c>
      <c r="AN8" s="29">
        <f t="shared" si="0"/>
        <v>5.4165390579134369</v>
      </c>
      <c r="AO8" s="29">
        <f t="shared" si="0"/>
        <v>5.2359877559829879</v>
      </c>
    </row>
    <row r="9" spans="2:41" x14ac:dyDescent="0.25">
      <c r="B9" s="4"/>
      <c r="C9" s="6"/>
      <c r="D9" s="6"/>
      <c r="E9" s="6"/>
      <c r="F9" s="6"/>
      <c r="G9" s="5"/>
      <c r="I9" s="55" t="str">
        <f>IF(J8&gt;=E11,"Ok!","Ruim!")</f>
        <v>Ok!</v>
      </c>
      <c r="J9" s="56"/>
      <c r="L9" s="24" t="s">
        <v>22</v>
      </c>
      <c r="M9" s="30">
        <f>M8/100*0.9*E8*J5</f>
        <v>19.672158064811033</v>
      </c>
      <c r="O9" s="28">
        <v>12.5</v>
      </c>
      <c r="P9" s="29">
        <f t="shared" si="1"/>
        <v>49.087385212340514</v>
      </c>
      <c r="Q9" s="29">
        <f t="shared" si="0"/>
        <v>40.906154343617104</v>
      </c>
      <c r="R9" s="29">
        <f t="shared" si="0"/>
        <v>35.062418008814653</v>
      </c>
      <c r="S9" s="29">
        <f t="shared" si="0"/>
        <v>30.679615757712824</v>
      </c>
      <c r="T9" s="29">
        <f t="shared" si="0"/>
        <v>27.270769562411402</v>
      </c>
      <c r="U9" s="29">
        <f t="shared" si="0"/>
        <v>24.543692606170257</v>
      </c>
      <c r="V9" s="29">
        <f t="shared" si="0"/>
        <v>22.312447823791146</v>
      </c>
      <c r="W9" s="29">
        <f t="shared" si="0"/>
        <v>20.453077171808552</v>
      </c>
      <c r="X9" s="29">
        <f t="shared" si="0"/>
        <v>18.879763543207893</v>
      </c>
      <c r="Y9" s="29">
        <f t="shared" si="0"/>
        <v>17.531209004407327</v>
      </c>
      <c r="Z9" s="29">
        <f t="shared" si="0"/>
        <v>16.362461737446839</v>
      </c>
      <c r="AA9" s="29">
        <f t="shared" si="0"/>
        <v>15.339807878856412</v>
      </c>
      <c r="AB9" s="29">
        <f t="shared" si="0"/>
        <v>14.437466238923683</v>
      </c>
      <c r="AC9" s="29">
        <f t="shared" si="0"/>
        <v>13.635384781205701</v>
      </c>
      <c r="AD9" s="29">
        <f t="shared" si="0"/>
        <v>12.917732950615926</v>
      </c>
      <c r="AE9" s="29">
        <f t="shared" si="0"/>
        <v>12.271846303085129</v>
      </c>
      <c r="AF9" s="29">
        <f t="shared" si="0"/>
        <v>11.687472669604885</v>
      </c>
      <c r="AG9" s="29">
        <f t="shared" si="0"/>
        <v>11.156223911895573</v>
      </c>
      <c r="AH9" s="29">
        <f t="shared" si="0"/>
        <v>10.671170698334896</v>
      </c>
      <c r="AI9" s="29">
        <f t="shared" si="0"/>
        <v>10.226538585904276</v>
      </c>
      <c r="AJ9" s="29">
        <f t="shared" si="0"/>
        <v>9.8174770424681039</v>
      </c>
      <c r="AK9" s="29">
        <f t="shared" si="0"/>
        <v>9.4398817716039467</v>
      </c>
      <c r="AL9" s="29">
        <f t="shared" si="0"/>
        <v>9.0902565208038002</v>
      </c>
      <c r="AM9" s="29">
        <f t="shared" si="0"/>
        <v>8.7656045022036633</v>
      </c>
      <c r="AN9" s="29">
        <f t="shared" si="0"/>
        <v>8.4633422779897458</v>
      </c>
      <c r="AO9" s="29">
        <f t="shared" si="0"/>
        <v>8.1812308687234196</v>
      </c>
    </row>
    <row r="10" spans="2:41" x14ac:dyDescent="0.25">
      <c r="B10" s="4"/>
      <c r="C10" s="6"/>
      <c r="D10" s="51" t="s">
        <v>7</v>
      </c>
      <c r="E10" s="52"/>
      <c r="F10" s="6"/>
      <c r="G10" s="5"/>
      <c r="L10" s="24" t="s">
        <v>19</v>
      </c>
      <c r="M10" s="30">
        <f>M9+M13</f>
        <v>57.377127689032179</v>
      </c>
      <c r="AA10" s="32"/>
      <c r="AB10" s="33"/>
    </row>
    <row r="11" spans="2:41" x14ac:dyDescent="0.25">
      <c r="B11" s="4"/>
      <c r="C11" s="6"/>
      <c r="D11" s="15" t="s">
        <v>9</v>
      </c>
      <c r="E11" s="16">
        <v>0</v>
      </c>
      <c r="F11" s="6"/>
      <c r="G11" s="5"/>
      <c r="AA11" s="32"/>
      <c r="AB11" s="33"/>
    </row>
    <row r="12" spans="2:41" x14ac:dyDescent="0.25">
      <c r="B12" s="4"/>
      <c r="C12" s="6"/>
      <c r="D12" s="6"/>
      <c r="E12" s="6"/>
      <c r="F12" s="6"/>
      <c r="G12" s="5"/>
      <c r="L12" s="38" t="s">
        <v>20</v>
      </c>
      <c r="M12" s="40"/>
      <c r="O12" s="38" t="str">
        <f>"Armadura Mínima (Asw/s = "&amp;TEXT(2*PI()*($P$13/20)^2/$S$13*100,"0,00")&amp;" cm²/m)"</f>
        <v>Armadura Mínima (Asw/s = 1,96 cm²/m)</v>
      </c>
      <c r="P12" s="39"/>
      <c r="Q12" s="39"/>
      <c r="R12" s="39"/>
      <c r="S12" s="39"/>
      <c r="T12" s="39"/>
      <c r="U12" s="40"/>
      <c r="AA12" s="32"/>
      <c r="AB12" s="33"/>
    </row>
    <row r="13" spans="2:41" x14ac:dyDescent="0.25">
      <c r="B13" s="4"/>
      <c r="C13" s="6"/>
      <c r="D13" s="51" t="s">
        <v>3</v>
      </c>
      <c r="E13" s="52"/>
      <c r="F13" s="6"/>
      <c r="G13" s="5"/>
      <c r="L13" s="24" t="s">
        <v>21</v>
      </c>
      <c r="M13" s="30">
        <f>0.6*M5*E7*E8</f>
        <v>37.70496962422115</v>
      </c>
      <c r="O13" s="7"/>
      <c r="P13" s="41">
        <v>5</v>
      </c>
      <c r="Q13" s="41"/>
      <c r="R13" s="18" t="s">
        <v>25</v>
      </c>
      <c r="S13" s="42">
        <v>20</v>
      </c>
      <c r="T13" s="42"/>
      <c r="U13" s="19"/>
      <c r="AA13" s="32"/>
      <c r="AB13" s="33"/>
    </row>
    <row r="14" spans="2:41" x14ac:dyDescent="0.25">
      <c r="B14" s="4"/>
      <c r="C14" s="6"/>
      <c r="D14" s="7" t="s">
        <v>2</v>
      </c>
      <c r="E14" s="11">
        <v>2.5</v>
      </c>
      <c r="F14" s="6"/>
      <c r="G14" s="5"/>
      <c r="L14" s="24" t="s">
        <v>14</v>
      </c>
      <c r="M14" s="31">
        <f>(E11-M13)/(0.9*E8*J5)*100</f>
        <v>-2.7530612741494807</v>
      </c>
      <c r="AA14" s="32"/>
      <c r="AB14" s="33"/>
    </row>
    <row r="15" spans="2:41" x14ac:dyDescent="0.25">
      <c r="B15" s="4"/>
      <c r="C15" s="6"/>
      <c r="D15" s="17" t="s">
        <v>10</v>
      </c>
      <c r="E15" s="11">
        <v>50</v>
      </c>
      <c r="F15" s="6"/>
      <c r="G15" s="5"/>
      <c r="O15" s="38" t="str">
        <f>"Armadura Adotada (Asw/s = "&amp;TEXT(2*PI()*($P$16/20)^2/$S$16*100,"0,00")&amp;" cm²/m)"</f>
        <v>Armadura Adotada (Asw/s = 5,24 cm²/m)</v>
      </c>
      <c r="P15" s="39"/>
      <c r="Q15" s="39"/>
      <c r="R15" s="39"/>
      <c r="S15" s="39"/>
      <c r="T15" s="39"/>
      <c r="U15" s="40"/>
      <c r="AA15" s="32"/>
      <c r="AB15" s="33"/>
    </row>
    <row r="16" spans="2:41" ht="15.75" thickBot="1" x14ac:dyDescent="0.3">
      <c r="B16" s="12"/>
      <c r="C16" s="13"/>
      <c r="D16" s="13"/>
      <c r="E16" s="13"/>
      <c r="F16" s="13"/>
      <c r="G16" s="14"/>
      <c r="O16" s="7"/>
      <c r="P16" s="41">
        <v>5</v>
      </c>
      <c r="Q16" s="41"/>
      <c r="R16" s="18" t="s">
        <v>25</v>
      </c>
      <c r="S16" s="42">
        <v>7.5</v>
      </c>
      <c r="T16" s="42"/>
      <c r="U16" s="19"/>
      <c r="Y16" s="34"/>
      <c r="Z16" s="34"/>
      <c r="AA16" s="34"/>
      <c r="AB16" s="34"/>
      <c r="AC16" s="34"/>
    </row>
    <row r="17" spans="4:29" x14ac:dyDescent="0.25">
      <c r="D17" s="37"/>
      <c r="E17" s="37"/>
      <c r="Y17" s="34"/>
      <c r="Z17" s="34"/>
      <c r="AA17" s="34"/>
      <c r="AB17" s="34"/>
      <c r="AC17" s="34"/>
    </row>
    <row r="18" spans="4:29" x14ac:dyDescent="0.25">
      <c r="D18" s="21"/>
      <c r="E18" s="21"/>
      <c r="Y18" s="34"/>
      <c r="Z18" s="34"/>
      <c r="AA18" s="34"/>
      <c r="AB18" s="34"/>
      <c r="AC18" s="34"/>
    </row>
  </sheetData>
  <sheetProtection algorithmName="SHA-512" hashValue="XeaE5vM3YIqNUIG9s2vz0/KmcMCePABtJRyJ/EHExirx+e8YEWDCMYMcK1MtIvnVPLWIgh1T9JeOerHYgJZNtg==" saltValue="vWgx9pJJpV4EKToJOg9uNg==" spinCount="100000" sheet="1" objects="1" scenarios="1" selectLockedCells="1"/>
  <mergeCells count="17">
    <mergeCell ref="O3:AO3"/>
    <mergeCell ref="C3:F4"/>
    <mergeCell ref="D6:E6"/>
    <mergeCell ref="D10:E10"/>
    <mergeCell ref="D13:E13"/>
    <mergeCell ref="I3:J3"/>
    <mergeCell ref="I7:J7"/>
    <mergeCell ref="I9:J9"/>
    <mergeCell ref="L7:M7"/>
    <mergeCell ref="L3:M3"/>
    <mergeCell ref="L12:M12"/>
    <mergeCell ref="O12:U12"/>
    <mergeCell ref="O15:U15"/>
    <mergeCell ref="P13:Q13"/>
    <mergeCell ref="S13:T13"/>
    <mergeCell ref="P16:Q16"/>
    <mergeCell ref="S16:T16"/>
  </mergeCells>
  <conditionalFormatting sqref="I9:J9">
    <cfRule type="cellIs" dxfId="21" priority="9" operator="equal">
      <formula>"Ruim!"</formula>
    </cfRule>
    <cfRule type="cellIs" dxfId="20" priority="10" operator="equal">
      <formula>"Ok!"</formula>
    </cfRule>
  </conditionalFormatting>
  <conditionalFormatting sqref="O13:U13">
    <cfRule type="expression" dxfId="19" priority="3">
      <formula>2*PI()*($P$13/20)^2/$S$13*100&lt;$M$8</formula>
    </cfRule>
    <cfRule type="expression" dxfId="18" priority="4">
      <formula>2*PI()*($P$13/20)^2/$S$13*100&gt;=$M$8</formula>
    </cfRule>
  </conditionalFormatting>
  <conditionalFormatting sqref="O16:U16">
    <cfRule type="expression" dxfId="17" priority="1">
      <formula>2*PI()*($P$16/20)^2/$S$16*100&lt;$M$14</formula>
    </cfRule>
    <cfRule type="expression" dxfId="16" priority="2">
      <formula>2*PI()*($P$16/20)^2/$S$16*100&gt;=$M$15</formula>
    </cfRule>
  </conditionalFormatting>
  <conditionalFormatting sqref="P5:AO9">
    <cfRule type="expression" dxfId="15" priority="5">
      <formula>P$4&gt;IF($E$11&lt;=0.67*$J$8,MIN(0.6*$E$8,30),MIN(0.3*$E$8,20))</formula>
    </cfRule>
    <cfRule type="cellIs" dxfId="14" priority="6" operator="lessThan">
      <formula>$M$14</formula>
    </cfRule>
    <cfRule type="cellIs" dxfId="13" priority="7" operator="greaterThan">
      <formula>$M$14</formula>
    </cfRule>
  </conditionalFormatting>
  <dataValidations disablePrompts="1" count="2">
    <dataValidation type="list" allowBlank="1" showInputMessage="1" showErrorMessage="1" sqref="E18" xr:uid="{918795BE-03A5-4593-BBA6-2F4CCFC6395F}">
      <formula1>Armação</formula1>
    </dataValidation>
    <dataValidation type="list" allowBlank="1" showInputMessage="1" showErrorMessage="1" sqref="E19" xr:uid="{026BFFCD-F4ED-47BC-B53D-492DF8668BF3}">
      <formula1>INDIRECT(E18)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F5DE-05B2-4D9C-83C1-D8BCDA76DA75}">
  <dimension ref="B1:AO22"/>
  <sheetViews>
    <sheetView zoomScaleNormal="100" workbookViewId="0">
      <selection activeCell="B2" sqref="B2"/>
    </sheetView>
  </sheetViews>
  <sheetFormatPr defaultColWidth="9.140625" defaultRowHeight="15" x14ac:dyDescent="0.25"/>
  <cols>
    <col min="1" max="2" width="4.5703125" style="20" customWidth="1"/>
    <col min="3" max="3" width="9.140625" style="20"/>
    <col min="4" max="4" width="4.5703125" style="20" customWidth="1"/>
    <col min="5" max="5" width="13.7109375" style="20" customWidth="1"/>
    <col min="6" max="6" width="9.140625" style="20"/>
    <col min="7" max="8" width="4.5703125" style="20" customWidth="1"/>
    <col min="9" max="9" width="5.140625" style="20" bestFit="1" customWidth="1"/>
    <col min="10" max="10" width="12.5703125" style="20" bestFit="1" customWidth="1"/>
    <col min="11" max="11" width="4.5703125" style="20" customWidth="1"/>
    <col min="12" max="12" width="6.42578125" style="20" bestFit="1" customWidth="1"/>
    <col min="13" max="13" width="12.5703125" style="20" bestFit="1" customWidth="1"/>
    <col min="14" max="14" width="4.5703125" style="20" customWidth="1"/>
    <col min="15" max="15" width="6.28515625" style="20" bestFit="1" customWidth="1"/>
    <col min="16" max="20" width="5.5703125" style="20" bestFit="1" customWidth="1"/>
    <col min="21" max="41" width="6.140625" style="20" bestFit="1" customWidth="1"/>
    <col min="42" max="16384" width="9.140625" style="20"/>
  </cols>
  <sheetData>
    <row r="1" spans="2:41" ht="15.75" thickBot="1" x14ac:dyDescent="0.3"/>
    <row r="2" spans="2:41" ht="15.75" thickBot="1" x14ac:dyDescent="0.3">
      <c r="B2" s="1"/>
      <c r="C2" s="2"/>
      <c r="D2" s="2"/>
      <c r="E2" s="2"/>
      <c r="F2" s="2"/>
      <c r="G2" s="3"/>
      <c r="AD2" s="21"/>
      <c r="AE2" s="21"/>
    </row>
    <row r="3" spans="2:41" x14ac:dyDescent="0.25">
      <c r="B3" s="4"/>
      <c r="C3" s="43" t="s">
        <v>6</v>
      </c>
      <c r="D3" s="44"/>
      <c r="E3" s="44"/>
      <c r="F3" s="45"/>
      <c r="G3" s="5"/>
      <c r="I3" s="53" t="s">
        <v>4</v>
      </c>
      <c r="J3" s="54"/>
      <c r="L3" s="38" t="s">
        <v>15</v>
      </c>
      <c r="M3" s="40"/>
      <c r="O3" s="38" t="s">
        <v>23</v>
      </c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40"/>
    </row>
    <row r="4" spans="2:41" ht="15.75" customHeight="1" thickBot="1" x14ac:dyDescent="0.3">
      <c r="B4" s="4"/>
      <c r="C4" s="46"/>
      <c r="D4" s="47"/>
      <c r="E4" s="47"/>
      <c r="F4" s="48"/>
      <c r="G4" s="5"/>
      <c r="I4" s="22" t="s">
        <v>5</v>
      </c>
      <c r="J4" s="23">
        <f>E20/1.4</f>
        <v>2.1428571428571428</v>
      </c>
      <c r="L4" s="24" t="s">
        <v>16</v>
      </c>
      <c r="M4" s="25">
        <f>0.3*(E20*10)^(2/3)/10</f>
        <v>0.2896468153816889</v>
      </c>
      <c r="O4" s="26" t="s">
        <v>24</v>
      </c>
      <c r="P4" s="27">
        <v>5</v>
      </c>
      <c r="Q4" s="27">
        <v>6</v>
      </c>
      <c r="R4" s="27">
        <v>7</v>
      </c>
      <c r="S4" s="27">
        <v>8</v>
      </c>
      <c r="T4" s="27">
        <v>9</v>
      </c>
      <c r="U4" s="27">
        <v>10</v>
      </c>
      <c r="V4" s="27">
        <v>11</v>
      </c>
      <c r="W4" s="27">
        <v>12</v>
      </c>
      <c r="X4" s="27">
        <v>13</v>
      </c>
      <c r="Y4" s="27">
        <v>14</v>
      </c>
      <c r="Z4" s="27">
        <v>15</v>
      </c>
      <c r="AA4" s="27">
        <v>16</v>
      </c>
      <c r="AB4" s="27">
        <v>17</v>
      </c>
      <c r="AC4" s="27">
        <v>18</v>
      </c>
      <c r="AD4" s="27">
        <v>19</v>
      </c>
      <c r="AE4" s="27">
        <v>20</v>
      </c>
      <c r="AF4" s="27">
        <v>21</v>
      </c>
      <c r="AG4" s="27">
        <v>22</v>
      </c>
      <c r="AH4" s="27">
        <v>23</v>
      </c>
      <c r="AI4" s="27">
        <v>24</v>
      </c>
      <c r="AJ4" s="27">
        <v>25</v>
      </c>
      <c r="AK4" s="27">
        <v>26</v>
      </c>
      <c r="AL4" s="27">
        <v>27</v>
      </c>
      <c r="AM4" s="27">
        <v>28</v>
      </c>
      <c r="AN4" s="27">
        <v>29</v>
      </c>
      <c r="AO4" s="27">
        <v>30</v>
      </c>
    </row>
    <row r="5" spans="2:41" x14ac:dyDescent="0.25">
      <c r="B5" s="4"/>
      <c r="C5" s="6"/>
      <c r="D5" s="6"/>
      <c r="E5" s="6"/>
      <c r="F5" s="6"/>
      <c r="G5" s="5"/>
      <c r="I5" s="24" t="s">
        <v>11</v>
      </c>
      <c r="J5" s="23">
        <f>E21/1.15</f>
        <v>43.478260869565219</v>
      </c>
      <c r="L5" s="24" t="s">
        <v>17</v>
      </c>
      <c r="M5" s="25">
        <f>0.7*M4/1.4</f>
        <v>0.14482340769084445</v>
      </c>
      <c r="O5" s="28">
        <v>5</v>
      </c>
      <c r="P5" s="29">
        <f>2*PI()*($O5/20)^2/P$4*100</f>
        <v>7.8539816339744828</v>
      </c>
      <c r="Q5" s="29">
        <f t="shared" ref="Q5:AO9" si="0">2*PI()*($O5/20)^2/Q$4*100</f>
        <v>6.5449846949787354</v>
      </c>
      <c r="R5" s="29">
        <f t="shared" si="0"/>
        <v>5.6099868814103448</v>
      </c>
      <c r="S5" s="29">
        <f t="shared" si="0"/>
        <v>4.908738521234052</v>
      </c>
      <c r="T5" s="29">
        <f t="shared" si="0"/>
        <v>4.3633231299858233</v>
      </c>
      <c r="U5" s="29">
        <f t="shared" si="0"/>
        <v>3.9269908169872414</v>
      </c>
      <c r="V5" s="29">
        <f t="shared" si="0"/>
        <v>3.5699916518065833</v>
      </c>
      <c r="W5" s="29">
        <f t="shared" si="0"/>
        <v>3.2724923474893677</v>
      </c>
      <c r="X5" s="29">
        <f t="shared" si="0"/>
        <v>3.0207621669132623</v>
      </c>
      <c r="Y5" s="29">
        <f t="shared" si="0"/>
        <v>2.8049934407051724</v>
      </c>
      <c r="Z5" s="29">
        <f t="shared" si="0"/>
        <v>2.617993877991494</v>
      </c>
      <c r="AA5" s="29">
        <f t="shared" si="0"/>
        <v>2.454369260617026</v>
      </c>
      <c r="AB5" s="29">
        <f t="shared" si="0"/>
        <v>2.3099945982277892</v>
      </c>
      <c r="AC5" s="29">
        <f t="shared" si="0"/>
        <v>2.1816615649929116</v>
      </c>
      <c r="AD5" s="29">
        <f t="shared" si="0"/>
        <v>2.0668372720985482</v>
      </c>
      <c r="AE5" s="29">
        <f t="shared" si="0"/>
        <v>1.9634954084936207</v>
      </c>
      <c r="AF5" s="29">
        <f t="shared" si="0"/>
        <v>1.8699956271367817</v>
      </c>
      <c r="AG5" s="29">
        <f t="shared" si="0"/>
        <v>1.7849958259032916</v>
      </c>
      <c r="AH5" s="29">
        <f t="shared" si="0"/>
        <v>1.7073873117335832</v>
      </c>
      <c r="AI5" s="29">
        <f t="shared" si="0"/>
        <v>1.6362461737446838</v>
      </c>
      <c r="AJ5" s="29">
        <f t="shared" si="0"/>
        <v>1.5707963267948968</v>
      </c>
      <c r="AK5" s="29">
        <f t="shared" si="0"/>
        <v>1.5103810834566311</v>
      </c>
      <c r="AL5" s="29">
        <f t="shared" si="0"/>
        <v>1.4544410433286079</v>
      </c>
      <c r="AM5" s="29">
        <f t="shared" si="0"/>
        <v>1.4024967203525862</v>
      </c>
      <c r="AN5" s="29">
        <f t="shared" si="0"/>
        <v>1.3541347644783592</v>
      </c>
      <c r="AO5" s="29">
        <f t="shared" si="0"/>
        <v>1.308996938995747</v>
      </c>
    </row>
    <row r="6" spans="2:41" x14ac:dyDescent="0.25">
      <c r="B6" s="4"/>
      <c r="C6" s="6"/>
      <c r="D6" s="49" t="s">
        <v>0</v>
      </c>
      <c r="E6" s="50"/>
      <c r="F6" s="6"/>
      <c r="G6" s="5"/>
      <c r="O6" s="28">
        <v>6.3</v>
      </c>
      <c r="P6" s="29">
        <f t="shared" ref="P6:AE9" si="1">2*PI()*($O6/20)^2/P$4*100</f>
        <v>12.46898124209789</v>
      </c>
      <c r="Q6" s="29">
        <f t="shared" si="1"/>
        <v>10.39081770174824</v>
      </c>
      <c r="R6" s="29">
        <f t="shared" si="1"/>
        <v>8.9064151729270638</v>
      </c>
      <c r="S6" s="29">
        <f t="shared" si="1"/>
        <v>7.793113276311181</v>
      </c>
      <c r="T6" s="29">
        <f t="shared" si="1"/>
        <v>6.9272118011654946</v>
      </c>
      <c r="U6" s="29">
        <f t="shared" si="1"/>
        <v>6.2344906210489448</v>
      </c>
      <c r="V6" s="29">
        <f t="shared" si="1"/>
        <v>5.6677187464081316</v>
      </c>
      <c r="W6" s="29">
        <f t="shared" si="1"/>
        <v>5.1954088508741201</v>
      </c>
      <c r="X6" s="29">
        <f t="shared" si="1"/>
        <v>4.795762016191496</v>
      </c>
      <c r="Y6" s="29">
        <f t="shared" si="1"/>
        <v>4.4532075864635319</v>
      </c>
      <c r="Z6" s="29">
        <f t="shared" si="1"/>
        <v>4.1563270806992962</v>
      </c>
      <c r="AA6" s="29">
        <f t="shared" si="1"/>
        <v>3.8965566381555905</v>
      </c>
      <c r="AB6" s="29">
        <f t="shared" si="1"/>
        <v>3.6673474241464379</v>
      </c>
      <c r="AC6" s="29">
        <f t="shared" si="1"/>
        <v>3.4636059005827473</v>
      </c>
      <c r="AD6" s="29">
        <f t="shared" si="1"/>
        <v>3.2813108531836557</v>
      </c>
      <c r="AE6" s="29">
        <f t="shared" si="1"/>
        <v>3.1172453105244724</v>
      </c>
      <c r="AF6" s="29">
        <f t="shared" si="0"/>
        <v>2.968805057642355</v>
      </c>
      <c r="AG6" s="29">
        <f t="shared" si="0"/>
        <v>2.8338593732040658</v>
      </c>
      <c r="AH6" s="29">
        <f t="shared" si="0"/>
        <v>2.7106480961082369</v>
      </c>
      <c r="AI6" s="29">
        <f t="shared" si="0"/>
        <v>2.59770442543706</v>
      </c>
      <c r="AJ6" s="29">
        <f t="shared" si="0"/>
        <v>2.4937962484195779</v>
      </c>
      <c r="AK6" s="29">
        <f t="shared" si="0"/>
        <v>2.397881008095748</v>
      </c>
      <c r="AL6" s="29">
        <f t="shared" si="0"/>
        <v>2.3090706003884982</v>
      </c>
      <c r="AM6" s="29">
        <f t="shared" si="0"/>
        <v>2.2266037932317659</v>
      </c>
      <c r="AN6" s="29">
        <f t="shared" si="0"/>
        <v>2.1498243520858429</v>
      </c>
      <c r="AO6" s="29">
        <f t="shared" si="0"/>
        <v>2.0781635403496481</v>
      </c>
    </row>
    <row r="7" spans="2:41" x14ac:dyDescent="0.25">
      <c r="B7" s="4"/>
      <c r="C7" s="6"/>
      <c r="D7" s="15" t="s">
        <v>18</v>
      </c>
      <c r="E7" s="8">
        <v>25</v>
      </c>
      <c r="F7" s="6"/>
      <c r="G7" s="5"/>
      <c r="I7" s="38" t="s">
        <v>12</v>
      </c>
      <c r="J7" s="40"/>
      <c r="L7" s="38" t="s">
        <v>13</v>
      </c>
      <c r="M7" s="40"/>
      <c r="O7" s="28">
        <v>8</v>
      </c>
      <c r="P7" s="29">
        <f t="shared" si="1"/>
        <v>20.106192982974676</v>
      </c>
      <c r="Q7" s="29">
        <f t="shared" si="0"/>
        <v>16.755160819145566</v>
      </c>
      <c r="R7" s="29">
        <f t="shared" si="0"/>
        <v>14.361566416410485</v>
      </c>
      <c r="S7" s="29">
        <f t="shared" si="0"/>
        <v>12.566370614359174</v>
      </c>
      <c r="T7" s="29">
        <f t="shared" si="0"/>
        <v>11.170107212763709</v>
      </c>
      <c r="U7" s="29">
        <f t="shared" si="0"/>
        <v>10.053096491487338</v>
      </c>
      <c r="V7" s="29">
        <f t="shared" si="0"/>
        <v>9.1391786286248546</v>
      </c>
      <c r="W7" s="29">
        <f t="shared" si="0"/>
        <v>8.3775804095727828</v>
      </c>
      <c r="X7" s="29">
        <f t="shared" si="0"/>
        <v>7.7331511472979537</v>
      </c>
      <c r="Y7" s="29">
        <f t="shared" si="0"/>
        <v>7.1807832082052423</v>
      </c>
      <c r="Z7" s="29">
        <f t="shared" si="0"/>
        <v>6.7020643276582259</v>
      </c>
      <c r="AA7" s="29">
        <f t="shared" si="0"/>
        <v>6.2831853071795871</v>
      </c>
      <c r="AB7" s="29">
        <f t="shared" si="0"/>
        <v>5.913586171463141</v>
      </c>
      <c r="AC7" s="29">
        <f t="shared" si="0"/>
        <v>5.5850536063818543</v>
      </c>
      <c r="AD7" s="29">
        <f t="shared" si="0"/>
        <v>5.291103416572283</v>
      </c>
      <c r="AE7" s="29">
        <f t="shared" si="0"/>
        <v>5.026548245743669</v>
      </c>
      <c r="AF7" s="29">
        <f t="shared" si="0"/>
        <v>4.7871888054701612</v>
      </c>
      <c r="AG7" s="29">
        <f t="shared" si="0"/>
        <v>4.5695893143124273</v>
      </c>
      <c r="AH7" s="29">
        <f t="shared" si="0"/>
        <v>4.370911518037973</v>
      </c>
      <c r="AI7" s="29">
        <f t="shared" si="0"/>
        <v>4.1887902047863914</v>
      </c>
      <c r="AJ7" s="29">
        <f t="shared" si="0"/>
        <v>4.0212385965949355</v>
      </c>
      <c r="AK7" s="29">
        <f t="shared" si="0"/>
        <v>3.8665755736489769</v>
      </c>
      <c r="AL7" s="29">
        <f t="shared" si="0"/>
        <v>3.7233690709212368</v>
      </c>
      <c r="AM7" s="29">
        <f t="shared" si="0"/>
        <v>3.5903916041026211</v>
      </c>
      <c r="AN7" s="29">
        <f t="shared" si="0"/>
        <v>3.4665849970645994</v>
      </c>
      <c r="AO7" s="29">
        <f t="shared" si="0"/>
        <v>3.351032163829113</v>
      </c>
    </row>
    <row r="8" spans="2:41" x14ac:dyDescent="0.25">
      <c r="B8" s="4"/>
      <c r="C8" s="6"/>
      <c r="D8" s="9" t="s">
        <v>1</v>
      </c>
      <c r="E8" s="10">
        <v>55</v>
      </c>
      <c r="F8" s="6"/>
      <c r="G8" s="5"/>
      <c r="I8" s="24" t="s">
        <v>8</v>
      </c>
      <c r="J8" s="30">
        <f>0.54*(1-E20/25)*J4*E7*E8*SIN(E14*PI()/180)^2*(_xlfn.COT(E17*PI()/180)+_xlfn.COT(E14*PI()/180))</f>
        <v>956.31535589223449</v>
      </c>
      <c r="L8" s="24" t="s">
        <v>14</v>
      </c>
      <c r="M8" s="31">
        <f>0.2*M4*E7/E21*100</f>
        <v>2.896468153816889</v>
      </c>
      <c r="O8" s="28">
        <v>10</v>
      </c>
      <c r="P8" s="29">
        <f t="shared" si="1"/>
        <v>31.415926535897931</v>
      </c>
      <c r="Q8" s="29">
        <f t="shared" si="0"/>
        <v>26.179938779914941</v>
      </c>
      <c r="R8" s="29">
        <f t="shared" si="0"/>
        <v>22.439947525641379</v>
      </c>
      <c r="S8" s="29">
        <f t="shared" si="0"/>
        <v>19.634954084936208</v>
      </c>
      <c r="T8" s="29">
        <f t="shared" si="0"/>
        <v>17.453292519943293</v>
      </c>
      <c r="U8" s="29">
        <f t="shared" si="0"/>
        <v>15.707963267948966</v>
      </c>
      <c r="V8" s="29">
        <f t="shared" si="0"/>
        <v>14.279966607226333</v>
      </c>
      <c r="W8" s="29">
        <f t="shared" si="0"/>
        <v>13.089969389957471</v>
      </c>
      <c r="X8" s="29">
        <f t="shared" si="0"/>
        <v>12.083048667653049</v>
      </c>
      <c r="Y8" s="29">
        <f t="shared" si="0"/>
        <v>11.21997376282069</v>
      </c>
      <c r="Z8" s="29">
        <f t="shared" si="0"/>
        <v>10.471975511965976</v>
      </c>
      <c r="AA8" s="29">
        <f t="shared" si="0"/>
        <v>9.8174770424681039</v>
      </c>
      <c r="AB8" s="29">
        <f t="shared" si="0"/>
        <v>9.2399783929111567</v>
      </c>
      <c r="AC8" s="29">
        <f t="shared" si="0"/>
        <v>8.7266462599716466</v>
      </c>
      <c r="AD8" s="29">
        <f t="shared" si="0"/>
        <v>8.2673490883941927</v>
      </c>
      <c r="AE8" s="29">
        <f t="shared" si="0"/>
        <v>7.8539816339744828</v>
      </c>
      <c r="AF8" s="29">
        <f t="shared" si="0"/>
        <v>7.4799825085471268</v>
      </c>
      <c r="AG8" s="29">
        <f t="shared" si="0"/>
        <v>7.1399833036131666</v>
      </c>
      <c r="AH8" s="29">
        <f t="shared" si="0"/>
        <v>6.8295492469343326</v>
      </c>
      <c r="AI8" s="29">
        <f t="shared" si="0"/>
        <v>6.5449846949787354</v>
      </c>
      <c r="AJ8" s="29">
        <f t="shared" si="0"/>
        <v>6.2831853071795871</v>
      </c>
      <c r="AK8" s="29">
        <f t="shared" si="0"/>
        <v>6.0415243338265245</v>
      </c>
      <c r="AL8" s="29">
        <f t="shared" si="0"/>
        <v>5.8177641733144316</v>
      </c>
      <c r="AM8" s="29">
        <f t="shared" si="0"/>
        <v>5.6099868814103448</v>
      </c>
      <c r="AN8" s="29">
        <f t="shared" si="0"/>
        <v>5.4165390579134369</v>
      </c>
      <c r="AO8" s="29">
        <f t="shared" si="0"/>
        <v>5.2359877559829879</v>
      </c>
    </row>
    <row r="9" spans="2:41" x14ac:dyDescent="0.25">
      <c r="B9" s="4"/>
      <c r="C9" s="6"/>
      <c r="D9" s="6"/>
      <c r="E9" s="6"/>
      <c r="F9" s="6"/>
      <c r="G9" s="5"/>
      <c r="I9" s="55" t="str">
        <f>IF(J8&gt;=E11,"Ok!","Ruim!")</f>
        <v>Ok!</v>
      </c>
      <c r="J9" s="56"/>
      <c r="L9" s="24" t="s">
        <v>22</v>
      </c>
      <c r="M9" s="30">
        <f>M8/100*0.9*E8*J5*(_xlfn.COT(E17*PI()/180)+_xlfn.COT(E14*PI()/180))*SIN(E17*PI()/180)</f>
        <v>120.42589829772156</v>
      </c>
      <c r="O9" s="28">
        <v>12.5</v>
      </c>
      <c r="P9" s="29">
        <f t="shared" si="1"/>
        <v>49.087385212340514</v>
      </c>
      <c r="Q9" s="29">
        <f t="shared" si="0"/>
        <v>40.906154343617104</v>
      </c>
      <c r="R9" s="29">
        <f t="shared" si="0"/>
        <v>35.062418008814653</v>
      </c>
      <c r="S9" s="29">
        <f t="shared" si="0"/>
        <v>30.679615757712824</v>
      </c>
      <c r="T9" s="29">
        <f t="shared" si="0"/>
        <v>27.270769562411402</v>
      </c>
      <c r="U9" s="29">
        <f t="shared" si="0"/>
        <v>24.543692606170257</v>
      </c>
      <c r="V9" s="29">
        <f t="shared" si="0"/>
        <v>22.312447823791146</v>
      </c>
      <c r="W9" s="29">
        <f t="shared" si="0"/>
        <v>20.453077171808552</v>
      </c>
      <c r="X9" s="29">
        <f t="shared" si="0"/>
        <v>18.879763543207893</v>
      </c>
      <c r="Y9" s="29">
        <f t="shared" si="0"/>
        <v>17.531209004407327</v>
      </c>
      <c r="Z9" s="29">
        <f t="shared" si="0"/>
        <v>16.362461737446839</v>
      </c>
      <c r="AA9" s="29">
        <f t="shared" si="0"/>
        <v>15.339807878856412</v>
      </c>
      <c r="AB9" s="29">
        <f t="shared" si="0"/>
        <v>14.437466238923683</v>
      </c>
      <c r="AC9" s="29">
        <f t="shared" si="0"/>
        <v>13.635384781205701</v>
      </c>
      <c r="AD9" s="29">
        <f t="shared" si="0"/>
        <v>12.917732950615926</v>
      </c>
      <c r="AE9" s="29">
        <f t="shared" si="0"/>
        <v>12.271846303085129</v>
      </c>
      <c r="AF9" s="29">
        <f t="shared" si="0"/>
        <v>11.687472669604885</v>
      </c>
      <c r="AG9" s="29">
        <f t="shared" si="0"/>
        <v>11.156223911895573</v>
      </c>
      <c r="AH9" s="29">
        <f t="shared" si="0"/>
        <v>10.671170698334896</v>
      </c>
      <c r="AI9" s="29">
        <f t="shared" si="0"/>
        <v>10.226538585904276</v>
      </c>
      <c r="AJ9" s="29">
        <f t="shared" si="0"/>
        <v>9.8174770424681039</v>
      </c>
      <c r="AK9" s="29">
        <f t="shared" si="0"/>
        <v>9.4398817716039467</v>
      </c>
      <c r="AL9" s="29">
        <f t="shared" si="0"/>
        <v>9.0902565208038002</v>
      </c>
      <c r="AM9" s="29">
        <f t="shared" si="0"/>
        <v>8.7656045022036633</v>
      </c>
      <c r="AN9" s="29">
        <f t="shared" si="0"/>
        <v>8.4633422779897458</v>
      </c>
      <c r="AO9" s="29">
        <f t="shared" si="0"/>
        <v>8.1812308687234196</v>
      </c>
    </row>
    <row r="10" spans="2:41" x14ac:dyDescent="0.25">
      <c r="B10" s="4"/>
      <c r="C10" s="6"/>
      <c r="D10" s="51" t="s">
        <v>7</v>
      </c>
      <c r="E10" s="52"/>
      <c r="F10" s="6"/>
      <c r="G10" s="5"/>
      <c r="L10" s="24" t="s">
        <v>19</v>
      </c>
      <c r="M10" s="30">
        <f>M9+M13</f>
        <v>239.90520964266824</v>
      </c>
      <c r="AA10" s="32"/>
      <c r="AB10" s="33"/>
    </row>
    <row r="11" spans="2:41" x14ac:dyDescent="0.25">
      <c r="B11" s="4"/>
      <c r="C11" s="6"/>
      <c r="D11" s="15" t="s">
        <v>9</v>
      </c>
      <c r="E11" s="16">
        <v>252</v>
      </c>
      <c r="F11" s="6"/>
      <c r="G11" s="5"/>
      <c r="AA11" s="32"/>
      <c r="AB11" s="33"/>
    </row>
    <row r="12" spans="2:41" x14ac:dyDescent="0.25">
      <c r="B12" s="4"/>
      <c r="C12" s="6"/>
      <c r="D12" s="6"/>
      <c r="E12" s="6"/>
      <c r="F12" s="6"/>
      <c r="G12" s="5"/>
      <c r="L12" s="38" t="s">
        <v>20</v>
      </c>
      <c r="M12" s="40"/>
      <c r="O12" s="38" t="str">
        <f>"Armadura Mínima (Asw/s = "&amp;TEXT(2*PI()*($P$13/20)^2/$S$13*100,"0,00")&amp;" cm²/m)"</f>
        <v>Armadura Mínima (Asw/s = 1,71 cm²/m)</v>
      </c>
      <c r="P12" s="39"/>
      <c r="Q12" s="39"/>
      <c r="R12" s="39"/>
      <c r="S12" s="39"/>
      <c r="T12" s="39"/>
      <c r="U12" s="40"/>
      <c r="AA12" s="32"/>
      <c r="AB12" s="33"/>
    </row>
    <row r="13" spans="2:41" x14ac:dyDescent="0.25">
      <c r="B13" s="4"/>
      <c r="C13" s="6"/>
      <c r="D13" s="57" t="s">
        <v>26</v>
      </c>
      <c r="E13" s="52"/>
      <c r="F13" s="6"/>
      <c r="G13" s="5"/>
      <c r="L13" s="24" t="s">
        <v>30</v>
      </c>
      <c r="M13" s="30">
        <f>0.6*M5*E7*E8</f>
        <v>119.47931134494668</v>
      </c>
      <c r="O13" s="7"/>
      <c r="P13" s="41">
        <v>5</v>
      </c>
      <c r="Q13" s="41"/>
      <c r="R13" s="18" t="s">
        <v>25</v>
      </c>
      <c r="S13" s="42">
        <v>23</v>
      </c>
      <c r="T13" s="42"/>
      <c r="U13" s="19"/>
      <c r="AA13" s="32"/>
      <c r="AB13" s="33"/>
    </row>
    <row r="14" spans="2:41" x14ac:dyDescent="0.25">
      <c r="B14" s="4"/>
      <c r="C14" s="6"/>
      <c r="D14" s="17" t="s">
        <v>29</v>
      </c>
      <c r="E14" s="35">
        <v>30</v>
      </c>
      <c r="F14" s="6"/>
      <c r="G14" s="5"/>
      <c r="L14" s="24" t="s">
        <v>31</v>
      </c>
      <c r="M14" s="30">
        <f>IF(E11&lt;=M13,M13,M13-M13*(E11-M13)/(J8-M13))</f>
        <v>100.55866288264309</v>
      </c>
      <c r="AA14" s="32"/>
      <c r="AB14" s="33"/>
    </row>
    <row r="15" spans="2:41" x14ac:dyDescent="0.25">
      <c r="B15" s="4"/>
      <c r="C15" s="6"/>
      <c r="D15" s="6"/>
      <c r="E15" s="6"/>
      <c r="F15" s="6"/>
      <c r="G15" s="5"/>
      <c r="L15" s="24" t="s">
        <v>14</v>
      </c>
      <c r="M15" s="31">
        <f>(E11-M14)/(0.9*E8*J5*(_xlfn.COT(E17*PI()/180)+_xlfn.COT(E14*PI()/180))*SIN(E17*PI()/180))*100</f>
        <v>3.642447482911332</v>
      </c>
      <c r="O15" s="38" t="str">
        <f>"Armadura Adotada (Asw/s = "&amp;TEXT(2*PI()*($P$16/20)^2/$S$16*100,"0,00")&amp;" cm²/m)"</f>
        <v>Armadura Adotada (Asw/s = 4,36 cm²/m)</v>
      </c>
      <c r="P15" s="39"/>
      <c r="Q15" s="39"/>
      <c r="R15" s="39"/>
      <c r="S15" s="39"/>
      <c r="T15" s="39"/>
      <c r="U15" s="40"/>
      <c r="AA15" s="32"/>
      <c r="AB15" s="33"/>
    </row>
    <row r="16" spans="2:41" x14ac:dyDescent="0.25">
      <c r="B16" s="4"/>
      <c r="C16" s="6"/>
      <c r="D16" s="57" t="s">
        <v>28</v>
      </c>
      <c r="E16" s="52"/>
      <c r="F16" s="6"/>
      <c r="G16" s="5"/>
      <c r="O16" s="7"/>
      <c r="P16" s="41">
        <v>5</v>
      </c>
      <c r="Q16" s="41"/>
      <c r="R16" s="18" t="s">
        <v>25</v>
      </c>
      <c r="S16" s="42">
        <v>9</v>
      </c>
      <c r="T16" s="42"/>
      <c r="U16" s="19"/>
      <c r="Y16" s="34"/>
      <c r="Z16" s="34"/>
      <c r="AA16" s="34"/>
      <c r="AB16" s="34"/>
      <c r="AC16" s="34"/>
    </row>
    <row r="17" spans="2:29" x14ac:dyDescent="0.25">
      <c r="B17" s="4"/>
      <c r="C17" s="6"/>
      <c r="D17" s="15" t="s">
        <v>27</v>
      </c>
      <c r="E17" s="35">
        <v>45</v>
      </c>
      <c r="F17" s="6"/>
      <c r="G17" s="5"/>
      <c r="Y17" s="34"/>
      <c r="Z17" s="34"/>
      <c r="AA17" s="34"/>
      <c r="AB17" s="34"/>
      <c r="AC17" s="34"/>
    </row>
    <row r="18" spans="2:29" x14ac:dyDescent="0.25">
      <c r="B18" s="4"/>
      <c r="C18" s="6"/>
      <c r="D18" s="36"/>
      <c r="E18" s="36"/>
      <c r="F18" s="6"/>
      <c r="G18" s="5"/>
      <c r="Y18" s="34"/>
      <c r="Z18" s="34"/>
      <c r="AA18" s="34"/>
      <c r="AB18" s="34"/>
      <c r="AC18" s="34"/>
    </row>
    <row r="19" spans="2:29" x14ac:dyDescent="0.25">
      <c r="B19" s="4"/>
      <c r="C19" s="6"/>
      <c r="D19" s="51" t="s">
        <v>3</v>
      </c>
      <c r="E19" s="52"/>
      <c r="F19" s="6"/>
      <c r="G19" s="5"/>
    </row>
    <row r="20" spans="2:29" x14ac:dyDescent="0.25">
      <c r="B20" s="4"/>
      <c r="C20" s="6"/>
      <c r="D20" s="7" t="s">
        <v>2</v>
      </c>
      <c r="E20" s="11">
        <v>3</v>
      </c>
      <c r="F20" s="6"/>
      <c r="G20" s="5"/>
    </row>
    <row r="21" spans="2:29" x14ac:dyDescent="0.25">
      <c r="B21" s="4"/>
      <c r="C21" s="6"/>
      <c r="D21" s="17" t="s">
        <v>10</v>
      </c>
      <c r="E21" s="11">
        <v>50</v>
      </c>
      <c r="F21" s="6"/>
      <c r="G21" s="5"/>
    </row>
    <row r="22" spans="2:29" ht="15.75" thickBot="1" x14ac:dyDescent="0.3">
      <c r="B22" s="12"/>
      <c r="C22" s="13"/>
      <c r="D22" s="13"/>
      <c r="E22" s="13"/>
      <c r="F22" s="13"/>
      <c r="G22" s="14"/>
    </row>
  </sheetData>
  <sheetProtection algorithmName="SHA-512" hashValue="DzJ3R3kUW9mtuoPHQN0qL6kBlQS5nWNXeBbKFGBJo877b0/gbLnTI4bLkJ+HmCYZjqhFBakrL3S8OOp8Om+9Ig==" saltValue="mrfXppUoO0FykDGc/U1uwg==" spinCount="100000" sheet="1" objects="1" scenarios="1" selectLockedCells="1"/>
  <mergeCells count="19">
    <mergeCell ref="D19:E19"/>
    <mergeCell ref="P13:Q13"/>
    <mergeCell ref="S13:T13"/>
    <mergeCell ref="O15:U15"/>
    <mergeCell ref="P16:Q16"/>
    <mergeCell ref="S16:T16"/>
    <mergeCell ref="D13:E13"/>
    <mergeCell ref="D16:E16"/>
    <mergeCell ref="O3:AO3"/>
    <mergeCell ref="D6:E6"/>
    <mergeCell ref="I9:J9"/>
    <mergeCell ref="D10:E10"/>
    <mergeCell ref="L12:M12"/>
    <mergeCell ref="O12:U12"/>
    <mergeCell ref="I7:J7"/>
    <mergeCell ref="L7:M7"/>
    <mergeCell ref="C3:F4"/>
    <mergeCell ref="I3:J3"/>
    <mergeCell ref="L3:M3"/>
  </mergeCells>
  <conditionalFormatting sqref="E14">
    <cfRule type="cellIs" dxfId="12" priority="3" operator="lessThan">
      <formula>30</formula>
    </cfRule>
    <cfRule type="cellIs" dxfId="11" priority="4" operator="greaterThan">
      <formula>45</formula>
    </cfRule>
  </conditionalFormatting>
  <conditionalFormatting sqref="E17">
    <cfRule type="cellIs" dxfId="10" priority="1" operator="lessThan">
      <formula>45</formula>
    </cfRule>
    <cfRule type="cellIs" dxfId="9" priority="2" operator="greaterThan">
      <formula>90</formula>
    </cfRule>
  </conditionalFormatting>
  <conditionalFormatting sqref="I9:J9">
    <cfRule type="cellIs" dxfId="8" priority="12" operator="equal">
      <formula>"Ruim!"</formula>
    </cfRule>
    <cfRule type="cellIs" dxfId="7" priority="13" operator="equal">
      <formula>"Ok!"</formula>
    </cfRule>
  </conditionalFormatting>
  <conditionalFormatting sqref="O13:U13">
    <cfRule type="expression" dxfId="6" priority="7">
      <formula>2*PI()*($P$13/20)^2/$S$13*100&lt;$M$8</formula>
    </cfRule>
    <cfRule type="expression" dxfId="5" priority="8">
      <formula>2*PI()*($P$13/20)^2/$S$13*100&gt;=$M$8</formula>
    </cfRule>
  </conditionalFormatting>
  <conditionalFormatting sqref="O16:U16">
    <cfRule type="expression" dxfId="4" priority="17">
      <formula>2*PI()*($P$16/20)^2/$S$16*100&lt;$M$15</formula>
    </cfRule>
    <cfRule type="expression" dxfId="3" priority="18">
      <formula>2*PI()*($P$16/20)^2/$S$16*100&gt;=M15</formula>
    </cfRule>
  </conditionalFormatting>
  <conditionalFormatting sqref="P5:AO9">
    <cfRule type="expression" dxfId="2" priority="14">
      <formula>P$4&gt;IF($E$11&lt;=0.67*$J$8,MIN(0.6*$E$8,30),MIN(0.3*$E$8,20))</formula>
    </cfRule>
    <cfRule type="cellIs" dxfId="1" priority="15" operator="lessThan">
      <formula>$M$15</formula>
    </cfRule>
    <cfRule type="cellIs" dxfId="0" priority="16" operator="greaterThan">
      <formula>$M$15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Modelo I</vt:lpstr>
      <vt:lpstr>Modelo II</vt:lpstr>
      <vt:lpstr>'Modelo II'!Armação</vt:lpstr>
      <vt:lpstr>Armação</vt:lpstr>
      <vt:lpstr>'Modelo II'!Duas</vt:lpstr>
      <vt:lpstr>Duas</vt:lpstr>
      <vt:lpstr>'Modelo II'!Uma</vt:lpstr>
      <vt:lpstr>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2017-09-15T19:56:45Z</dcterms:created>
  <dcterms:modified xsi:type="dcterms:W3CDTF">2024-08-28T01:21:23Z</dcterms:modified>
</cp:coreProperties>
</file>