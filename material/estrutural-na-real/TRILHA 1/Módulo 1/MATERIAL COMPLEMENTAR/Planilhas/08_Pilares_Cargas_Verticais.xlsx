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Bloqueadas/"/>
    </mc:Choice>
  </mc:AlternateContent>
  <xr:revisionPtr revIDLastSave="193" documentId="8_{A6EE4222-A09E-41AA-8431-68BB014C3DF2}" xr6:coauthVersionLast="47" xr6:coauthVersionMax="47" xr10:uidLastSave="{F024968B-983F-46DA-ACB3-9F5B0762AA4D}"/>
  <bookViews>
    <workbookView xWindow="7980" yWindow="1070" windowWidth="27710" windowHeight="18120" xr2:uid="{BD095C9E-7F6F-436A-9A47-E96EB1DF29B8}"/>
  </bookViews>
  <sheets>
    <sheet name="Planilha1" sheetId="1" r:id="rId1"/>
  </sheets>
  <definedNames>
    <definedName name="Armação">Planilha1!#REF!</definedName>
    <definedName name="Duas">Planilha1!#REF!</definedName>
    <definedName name="Uma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9" i="1" l="1"/>
  <c r="J19" i="1"/>
  <c r="M14" i="1"/>
  <c r="J14" i="1"/>
  <c r="M9" i="1"/>
  <c r="M8" i="1"/>
  <c r="M13" i="1" s="1"/>
  <c r="M7" i="1"/>
  <c r="M12" i="1" s="1"/>
  <c r="J9" i="1"/>
  <c r="J8" i="1"/>
  <c r="J13" i="1" s="1"/>
  <c r="J7" i="1"/>
  <c r="J12" i="1" s="1"/>
  <c r="J18" i="1" l="1"/>
  <c r="J17" i="1"/>
  <c r="M18" i="1"/>
  <c r="M17" i="1"/>
</calcChain>
</file>

<file path=xl/sharedStrings.xml><?xml version="1.0" encoding="utf-8"?>
<sst xmlns="http://schemas.openxmlformats.org/spreadsheetml/2006/main" count="45" uniqueCount="25">
  <si>
    <t>Dados</t>
  </si>
  <si>
    <t>Pilar Superior</t>
  </si>
  <si>
    <t>hx</t>
  </si>
  <si>
    <t>hy</t>
  </si>
  <si>
    <t>Pilar Inferior</t>
  </si>
  <si>
    <t>Viga em X</t>
  </si>
  <si>
    <t>h</t>
  </si>
  <si>
    <t>b</t>
  </si>
  <si>
    <t>Mep</t>
  </si>
  <si>
    <t>Viga em Y</t>
  </si>
  <si>
    <t>lsup</t>
  </si>
  <si>
    <t>linf</t>
  </si>
  <si>
    <t>lvig</t>
  </si>
  <si>
    <t>Momentos de Inércia</t>
  </si>
  <si>
    <t>Isup</t>
  </si>
  <si>
    <t>Iinf</t>
  </si>
  <si>
    <t>Ivig</t>
  </si>
  <si>
    <t>Rigidezes</t>
  </si>
  <si>
    <t>rsup</t>
  </si>
  <si>
    <t>rinf</t>
  </si>
  <si>
    <t>rvig</t>
  </si>
  <si>
    <t>Momentos Fletores</t>
  </si>
  <si>
    <t>Msup</t>
  </si>
  <si>
    <t>Minf</t>
  </si>
  <si>
    <t>Mvig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</si>
</sst>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&quot; cm&quot;"/>
    <numFmt numFmtId="165" formatCode="0.0&quot; kN&quot;"/>
    <numFmt numFmtId="166" formatCode="0&quot; kNcm&quot;"/>
    <numFmt numFmtId="167" formatCode="0&quot; cm4&quot;"/>
    <numFmt numFmtId="168" formatCode="0&quot; cm³&quot;"/>
    <numFmt numFmtId="169" formatCode="0\ &quot;kNcm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 applyProtection="1">
      <alignment horizontal="center" vertical="center"/>
      <protection locked="0"/>
    </xf>
    <xf numFmtId="166" fontId="2" fillId="2" borderId="13" xfId="0" applyNumberFormat="1" applyFont="1" applyFill="1" applyBorder="1" applyAlignment="1" applyProtection="1">
      <alignment horizontal="right" vertical="center"/>
      <protection locked="0"/>
    </xf>
    <xf numFmtId="164" fontId="2" fillId="2" borderId="14" xfId="0" applyNumberFormat="1" applyFont="1" applyFill="1" applyBorder="1" applyAlignment="1" applyProtection="1">
      <alignment horizontal="right" vertical="center"/>
      <protection locked="0"/>
    </xf>
    <xf numFmtId="164" fontId="2" fillId="2" borderId="13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7" fontId="0" fillId="2" borderId="14" xfId="0" applyNumberFormat="1" applyFill="1" applyBorder="1" applyAlignment="1">
      <alignment horizontal="right" vertical="center"/>
    </xf>
    <xf numFmtId="168" fontId="0" fillId="2" borderId="14" xfId="0" applyNumberFormat="1" applyFill="1" applyBorder="1" applyAlignment="1">
      <alignment horizontal="right" vertical="center"/>
    </xf>
    <xf numFmtId="169" fontId="0" fillId="2" borderId="14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7CE"/>
      <color rgb="FF9C0006"/>
      <color rgb="FFC6EFCE"/>
      <color rgb="FF006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199159</xdr:colOff>
      <xdr:row>27</xdr:row>
      <xdr:rowOff>153964</xdr:rowOff>
    </xdr:from>
    <xdr:to>
      <xdr:col>19</xdr:col>
      <xdr:colOff>593147</xdr:colOff>
      <xdr:row>29</xdr:row>
      <xdr:rowOff>58714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4A634CD-4DD3-4A4D-ADE6-48479F22D475}"/>
            </a:ext>
          </a:extLst>
        </xdr:cNvPr>
        <xdr:cNvSpPr txBox="1"/>
      </xdr:nvSpPr>
      <xdr:spPr>
        <a:xfrm>
          <a:off x="9559636" y="5332100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20190223</a:t>
          </a:r>
        </a:p>
      </xdr:txBody>
    </xdr:sp>
    <xdr:clientData/>
  </xdr:twoCellAnchor>
  <xdr:twoCellAnchor>
    <xdr:from>
      <xdr:col>14</xdr:col>
      <xdr:colOff>415636</xdr:colOff>
      <xdr:row>27</xdr:row>
      <xdr:rowOff>112569</xdr:rowOff>
    </xdr:from>
    <xdr:to>
      <xdr:col>16</xdr:col>
      <xdr:colOff>253681</xdr:colOff>
      <xdr:row>29</xdr:row>
      <xdr:rowOff>33045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194756B-33D4-4D6E-9551-E3D026E3753A}"/>
            </a:ext>
          </a:extLst>
        </xdr:cNvPr>
        <xdr:cNvGrpSpPr/>
      </xdr:nvGrpSpPr>
      <xdr:grpSpPr>
        <a:xfrm>
          <a:off x="7680036" y="5116369"/>
          <a:ext cx="1120745" cy="288776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5A5010E8-2190-50CF-4B54-C6CABFBD92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4" name="Imagem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0C702B4-FEFA-F96E-1B58-5863E44B10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2" name="Imagem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7478C7E-94B4-7063-2CFB-E0DFF2A2B3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295275</xdr:colOff>
      <xdr:row>27</xdr:row>
      <xdr:rowOff>133350</xdr:rowOff>
    </xdr:from>
    <xdr:to>
      <xdr:col>19</xdr:col>
      <xdr:colOff>568036</xdr:colOff>
      <xdr:row>29</xdr:row>
      <xdr:rowOff>79496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A513DE8-7B20-40A8-8762-CF7B5D15982D}"/>
            </a:ext>
          </a:extLst>
        </xdr:cNvPr>
        <xdr:cNvGrpSpPr/>
      </xdr:nvGrpSpPr>
      <xdr:grpSpPr>
        <a:xfrm>
          <a:off x="295275" y="5137150"/>
          <a:ext cx="10743911" cy="31444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ACF80793-88DD-5174-CC7D-1E2C308611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CA2EE8F3-D15B-DB6E-2CFA-D7D0882C89AB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3FFEB1F0-4FE5-847C-E0B4-0E75F9A671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FE6906FE-9797-9020-4582-9BC9870FA1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19B7824A-1749-E5B6-CE21-ED3E87253D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3055F2E4-9A9D-DEAF-3C61-14757CF38D4B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20240820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66F-8D75-4532-8108-4BDF306B0105}">
  <dimension ref="B1:M27"/>
  <sheetViews>
    <sheetView tabSelected="1" zoomScaleNormal="100" workbookViewId="0">
      <selection activeCell="B21" sqref="B21"/>
    </sheetView>
  </sheetViews>
  <sheetFormatPr defaultColWidth="9.1796875" defaultRowHeight="14.5" x14ac:dyDescent="0.35"/>
  <cols>
    <col min="1" max="2" width="4.54296875" style="11" customWidth="1"/>
    <col min="3" max="3" width="9.1796875" style="11"/>
    <col min="4" max="4" width="4.54296875" style="11" customWidth="1"/>
    <col min="5" max="5" width="13.7265625" style="11" customWidth="1"/>
    <col min="6" max="6" width="9.1796875" style="11"/>
    <col min="7" max="8" width="4.54296875" style="11" customWidth="1"/>
    <col min="9" max="9" width="6" style="11" customWidth="1"/>
    <col min="10" max="10" width="13.81640625" style="11" customWidth="1"/>
    <col min="11" max="11" width="4.54296875" style="11" customWidth="1"/>
    <col min="12" max="12" width="6.453125" style="11" bestFit="1" customWidth="1"/>
    <col min="13" max="13" width="13.81640625" style="11" customWidth="1"/>
    <col min="14" max="14" width="4.54296875" style="11" customWidth="1"/>
    <col min="15" max="16384" width="9.1796875" style="11"/>
  </cols>
  <sheetData>
    <row r="1" spans="2:13" ht="15" thickBot="1" x14ac:dyDescent="0.4"/>
    <row r="2" spans="2:13" ht="15" thickBot="1" x14ac:dyDescent="0.4">
      <c r="B2" s="1"/>
      <c r="C2" s="2"/>
      <c r="D2" s="2"/>
      <c r="E2" s="2"/>
      <c r="F2" s="2"/>
      <c r="G2" s="3"/>
    </row>
    <row r="3" spans="2:13" x14ac:dyDescent="0.35">
      <c r="B3" s="4"/>
      <c r="C3" s="30" t="s">
        <v>0</v>
      </c>
      <c r="D3" s="31"/>
      <c r="E3" s="31"/>
      <c r="F3" s="32"/>
      <c r="G3" s="5"/>
      <c r="I3" s="24" t="s">
        <v>5</v>
      </c>
      <c r="J3" s="25"/>
      <c r="L3" s="24" t="s">
        <v>9</v>
      </c>
      <c r="M3" s="25"/>
    </row>
    <row r="4" spans="2:13" ht="15.75" customHeight="1" thickBot="1" x14ac:dyDescent="0.4">
      <c r="B4" s="4"/>
      <c r="C4" s="33"/>
      <c r="D4" s="34"/>
      <c r="E4" s="34"/>
      <c r="F4" s="35"/>
      <c r="G4" s="5"/>
      <c r="I4" s="26"/>
      <c r="J4" s="27"/>
      <c r="L4" s="26"/>
      <c r="M4" s="27"/>
    </row>
    <row r="5" spans="2:13" x14ac:dyDescent="0.35">
      <c r="B5" s="4"/>
      <c r="C5" s="6"/>
      <c r="D5" s="6"/>
      <c r="E5" s="6"/>
      <c r="F5" s="6"/>
      <c r="G5" s="5"/>
    </row>
    <row r="6" spans="2:13" x14ac:dyDescent="0.35">
      <c r="B6" s="4"/>
      <c r="C6" s="6"/>
      <c r="D6" s="28" t="s">
        <v>1</v>
      </c>
      <c r="E6" s="29"/>
      <c r="F6" s="6"/>
      <c r="G6" s="5"/>
      <c r="I6" s="22" t="s">
        <v>13</v>
      </c>
      <c r="J6" s="23"/>
      <c r="L6" s="22" t="s">
        <v>13</v>
      </c>
      <c r="M6" s="23"/>
    </row>
    <row r="7" spans="2:13" x14ac:dyDescent="0.35">
      <c r="B7" s="4"/>
      <c r="C7" s="6"/>
      <c r="D7" s="10" t="s">
        <v>2</v>
      </c>
      <c r="E7" s="15">
        <v>20</v>
      </c>
      <c r="F7" s="6"/>
      <c r="G7" s="5"/>
      <c r="I7" s="12" t="s">
        <v>14</v>
      </c>
      <c r="J7" s="19">
        <f>E8*E7^3/12</f>
        <v>20000</v>
      </c>
      <c r="L7" s="12" t="s">
        <v>14</v>
      </c>
      <c r="M7" s="19">
        <f>E7*E8^3/12</f>
        <v>45000</v>
      </c>
    </row>
    <row r="8" spans="2:13" x14ac:dyDescent="0.35">
      <c r="B8" s="4"/>
      <c r="C8" s="6"/>
      <c r="D8" s="13" t="s">
        <v>3</v>
      </c>
      <c r="E8" s="16">
        <v>30</v>
      </c>
      <c r="F8" s="6"/>
      <c r="G8" s="5"/>
      <c r="I8" s="12" t="s">
        <v>15</v>
      </c>
      <c r="J8" s="19">
        <f>E13*E12^3/12</f>
        <v>20000</v>
      </c>
      <c r="L8" s="12" t="s">
        <v>15</v>
      </c>
      <c r="M8" s="19">
        <f>E12*E13^3/12</f>
        <v>45000</v>
      </c>
    </row>
    <row r="9" spans="2:13" x14ac:dyDescent="0.35">
      <c r="B9" s="4"/>
      <c r="C9" s="6"/>
      <c r="D9" s="13" t="s">
        <v>10</v>
      </c>
      <c r="E9" s="16">
        <v>280</v>
      </c>
      <c r="F9" s="6"/>
      <c r="G9" s="5"/>
      <c r="I9" s="12" t="s">
        <v>16</v>
      </c>
      <c r="J9" s="19">
        <f>E17*E18^3/12</f>
        <v>113906.25</v>
      </c>
      <c r="L9" s="12" t="s">
        <v>16</v>
      </c>
      <c r="M9" s="19">
        <f>E23*E24^3/12</f>
        <v>80000</v>
      </c>
    </row>
    <row r="10" spans="2:13" x14ac:dyDescent="0.35">
      <c r="B10" s="4"/>
      <c r="C10" s="6"/>
      <c r="D10" s="6"/>
      <c r="E10" s="6"/>
      <c r="F10" s="6"/>
      <c r="G10" s="5"/>
      <c r="I10" s="17"/>
      <c r="J10" s="18"/>
      <c r="L10" s="17"/>
      <c r="M10" s="18"/>
    </row>
    <row r="11" spans="2:13" x14ac:dyDescent="0.35">
      <c r="B11" s="4"/>
      <c r="C11" s="6"/>
      <c r="D11" s="28" t="s">
        <v>4</v>
      </c>
      <c r="E11" s="29"/>
      <c r="F11" s="6"/>
      <c r="G11" s="5"/>
      <c r="I11" s="22" t="s">
        <v>17</v>
      </c>
      <c r="J11" s="23"/>
      <c r="L11" s="22" t="s">
        <v>17</v>
      </c>
      <c r="M11" s="23"/>
    </row>
    <row r="12" spans="2:13" x14ac:dyDescent="0.35">
      <c r="B12" s="4"/>
      <c r="C12" s="6"/>
      <c r="D12" s="10" t="s">
        <v>2</v>
      </c>
      <c r="E12" s="15">
        <v>20</v>
      </c>
      <c r="F12" s="6"/>
      <c r="G12" s="5"/>
      <c r="I12" s="12" t="s">
        <v>18</v>
      </c>
      <c r="J12" s="20">
        <f>2*J7/E9</f>
        <v>142.85714285714286</v>
      </c>
      <c r="L12" s="12" t="s">
        <v>18</v>
      </c>
      <c r="M12" s="20">
        <f>2*M7/E9</f>
        <v>321.42857142857144</v>
      </c>
    </row>
    <row r="13" spans="2:13" x14ac:dyDescent="0.35">
      <c r="B13" s="4"/>
      <c r="C13" s="6"/>
      <c r="D13" s="13" t="s">
        <v>3</v>
      </c>
      <c r="E13" s="16">
        <v>30</v>
      </c>
      <c r="F13" s="6"/>
      <c r="G13" s="5"/>
      <c r="I13" s="12" t="s">
        <v>19</v>
      </c>
      <c r="J13" s="20">
        <f>2*J8/E14</f>
        <v>400</v>
      </c>
      <c r="L13" s="12" t="s">
        <v>19</v>
      </c>
      <c r="M13" s="20">
        <f>2*M8/E14</f>
        <v>900</v>
      </c>
    </row>
    <row r="14" spans="2:13" x14ac:dyDescent="0.35">
      <c r="B14" s="4"/>
      <c r="C14" s="6"/>
      <c r="D14" s="13" t="s">
        <v>11</v>
      </c>
      <c r="E14" s="16">
        <v>100</v>
      </c>
      <c r="F14" s="6"/>
      <c r="G14" s="5"/>
      <c r="I14" s="12" t="s">
        <v>20</v>
      </c>
      <c r="J14" s="20">
        <f>J9/E19</f>
        <v>284.765625</v>
      </c>
      <c r="L14" s="12" t="s">
        <v>20</v>
      </c>
      <c r="M14" s="20">
        <f>M9/E25</f>
        <v>200</v>
      </c>
    </row>
    <row r="15" spans="2:13" x14ac:dyDescent="0.35">
      <c r="B15" s="4"/>
      <c r="C15" s="6"/>
      <c r="D15" s="6"/>
      <c r="E15" s="6"/>
      <c r="F15" s="6"/>
      <c r="G15" s="5"/>
      <c r="I15" s="17"/>
      <c r="J15" s="17"/>
      <c r="L15" s="17"/>
      <c r="M15" s="17"/>
    </row>
    <row r="16" spans="2:13" x14ac:dyDescent="0.35">
      <c r="B16" s="4"/>
      <c r="C16" s="6"/>
      <c r="D16" s="28" t="s">
        <v>5</v>
      </c>
      <c r="E16" s="29"/>
      <c r="F16" s="6"/>
      <c r="G16" s="5"/>
      <c r="I16" s="22" t="s">
        <v>21</v>
      </c>
      <c r="J16" s="23"/>
      <c r="L16" s="22" t="s">
        <v>21</v>
      </c>
      <c r="M16" s="23"/>
    </row>
    <row r="17" spans="2:13" x14ac:dyDescent="0.35">
      <c r="B17" s="4"/>
      <c r="C17" s="6"/>
      <c r="D17" s="10" t="s">
        <v>7</v>
      </c>
      <c r="E17" s="15">
        <v>15</v>
      </c>
      <c r="F17" s="6"/>
      <c r="G17" s="5"/>
      <c r="I17" s="12" t="s">
        <v>22</v>
      </c>
      <c r="J17" s="21">
        <f>E$20*J12/(J$12+J$13+J$14)</f>
        <v>86.305711010720785</v>
      </c>
      <c r="L17" s="12" t="s">
        <v>22</v>
      </c>
      <c r="M17" s="21">
        <f>E$26*M12/(M$12+M$13+M$14)</f>
        <v>113.06532663316581</v>
      </c>
    </row>
    <row r="18" spans="2:13" x14ac:dyDescent="0.35">
      <c r="B18" s="4"/>
      <c r="C18" s="6"/>
      <c r="D18" s="13" t="s">
        <v>6</v>
      </c>
      <c r="E18" s="16">
        <v>45</v>
      </c>
      <c r="F18" s="6"/>
      <c r="G18" s="5"/>
      <c r="I18" s="12" t="s">
        <v>23</v>
      </c>
      <c r="J18" s="21">
        <f>E$20*J13/(J$12+J$13+J$14)</f>
        <v>241.6559908300182</v>
      </c>
      <c r="L18" s="12" t="s">
        <v>23</v>
      </c>
      <c r="M18" s="21">
        <f>E$26*M13/(M$12+M$13+M$14)</f>
        <v>316.5829145728643</v>
      </c>
    </row>
    <row r="19" spans="2:13" x14ac:dyDescent="0.35">
      <c r="B19" s="4"/>
      <c r="C19" s="6"/>
      <c r="D19" s="13" t="s">
        <v>12</v>
      </c>
      <c r="E19" s="16">
        <v>400</v>
      </c>
      <c r="F19" s="6"/>
      <c r="G19" s="5"/>
      <c r="I19" s="12" t="s">
        <v>24</v>
      </c>
      <c r="J19" s="21">
        <f>J17+J18</f>
        <v>327.96170184073901</v>
      </c>
      <c r="L19" s="12" t="s">
        <v>24</v>
      </c>
      <c r="M19" s="21">
        <f>M17+M18</f>
        <v>429.64824120603009</v>
      </c>
    </row>
    <row r="20" spans="2:13" x14ac:dyDescent="0.35">
      <c r="B20" s="4"/>
      <c r="C20" s="6"/>
      <c r="D20" s="13" t="s">
        <v>8</v>
      </c>
      <c r="E20" s="14">
        <v>500</v>
      </c>
      <c r="F20" s="6"/>
      <c r="G20" s="5"/>
    </row>
    <row r="21" spans="2:13" x14ac:dyDescent="0.35">
      <c r="B21" s="4"/>
      <c r="C21" s="6"/>
      <c r="D21" s="6"/>
      <c r="E21" s="6"/>
      <c r="F21" s="6"/>
      <c r="G21" s="5"/>
    </row>
    <row r="22" spans="2:13" x14ac:dyDescent="0.35">
      <c r="B22" s="4"/>
      <c r="C22" s="6"/>
      <c r="D22" s="28" t="s">
        <v>9</v>
      </c>
      <c r="E22" s="29"/>
      <c r="F22" s="6"/>
      <c r="G22" s="5"/>
    </row>
    <row r="23" spans="2:13" x14ac:dyDescent="0.35">
      <c r="B23" s="4"/>
      <c r="C23" s="6"/>
      <c r="D23" s="10" t="s">
        <v>7</v>
      </c>
      <c r="E23" s="15">
        <v>15</v>
      </c>
      <c r="F23" s="6"/>
      <c r="G23" s="5"/>
    </row>
    <row r="24" spans="2:13" x14ac:dyDescent="0.35">
      <c r="B24" s="4"/>
      <c r="C24" s="6"/>
      <c r="D24" s="13" t="s">
        <v>6</v>
      </c>
      <c r="E24" s="16">
        <v>40</v>
      </c>
      <c r="F24" s="6"/>
      <c r="G24" s="5"/>
    </row>
    <row r="25" spans="2:13" x14ac:dyDescent="0.35">
      <c r="B25" s="4"/>
      <c r="C25" s="6"/>
      <c r="D25" s="13" t="s">
        <v>12</v>
      </c>
      <c r="E25" s="16">
        <v>400</v>
      </c>
      <c r="F25" s="6"/>
      <c r="G25" s="5"/>
    </row>
    <row r="26" spans="2:13" x14ac:dyDescent="0.35">
      <c r="B26" s="4"/>
      <c r="C26" s="6"/>
      <c r="D26" s="13" t="s">
        <v>8</v>
      </c>
      <c r="E26" s="14">
        <v>500</v>
      </c>
      <c r="F26" s="6"/>
      <c r="G26" s="5"/>
    </row>
    <row r="27" spans="2:13" ht="15" thickBot="1" x14ac:dyDescent="0.4">
      <c r="B27" s="7"/>
      <c r="C27" s="8"/>
      <c r="D27" s="8"/>
      <c r="E27" s="8"/>
      <c r="F27" s="8"/>
      <c r="G27" s="9"/>
    </row>
  </sheetData>
  <sheetProtection algorithmName="SHA-512" hashValue="INpwbfEHScN+IlOkbbuv3NvJdlepn/Kc173rhciyjpkaSOk99/1z4h+dY0SfaXN8djkqJ5eBSaFLsOWYJj0UCg==" saltValue="ibeSIIGLRh8iG+2oW95tIg==" spinCount="100000" sheet="1" objects="1" scenarios="1" selectLockedCells="1"/>
  <mergeCells count="13">
    <mergeCell ref="D22:E22"/>
    <mergeCell ref="I6:J6"/>
    <mergeCell ref="I16:J16"/>
    <mergeCell ref="I3:J4"/>
    <mergeCell ref="C3:F4"/>
    <mergeCell ref="D6:E6"/>
    <mergeCell ref="D11:E11"/>
    <mergeCell ref="I11:J11"/>
    <mergeCell ref="L16:M16"/>
    <mergeCell ref="L3:M4"/>
    <mergeCell ref="L6:M6"/>
    <mergeCell ref="L11:M11"/>
    <mergeCell ref="D16:E16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2024-08-27T13:58:54Z</dcterms:modified>
</cp:coreProperties>
</file>