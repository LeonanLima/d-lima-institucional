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Introdução ao CA/Planilhas/Bloqueadas/"/>
    </mc:Choice>
  </mc:AlternateContent>
  <xr:revisionPtr revIDLastSave="163" documentId="02B3F3B6F21510ACDC4C801EF30DCF1087268978" xr6:coauthVersionLast="47" xr6:coauthVersionMax="47" xr10:uidLastSave="{DA198335-67C9-41F8-9F34-7B3D09AC4527}"/>
  <bookViews>
    <workbookView xWindow="-120" yWindow="-120" windowWidth="38640" windowHeight="15720" xr2:uid="{BD095C9E-7F6F-436A-9A47-E96EB1DF29B8}"/>
  </bookViews>
  <sheets>
    <sheet name="Planilha1" sheetId="1" r:id="rId1"/>
  </sheets>
  <definedNames>
    <definedName name="Armação">Planilha1!$AG$3:$AH$3</definedName>
    <definedName name="Duas">Planilha1!$AH$4:$AH$5</definedName>
    <definedName name="Uma">Planilha1!$AG$4:$AG$6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2" i="1" l="1"/>
  <c r="J5" i="1"/>
  <c r="P15" i="1" l="1"/>
  <c r="M12" i="1" l="1"/>
  <c r="M13" i="1"/>
  <c r="M14" i="1" l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M5" i="1" l="1"/>
  <c r="M7" i="1"/>
  <c r="M8" i="1"/>
  <c r="M9" i="1"/>
  <c r="M6" i="1"/>
  <c r="J9" i="1" l="1"/>
  <c r="J8" i="1"/>
  <c r="J4" i="1"/>
  <c r="J3" i="1"/>
  <c r="J12" i="1" l="1"/>
  <c r="J16" i="1" s="1"/>
  <c r="M15" i="1"/>
  <c r="M16" i="1" s="1"/>
  <c r="I13" i="1" l="1"/>
</calcChain>
</file>

<file path=xl/sharedStrings.xml><?xml version="1.0" encoding="utf-8"?>
<sst xmlns="http://schemas.openxmlformats.org/spreadsheetml/2006/main" count="34" uniqueCount="33">
  <si>
    <t>Geometria</t>
  </si>
  <si>
    <t>b</t>
  </si>
  <si>
    <t>h</t>
  </si>
  <si>
    <t>d</t>
  </si>
  <si>
    <t>Md</t>
  </si>
  <si>
    <t>fck</t>
  </si>
  <si>
    <t>Parâmetros</t>
  </si>
  <si>
    <t>λ</t>
  </si>
  <si>
    <t>Materiais</t>
  </si>
  <si>
    <t>fyk</t>
  </si>
  <si>
    <t>Resist. de Projeto</t>
  </si>
  <si>
    <t>fcd</t>
  </si>
  <si>
    <t>fyd</t>
  </si>
  <si>
    <t>Linha Neutra</t>
  </si>
  <si>
    <t>As</t>
  </si>
  <si>
    <t>x</t>
  </si>
  <si>
    <t>Dados</t>
  </si>
  <si>
    <t>Solicitação</t>
  </si>
  <si>
    <t>s</t>
  </si>
  <si>
    <t>As (cm²/m)</t>
  </si>
  <si>
    <t>As,mín</t>
  </si>
  <si>
    <t>Armadura calculada</t>
  </si>
  <si>
    <t>Armadura mín.</t>
  </si>
  <si>
    <t>fctk,sup</t>
  </si>
  <si>
    <t>W0</t>
  </si>
  <si>
    <t>Md,mín</t>
  </si>
  <si>
    <t>c/</t>
  </si>
  <si>
    <t>Vrd1</t>
  </si>
  <si>
    <t>Força Cortante</t>
  </si>
  <si>
    <t>Armadura</t>
  </si>
  <si>
    <t>Positiva de Lajes Unidirecional</t>
  </si>
  <si>
    <r>
      <rPr>
        <sz val="11"/>
        <color theme="1"/>
        <rFont val="Calibri"/>
        <family val="2"/>
        <scheme val="minor"/>
      </rPr>
      <t>αc</t>
    </r>
  </si>
  <si>
    <r>
      <rPr>
        <sz val="11"/>
        <color theme="1"/>
        <rFont val="Calibri"/>
        <family val="2"/>
        <scheme val="minor"/>
      </rPr>
      <t>ƞc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</si>
</sst>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&quot; cm&quot;"/>
    <numFmt numFmtId="165" formatCode="0&quot; kNcm/m&quot;"/>
    <numFmt numFmtId="166" formatCode="0.0&quot; kN/cm²&quot;"/>
    <numFmt numFmtId="167" formatCode="0.00&quot; kN/cm²&quot;"/>
    <numFmt numFmtId="168" formatCode="0.00&quot; cm&quot;"/>
    <numFmt numFmtId="169" formatCode="0.00&quot; cm²/m&quot;"/>
    <numFmt numFmtId="170" formatCode="0.000%"/>
    <numFmt numFmtId="171" formatCode="0.0"/>
    <numFmt numFmtId="172" formatCode="\Ø0.0"/>
    <numFmt numFmtId="173" formatCode="0&quot; cm&quot;"/>
    <numFmt numFmtId="174" formatCode="0.0&quot; cm³&quot;"/>
    <numFmt numFmtId="175" formatCode="0.00\ &quot;kN/m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8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4" fontId="2" fillId="2" borderId="15" xfId="0" applyNumberFormat="1" applyFont="1" applyFill="1" applyBorder="1" applyAlignment="1" applyProtection="1">
      <alignment horizontal="right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164" fontId="2" fillId="2" borderId="14" xfId="0" applyNumberFormat="1" applyFont="1" applyFill="1" applyBorder="1" applyAlignment="1" applyProtection="1">
      <alignment horizontal="right" vertical="center"/>
      <protection locked="0"/>
    </xf>
    <xf numFmtId="165" fontId="2" fillId="2" borderId="15" xfId="0" applyNumberFormat="1" applyFont="1" applyFill="1" applyBorder="1" applyAlignment="1" applyProtection="1">
      <alignment horizontal="right" vertical="center"/>
      <protection locked="0"/>
    </xf>
    <xf numFmtId="166" fontId="2" fillId="2" borderId="15" xfId="0" applyNumberFormat="1" applyFont="1" applyFill="1" applyBorder="1" applyAlignment="1" applyProtection="1">
      <alignment horizontal="right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169" fontId="2" fillId="2" borderId="1" xfId="0" applyNumberFormat="1" applyFont="1" applyFill="1" applyBorder="1" applyAlignment="1" applyProtection="1">
      <alignment vertical="center"/>
      <protection locked="0"/>
    </xf>
    <xf numFmtId="0" fontId="2" fillId="2" borderId="16" xfId="0" applyFont="1" applyFill="1" applyBorder="1" applyAlignment="1" applyProtection="1">
      <alignment vertical="center"/>
      <protection locked="0"/>
    </xf>
    <xf numFmtId="172" fontId="2" fillId="2" borderId="16" xfId="0" applyNumberFormat="1" applyFont="1" applyFill="1" applyBorder="1" applyAlignment="1" applyProtection="1">
      <alignment horizontal="right" vertical="center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173" fontId="2" fillId="2" borderId="16" xfId="0" applyNumberFormat="1" applyFont="1" applyFill="1" applyBorder="1" applyAlignment="1" applyProtection="1">
      <alignment horizontal="left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73" fontId="4" fillId="2" borderId="10" xfId="0" applyNumberFormat="1" applyFont="1" applyFill="1" applyBorder="1" applyAlignment="1">
      <alignment horizontal="center" vertical="center"/>
    </xf>
    <xf numFmtId="171" fontId="2" fillId="2" borderId="0" xfId="0" applyNumberFormat="1" applyFont="1" applyFill="1" applyAlignment="1">
      <alignment horizontal="center" vertical="center"/>
    </xf>
    <xf numFmtId="170" fontId="2" fillId="2" borderId="0" xfId="1" applyNumberFormat="1" applyFont="1" applyFill="1" applyBorder="1" applyAlignment="1" applyProtection="1">
      <alignment horizontal="center" vertical="center"/>
    </xf>
    <xf numFmtId="2" fontId="2" fillId="2" borderId="15" xfId="0" applyNumberFormat="1" applyFont="1" applyFill="1" applyBorder="1" applyAlignment="1">
      <alignment horizontal="center" vertical="center"/>
    </xf>
    <xf numFmtId="172" fontId="4" fillId="2" borderId="10" xfId="0" applyNumberFormat="1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/>
    </xf>
    <xf numFmtId="167" fontId="2" fillId="2" borderId="15" xfId="0" applyNumberFormat="1" applyFont="1" applyFill="1" applyBorder="1" applyAlignment="1">
      <alignment horizontal="right" vertical="center"/>
    </xf>
    <xf numFmtId="168" fontId="2" fillId="2" borderId="15" xfId="0" applyNumberFormat="1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9" fontId="2" fillId="2" borderId="15" xfId="0" applyNumberFormat="1" applyFont="1" applyFill="1" applyBorder="1" applyAlignment="1">
      <alignment horizontal="right" vertical="center"/>
    </xf>
    <xf numFmtId="0" fontId="2" fillId="2" borderId="0" xfId="0" applyFont="1" applyFill="1"/>
    <xf numFmtId="2" fontId="1" fillId="2" borderId="15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8" fontId="2" fillId="2" borderId="10" xfId="0" applyNumberFormat="1" applyFont="1" applyFill="1" applyBorder="1" applyAlignment="1">
      <alignment horizontal="right" vertical="center"/>
    </xf>
    <xf numFmtId="169" fontId="2" fillId="2" borderId="10" xfId="0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/>
    </xf>
    <xf numFmtId="167" fontId="2" fillId="2" borderId="10" xfId="0" applyNumberFormat="1" applyFont="1" applyFill="1" applyBorder="1" applyAlignment="1">
      <alignment horizontal="right" vertical="center"/>
    </xf>
    <xf numFmtId="174" fontId="2" fillId="2" borderId="10" xfId="0" applyNumberFormat="1" applyFont="1" applyFill="1" applyBorder="1" applyAlignment="1">
      <alignment horizontal="right" vertical="center"/>
    </xf>
    <xf numFmtId="165" fontId="2" fillId="2" borderId="10" xfId="0" applyNumberFormat="1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center" vertical="center"/>
    </xf>
    <xf numFmtId="175" fontId="2" fillId="2" borderId="16" xfId="0" applyNumberFormat="1" applyFont="1" applyFill="1" applyBorder="1" applyAlignment="1">
      <alignment horizontal="center" vertical="center"/>
    </xf>
    <xf numFmtId="175" fontId="2" fillId="2" borderId="15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gem" xfId="1" builtinId="5"/>
  </cellStyles>
  <dxfs count="7">
    <dxf>
      <font>
        <color rgb="FF9C0006"/>
      </font>
      <fill>
        <patternFill>
          <fgColor rgb="FFFFC7CE"/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FCE"/>
      <color rgb="FF006100"/>
      <color rgb="FF9C0006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professordeestruturas.com.br/" TargetMode="External"/><Relationship Id="rId3" Type="http://schemas.openxmlformats.org/officeDocument/2006/relationships/hyperlink" Target="mailto:matheuscarini@gmail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instagram.com/professordeestruturas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linktr.ee/professordeestruturas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34636</xdr:colOff>
      <xdr:row>21</xdr:row>
      <xdr:rowOff>171282</xdr:rowOff>
    </xdr:from>
    <xdr:to>
      <xdr:col>23</xdr:col>
      <xdr:colOff>238125</xdr:colOff>
      <xdr:row>23</xdr:row>
      <xdr:rowOff>76032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9A3AD97-3F5D-4712-A8D1-8801363F1295}"/>
            </a:ext>
          </a:extLst>
        </xdr:cNvPr>
        <xdr:cNvSpPr txBox="1"/>
      </xdr:nvSpPr>
      <xdr:spPr>
        <a:xfrm>
          <a:off x="9559636" y="4206418"/>
          <a:ext cx="10001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20231012</a:t>
          </a:r>
        </a:p>
      </xdr:txBody>
    </xdr:sp>
    <xdr:clientData/>
  </xdr:twoCellAnchor>
  <xdr:twoCellAnchor>
    <xdr:from>
      <xdr:col>15</xdr:col>
      <xdr:colOff>207818</xdr:colOff>
      <xdr:row>21</xdr:row>
      <xdr:rowOff>129887</xdr:rowOff>
    </xdr:from>
    <xdr:to>
      <xdr:col>18</xdr:col>
      <xdr:colOff>63182</xdr:colOff>
      <xdr:row>23</xdr:row>
      <xdr:rowOff>50363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E18F293-B2ED-4B87-9049-7F9E3DA16DFA}"/>
            </a:ext>
          </a:extLst>
        </xdr:cNvPr>
        <xdr:cNvGrpSpPr/>
      </xdr:nvGrpSpPr>
      <xdr:grpSpPr>
        <a:xfrm>
          <a:off x="7361093" y="4168487"/>
          <a:ext cx="1055514" cy="301476"/>
          <a:chOff x="7894308" y="3609975"/>
          <a:chExt cx="1050318" cy="301476"/>
        </a:xfrm>
      </xdr:grpSpPr>
      <xdr:pic>
        <xdr:nvPicPr>
          <xdr:cNvPr id="3" name="Imagem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BC2C6CCA-A182-D9F9-FD93-F8ABB983A5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94308" y="3670392"/>
            <a:ext cx="204404" cy="203388"/>
          </a:xfrm>
          <a:prstGeom prst="rect">
            <a:avLst/>
          </a:prstGeom>
        </xdr:spPr>
      </xdr:pic>
      <xdr:pic>
        <xdr:nvPicPr>
          <xdr:cNvPr id="4" name="Imagem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05947DF-181E-2975-F7A1-3C31736C2E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41014" y="3609975"/>
            <a:ext cx="303612" cy="301476"/>
          </a:xfrm>
          <a:prstGeom prst="rect">
            <a:avLst/>
          </a:prstGeom>
        </xdr:spPr>
      </xdr:pic>
      <xdr:pic>
        <xdr:nvPicPr>
          <xdr:cNvPr id="12" name="Imagem 1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27C7A774-E22D-481E-51DE-58566E311F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52348" y="3672478"/>
            <a:ext cx="228600" cy="199215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9525</xdr:colOff>
      <xdr:row>21</xdr:row>
      <xdr:rowOff>152400</xdr:rowOff>
    </xdr:from>
    <xdr:to>
      <xdr:col>23</xdr:col>
      <xdr:colOff>225136</xdr:colOff>
      <xdr:row>23</xdr:row>
      <xdr:rowOff>98546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29F03C79-659A-4FE7-BEFD-AFF82DA96865}"/>
            </a:ext>
          </a:extLst>
        </xdr:cNvPr>
        <xdr:cNvGrpSpPr/>
      </xdr:nvGrpSpPr>
      <xdr:grpSpPr>
        <a:xfrm>
          <a:off x="314325" y="4191000"/>
          <a:ext cx="10264486" cy="327146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5938B142-7357-8480-899B-6A465918C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5EA8E4B0-2CA7-666F-3AB4-387AA88124C1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11" name="Imagem 10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C1CD9FEA-9F08-FECD-6609-215C7FC520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3" name="Imagem 12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92C2A758-BDDA-8C47-B96E-939E8D768F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3BD1189D-3333-57D5-B0A9-51772DB109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98BDCD68-10C5-E13B-96A5-EDF1C13BEBCF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20231012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966F-8D75-4532-8108-4BDF306B0105}">
  <dimension ref="B1:AH23"/>
  <sheetViews>
    <sheetView tabSelected="1" zoomScaleNormal="100" workbookViewId="0">
      <selection activeCell="G11" sqref="G11"/>
    </sheetView>
  </sheetViews>
  <sheetFormatPr defaultColWidth="9.140625" defaultRowHeight="15" x14ac:dyDescent="0.25"/>
  <cols>
    <col min="1" max="2" width="4.5703125" style="23" customWidth="1"/>
    <col min="3" max="3" width="9.140625" style="23"/>
    <col min="4" max="4" width="4.5703125" style="23" customWidth="1"/>
    <col min="5" max="5" width="13.7109375" style="23" customWidth="1"/>
    <col min="6" max="6" width="9.140625" style="23"/>
    <col min="7" max="8" width="4.5703125" style="23" customWidth="1"/>
    <col min="9" max="9" width="7.140625" style="42" bestFit="1" customWidth="1"/>
    <col min="10" max="10" width="13.5703125" style="23" customWidth="1"/>
    <col min="11" max="11" width="4.5703125" style="23" customWidth="1"/>
    <col min="12" max="12" width="9.140625" style="23"/>
    <col min="13" max="28" width="6" style="23" bestFit="1" customWidth="1"/>
    <col min="29" max="32" width="9.140625" style="23"/>
    <col min="33" max="34" width="18" style="23" bestFit="1" customWidth="1"/>
    <col min="35" max="16384" width="9.140625" style="23"/>
  </cols>
  <sheetData>
    <row r="1" spans="2:34" ht="15.75" thickBot="1" x14ac:dyDescent="0.3"/>
    <row r="2" spans="2:34" ht="15.75" thickBot="1" x14ac:dyDescent="0.3">
      <c r="B2" s="1"/>
      <c r="C2" s="2"/>
      <c r="D2" s="2"/>
      <c r="E2" s="2"/>
      <c r="F2" s="2"/>
      <c r="G2" s="3"/>
      <c r="I2" s="45" t="s">
        <v>6</v>
      </c>
      <c r="J2" s="46"/>
      <c r="AG2" s="24"/>
      <c r="AH2" s="24"/>
    </row>
    <row r="3" spans="2:34" x14ac:dyDescent="0.25">
      <c r="B3" s="4"/>
      <c r="C3" s="58" t="s">
        <v>16</v>
      </c>
      <c r="D3" s="59"/>
      <c r="E3" s="59"/>
      <c r="F3" s="60"/>
      <c r="G3" s="5"/>
      <c r="I3" s="43" t="s">
        <v>7</v>
      </c>
      <c r="J3" s="27">
        <f>IF(E15&lt;=5,0.8,0.8-(E15*10-50)/400)</f>
        <v>0.8</v>
      </c>
      <c r="L3" s="49" t="s">
        <v>19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D3" s="25"/>
      <c r="AE3" s="26"/>
      <c r="AG3" s="24"/>
      <c r="AH3" s="24"/>
    </row>
    <row r="4" spans="2:34" ht="15.75" thickBot="1" x14ac:dyDescent="0.3">
      <c r="B4" s="4"/>
      <c r="C4" s="61"/>
      <c r="D4" s="62"/>
      <c r="E4" s="62"/>
      <c r="F4" s="63"/>
      <c r="G4" s="5"/>
      <c r="I4" s="38" t="s">
        <v>31</v>
      </c>
      <c r="J4" s="32">
        <f>IF(E15&lt;=5,0.85,0.85*(1-(E15*10-50)/200))</f>
        <v>0.85</v>
      </c>
      <c r="L4" s="28" t="s">
        <v>18</v>
      </c>
      <c r="M4" s="29">
        <v>10</v>
      </c>
      <c r="N4" s="29">
        <v>11</v>
      </c>
      <c r="O4" s="29">
        <v>12</v>
      </c>
      <c r="P4" s="29">
        <v>13</v>
      </c>
      <c r="Q4" s="29">
        <v>14</v>
      </c>
      <c r="R4" s="29">
        <v>15</v>
      </c>
      <c r="S4" s="29">
        <v>16</v>
      </c>
      <c r="T4" s="29">
        <v>17</v>
      </c>
      <c r="U4" s="29">
        <v>18</v>
      </c>
      <c r="V4" s="29">
        <v>19</v>
      </c>
      <c r="W4" s="29">
        <v>20</v>
      </c>
      <c r="X4" s="29">
        <v>21</v>
      </c>
      <c r="Y4" s="29">
        <v>22</v>
      </c>
      <c r="Z4" s="29">
        <v>23</v>
      </c>
      <c r="AA4" s="29">
        <v>24</v>
      </c>
      <c r="AB4" s="29">
        <v>25</v>
      </c>
      <c r="AD4" s="30"/>
      <c r="AE4" s="31"/>
      <c r="AG4" s="24"/>
      <c r="AH4" s="24"/>
    </row>
    <row r="5" spans="2:34" x14ac:dyDescent="0.25">
      <c r="B5" s="4"/>
      <c r="C5" s="6"/>
      <c r="D5" s="6"/>
      <c r="E5" s="6"/>
      <c r="F5" s="6"/>
      <c r="G5" s="5"/>
      <c r="I5" s="38" t="s">
        <v>32</v>
      </c>
      <c r="J5" s="41">
        <f>IF(E15&lt;=4,1,(4/E15)^(1/3))</f>
        <v>1</v>
      </c>
      <c r="L5" s="33">
        <v>4.2</v>
      </c>
      <c r="M5" s="34">
        <f t="shared" ref="M5:AB9" si="0">100/M$4*PI()*($L5/20)^2</f>
        <v>1.385442360233099</v>
      </c>
      <c r="N5" s="34">
        <f t="shared" si="0"/>
        <v>1.2594930547573628</v>
      </c>
      <c r="O5" s="34">
        <f t="shared" si="0"/>
        <v>1.1545353001942493</v>
      </c>
      <c r="P5" s="34">
        <f t="shared" si="0"/>
        <v>1.0657248924869993</v>
      </c>
      <c r="Q5" s="34">
        <f t="shared" si="0"/>
        <v>0.98960168588078501</v>
      </c>
      <c r="R5" s="34">
        <f t="shared" si="0"/>
        <v>0.92362824015539935</v>
      </c>
      <c r="S5" s="34">
        <f t="shared" si="0"/>
        <v>0.86590147514568694</v>
      </c>
      <c r="T5" s="34">
        <f t="shared" si="0"/>
        <v>0.81496609425476418</v>
      </c>
      <c r="U5" s="34">
        <f t="shared" si="0"/>
        <v>0.7696902001294994</v>
      </c>
      <c r="V5" s="34">
        <f t="shared" si="0"/>
        <v>0.72918018959636788</v>
      </c>
      <c r="W5" s="34">
        <f t="shared" si="0"/>
        <v>0.69272118011654948</v>
      </c>
      <c r="X5" s="34">
        <f t="shared" si="0"/>
        <v>0.65973445725385671</v>
      </c>
      <c r="Y5" s="34">
        <f t="shared" si="0"/>
        <v>0.62974652737868142</v>
      </c>
      <c r="Z5" s="34">
        <f t="shared" si="0"/>
        <v>0.60236624357960822</v>
      </c>
      <c r="AA5" s="34">
        <f t="shared" si="0"/>
        <v>0.57726765009712466</v>
      </c>
      <c r="AB5" s="34">
        <f t="shared" si="0"/>
        <v>0.55417694409323959</v>
      </c>
      <c r="AD5" s="30"/>
      <c r="AE5" s="31"/>
      <c r="AG5" s="24"/>
      <c r="AH5" s="24"/>
    </row>
    <row r="6" spans="2:34" x14ac:dyDescent="0.25">
      <c r="B6" s="4"/>
      <c r="C6" s="6"/>
      <c r="D6" s="66" t="s">
        <v>0</v>
      </c>
      <c r="E6" s="67"/>
      <c r="F6" s="6"/>
      <c r="G6" s="5"/>
      <c r="L6" s="33">
        <v>5</v>
      </c>
      <c r="M6" s="34">
        <f t="shared" si="0"/>
        <v>1.9634954084936207</v>
      </c>
      <c r="N6" s="34">
        <f t="shared" si="0"/>
        <v>1.7849958259032916</v>
      </c>
      <c r="O6" s="34">
        <f t="shared" si="0"/>
        <v>1.6362461737446841</v>
      </c>
      <c r="P6" s="34">
        <f t="shared" si="0"/>
        <v>1.5103810834566314</v>
      </c>
      <c r="Q6" s="34">
        <f t="shared" si="0"/>
        <v>1.4024967203525862</v>
      </c>
      <c r="R6" s="34">
        <f t="shared" si="0"/>
        <v>1.3089969389957472</v>
      </c>
      <c r="S6" s="34">
        <f t="shared" si="0"/>
        <v>1.227184630308513</v>
      </c>
      <c r="T6" s="34">
        <f t="shared" si="0"/>
        <v>1.1549972991138946</v>
      </c>
      <c r="U6" s="34">
        <f t="shared" si="0"/>
        <v>1.0908307824964558</v>
      </c>
      <c r="V6" s="34">
        <f t="shared" si="0"/>
        <v>1.0334186360492741</v>
      </c>
      <c r="W6" s="34">
        <f t="shared" si="0"/>
        <v>0.98174770424681035</v>
      </c>
      <c r="X6" s="34">
        <f t="shared" si="0"/>
        <v>0.93499781356839085</v>
      </c>
      <c r="Y6" s="34">
        <f t="shared" si="0"/>
        <v>0.89249791295164582</v>
      </c>
      <c r="Z6" s="34">
        <f t="shared" si="0"/>
        <v>0.85369365586679158</v>
      </c>
      <c r="AA6" s="34">
        <f t="shared" si="0"/>
        <v>0.81812308687234203</v>
      </c>
      <c r="AB6" s="34">
        <f t="shared" si="0"/>
        <v>0.78539816339744828</v>
      </c>
      <c r="AD6" s="30"/>
      <c r="AE6" s="31"/>
      <c r="AG6" s="24"/>
      <c r="AH6" s="24"/>
    </row>
    <row r="7" spans="2:34" x14ac:dyDescent="0.25">
      <c r="B7" s="4"/>
      <c r="C7" s="6"/>
      <c r="D7" s="7" t="s">
        <v>1</v>
      </c>
      <c r="E7" s="8">
        <v>100</v>
      </c>
      <c r="F7" s="6"/>
      <c r="G7" s="5"/>
      <c r="I7" s="45" t="s">
        <v>10</v>
      </c>
      <c r="J7" s="46"/>
      <c r="L7" s="33">
        <v>6.3</v>
      </c>
      <c r="M7" s="34">
        <f t="shared" si="0"/>
        <v>3.1172453105244724</v>
      </c>
      <c r="N7" s="34">
        <f t="shared" si="0"/>
        <v>2.8338593732040662</v>
      </c>
      <c r="O7" s="34">
        <f t="shared" si="0"/>
        <v>2.5977044254370605</v>
      </c>
      <c r="P7" s="34">
        <f t="shared" si="0"/>
        <v>2.397881008095748</v>
      </c>
      <c r="Q7" s="34">
        <f t="shared" si="0"/>
        <v>2.2266037932317659</v>
      </c>
      <c r="R7" s="34">
        <f t="shared" si="0"/>
        <v>2.0781635403496486</v>
      </c>
      <c r="S7" s="34">
        <f t="shared" si="0"/>
        <v>1.9482783190777955</v>
      </c>
      <c r="T7" s="34">
        <f t="shared" si="0"/>
        <v>1.8336737120732192</v>
      </c>
      <c r="U7" s="34">
        <f t="shared" si="0"/>
        <v>1.7318029502913734</v>
      </c>
      <c r="V7" s="34">
        <f t="shared" si="0"/>
        <v>1.6406554265918276</v>
      </c>
      <c r="W7" s="34">
        <f t="shared" si="0"/>
        <v>1.5586226552622362</v>
      </c>
      <c r="X7" s="34">
        <f t="shared" si="0"/>
        <v>1.4844025288211775</v>
      </c>
      <c r="Y7" s="34">
        <f t="shared" si="0"/>
        <v>1.4169296866020331</v>
      </c>
      <c r="Z7" s="34">
        <f t="shared" si="0"/>
        <v>1.3553240480541184</v>
      </c>
      <c r="AA7" s="34">
        <f t="shared" si="0"/>
        <v>1.2988522127185302</v>
      </c>
      <c r="AB7" s="34">
        <f t="shared" si="0"/>
        <v>1.246898124209789</v>
      </c>
      <c r="AD7" s="30"/>
      <c r="AE7" s="31"/>
      <c r="AG7" s="24"/>
      <c r="AH7" s="24"/>
    </row>
    <row r="8" spans="2:34" x14ac:dyDescent="0.25">
      <c r="B8" s="4"/>
      <c r="C8" s="6"/>
      <c r="D8" s="7" t="s">
        <v>2</v>
      </c>
      <c r="E8" s="8">
        <v>10</v>
      </c>
      <c r="F8" s="6"/>
      <c r="G8" s="5"/>
      <c r="I8" s="38" t="s">
        <v>11</v>
      </c>
      <c r="J8" s="35">
        <f>E15/1.4</f>
        <v>2.1428571428571428</v>
      </c>
      <c r="L8" s="33">
        <v>8</v>
      </c>
      <c r="M8" s="34">
        <f t="shared" si="0"/>
        <v>5.0265482457436699</v>
      </c>
      <c r="N8" s="34">
        <f t="shared" si="0"/>
        <v>4.5695893143124273</v>
      </c>
      <c r="O8" s="34">
        <f t="shared" si="0"/>
        <v>4.1887902047863923</v>
      </c>
      <c r="P8" s="34">
        <f t="shared" si="0"/>
        <v>3.8665755736489769</v>
      </c>
      <c r="Q8" s="34">
        <f t="shared" si="0"/>
        <v>3.5903916041026216</v>
      </c>
      <c r="R8" s="34">
        <f t="shared" si="0"/>
        <v>3.3510321638291134</v>
      </c>
      <c r="S8" s="34">
        <f t="shared" si="0"/>
        <v>3.141592653589794</v>
      </c>
      <c r="T8" s="34">
        <f t="shared" si="0"/>
        <v>2.9567930857315705</v>
      </c>
      <c r="U8" s="34">
        <f t="shared" si="0"/>
        <v>2.7925268031909276</v>
      </c>
      <c r="V8" s="34">
        <f t="shared" si="0"/>
        <v>2.6455517082861424</v>
      </c>
      <c r="W8" s="34">
        <f t="shared" si="0"/>
        <v>2.5132741228718349</v>
      </c>
      <c r="X8" s="34">
        <f t="shared" si="0"/>
        <v>2.3935944027350811</v>
      </c>
      <c r="Y8" s="34">
        <f t="shared" si="0"/>
        <v>2.2847946571562137</v>
      </c>
      <c r="Z8" s="34">
        <f t="shared" si="0"/>
        <v>2.1854557590189869</v>
      </c>
      <c r="AA8" s="34">
        <f t="shared" si="0"/>
        <v>2.0943951023931962</v>
      </c>
      <c r="AB8" s="34">
        <f t="shared" si="0"/>
        <v>2.0106192982974678</v>
      </c>
      <c r="AD8" s="30"/>
      <c r="AE8" s="31"/>
    </row>
    <row r="9" spans="2:34" x14ac:dyDescent="0.25">
      <c r="B9" s="4"/>
      <c r="C9" s="6"/>
      <c r="D9" s="9" t="s">
        <v>3</v>
      </c>
      <c r="E9" s="10">
        <v>7.5</v>
      </c>
      <c r="F9" s="6"/>
      <c r="G9" s="5"/>
      <c r="I9" s="38" t="s">
        <v>12</v>
      </c>
      <c r="J9" s="35">
        <f>E16/1.15</f>
        <v>43.478260869565219</v>
      </c>
      <c r="L9" s="33">
        <v>10</v>
      </c>
      <c r="M9" s="34">
        <f t="shared" si="0"/>
        <v>7.8539816339744828</v>
      </c>
      <c r="N9" s="34">
        <f t="shared" si="0"/>
        <v>7.1399833036131666</v>
      </c>
      <c r="O9" s="34">
        <f t="shared" si="0"/>
        <v>6.5449846949787363</v>
      </c>
      <c r="P9" s="34">
        <f t="shared" si="0"/>
        <v>6.0415243338265254</v>
      </c>
      <c r="Q9" s="34">
        <f t="shared" si="0"/>
        <v>5.6099868814103448</v>
      </c>
      <c r="R9" s="34">
        <f t="shared" si="0"/>
        <v>5.2359877559829888</v>
      </c>
      <c r="S9" s="34">
        <f t="shared" si="0"/>
        <v>4.908738521234052</v>
      </c>
      <c r="T9" s="34">
        <f t="shared" si="0"/>
        <v>4.6199891964555784</v>
      </c>
      <c r="U9" s="34">
        <f t="shared" si="0"/>
        <v>4.3633231299858233</v>
      </c>
      <c r="V9" s="34">
        <f t="shared" si="0"/>
        <v>4.1336745441970963</v>
      </c>
      <c r="W9" s="34">
        <f t="shared" si="0"/>
        <v>3.9269908169872414</v>
      </c>
      <c r="X9" s="34">
        <f t="shared" si="0"/>
        <v>3.7399912542735634</v>
      </c>
      <c r="Y9" s="34">
        <f t="shared" si="0"/>
        <v>3.5699916518065833</v>
      </c>
      <c r="Z9" s="34">
        <f t="shared" si="0"/>
        <v>3.4147746234671663</v>
      </c>
      <c r="AA9" s="34">
        <f t="shared" si="0"/>
        <v>3.2724923474893681</v>
      </c>
      <c r="AB9" s="34">
        <f t="shared" si="0"/>
        <v>3.1415926535897931</v>
      </c>
      <c r="AD9" s="30"/>
      <c r="AE9" s="31"/>
    </row>
    <row r="10" spans="2:34" x14ac:dyDescent="0.25">
      <c r="B10" s="4"/>
      <c r="C10" s="6"/>
      <c r="D10" s="6"/>
      <c r="E10" s="6"/>
      <c r="F10" s="6"/>
      <c r="G10" s="5"/>
      <c r="AD10" s="30"/>
      <c r="AE10" s="31"/>
    </row>
    <row r="11" spans="2:34" x14ac:dyDescent="0.25">
      <c r="B11" s="4"/>
      <c r="C11" s="6"/>
      <c r="D11" s="68" t="s">
        <v>17</v>
      </c>
      <c r="E11" s="69"/>
      <c r="F11" s="6"/>
      <c r="G11" s="5"/>
      <c r="I11" s="45" t="s">
        <v>13</v>
      </c>
      <c r="J11" s="46"/>
      <c r="L11" s="49" t="s">
        <v>22</v>
      </c>
      <c r="M11" s="49"/>
      <c r="N11" s="49"/>
      <c r="P11" s="45" t="s">
        <v>28</v>
      </c>
      <c r="Q11" s="53"/>
      <c r="R11" s="46"/>
      <c r="AD11" s="30"/>
      <c r="AE11" s="31"/>
    </row>
    <row r="12" spans="2:34" x14ac:dyDescent="0.25">
      <c r="B12" s="4"/>
      <c r="C12" s="6"/>
      <c r="D12" s="7" t="s">
        <v>4</v>
      </c>
      <c r="E12" s="11">
        <v>385</v>
      </c>
      <c r="F12" s="6"/>
      <c r="G12" s="5"/>
      <c r="I12" s="38" t="s">
        <v>15</v>
      </c>
      <c r="J12" s="36">
        <f>E9/J3*(1-(1-2*E12/(J4*J5*J8*E7*E9^2))^0.5)</f>
        <v>0.35916765666434702</v>
      </c>
      <c r="L12" s="37" t="s">
        <v>23</v>
      </c>
      <c r="M12" s="50">
        <f>1.3*0.3*(E15*10)^(2/3)/10</f>
        <v>0.37654085999619558</v>
      </c>
      <c r="N12" s="50"/>
      <c r="P12" s="38" t="s">
        <v>27</v>
      </c>
      <c r="Q12" s="54">
        <f>0.25*(0.7*0.3*(E15*10)^(2/3)/10)/1.4*MAX(1,1.6-E9/100)*(1.2+40*MIN((PI()*(R16/20)^2/T16*100)/(E7*E9),0.02))*E7*E9</f>
        <v>51.047685346627702</v>
      </c>
      <c r="R12" s="55"/>
      <c r="AD12" s="30"/>
      <c r="AE12" s="31"/>
    </row>
    <row r="13" spans="2:34" x14ac:dyDescent="0.25">
      <c r="B13" s="4"/>
      <c r="C13" s="6"/>
      <c r="D13" s="6"/>
      <c r="E13" s="6"/>
      <c r="F13" s="6"/>
      <c r="G13" s="5"/>
      <c r="I13" s="64" t="str">
        <f>IF(E15&lt;=5,IF(J12/E9&lt;0.45,"x/d Ok!","x/d está mal"),IF(J12/E9&lt;0.35,"x/d Ok!","x/d está mal"))</f>
        <v>x/d Ok!</v>
      </c>
      <c r="J13" s="65"/>
      <c r="L13" s="37" t="s">
        <v>24</v>
      </c>
      <c r="M13" s="51">
        <f>E7*E8^2/6</f>
        <v>1666.6666666666667</v>
      </c>
      <c r="N13" s="51"/>
      <c r="AD13" s="30"/>
      <c r="AE13" s="31"/>
    </row>
    <row r="14" spans="2:34" x14ac:dyDescent="0.25">
      <c r="B14" s="4"/>
      <c r="C14" s="6"/>
      <c r="D14" s="68" t="s">
        <v>8</v>
      </c>
      <c r="E14" s="69"/>
      <c r="F14" s="6"/>
      <c r="G14" s="5"/>
      <c r="L14" s="37" t="s">
        <v>25</v>
      </c>
      <c r="M14" s="52">
        <f>0.8*M13*M12</f>
        <v>502.05447999492748</v>
      </c>
      <c r="N14" s="52"/>
      <c r="AD14" s="30"/>
      <c r="AE14" s="31"/>
    </row>
    <row r="15" spans="2:34" x14ac:dyDescent="0.25">
      <c r="B15" s="4"/>
      <c r="C15" s="6"/>
      <c r="D15" s="7" t="s">
        <v>5</v>
      </c>
      <c r="E15" s="12">
        <v>3</v>
      </c>
      <c r="F15" s="6"/>
      <c r="G15" s="5"/>
      <c r="I15" s="45" t="s">
        <v>21</v>
      </c>
      <c r="J15" s="46"/>
      <c r="L15" s="37" t="s">
        <v>15</v>
      </c>
      <c r="M15" s="47">
        <f>E9/J3*(1-(1-2*M14/(J4*J5*J8*E7*E9^2))^0.5)</f>
        <v>0.47123982824304361</v>
      </c>
      <c r="N15" s="47"/>
      <c r="P15" s="45" t="str">
        <f>"Armadura Adotada (As = "&amp;TEXT(PI()*(R16/20)^2/T16*100,"0,00")&amp;" cm²/m)"</f>
        <v>Armadura Adotada (As = 0,61 cm²/m)</v>
      </c>
      <c r="Q15" s="53"/>
      <c r="R15" s="53"/>
      <c r="S15" s="53"/>
      <c r="T15" s="53"/>
      <c r="U15" s="46"/>
      <c r="AD15" s="30"/>
      <c r="AE15" s="31"/>
    </row>
    <row r="16" spans="2:34" x14ac:dyDescent="0.25">
      <c r="B16" s="4"/>
      <c r="C16" s="6"/>
      <c r="D16" s="13" t="s">
        <v>9</v>
      </c>
      <c r="E16" s="12">
        <v>50</v>
      </c>
      <c r="F16" s="6"/>
      <c r="G16" s="5"/>
      <c r="I16" s="38" t="s">
        <v>14</v>
      </c>
      <c r="J16" s="39">
        <f>J4*J5*J3*J8*E7*J12/J9</f>
        <v>1.2037247464779401</v>
      </c>
      <c r="L16" s="37" t="s">
        <v>20</v>
      </c>
      <c r="M16" s="48">
        <f>IF(D19="Positiva de Laje Bidirecional",0.67,1)*MAX(J4*J3*J5*J8*E7*M15/J9,0.15/100*E7*E8)</f>
        <v>1.5793266243688291</v>
      </c>
      <c r="N16" s="48"/>
      <c r="P16" s="17"/>
      <c r="Q16" s="18"/>
      <c r="R16" s="19">
        <v>5</v>
      </c>
      <c r="S16" s="20" t="s">
        <v>26</v>
      </c>
      <c r="T16" s="21">
        <v>32</v>
      </c>
      <c r="U16" s="22"/>
      <c r="AD16" s="30"/>
      <c r="AE16" s="31"/>
    </row>
    <row r="17" spans="2:32" x14ac:dyDescent="0.25">
      <c r="B17" s="4"/>
      <c r="C17" s="6"/>
      <c r="D17" s="6"/>
      <c r="E17" s="6"/>
      <c r="F17" s="6"/>
      <c r="G17" s="5"/>
      <c r="I17" s="44"/>
      <c r="J17" s="40"/>
      <c r="K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2:32" x14ac:dyDescent="0.25">
      <c r="B18" s="4"/>
      <c r="C18" s="6"/>
      <c r="D18" s="56" t="s">
        <v>29</v>
      </c>
      <c r="E18" s="56"/>
      <c r="F18" s="6"/>
      <c r="G18" s="5"/>
      <c r="K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2:32" x14ac:dyDescent="0.25">
      <c r="B19" s="4"/>
      <c r="C19" s="6"/>
      <c r="D19" s="57" t="s">
        <v>30</v>
      </c>
      <c r="E19" s="57"/>
      <c r="F19" s="6"/>
      <c r="G19" s="5"/>
      <c r="K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spans="2:32" x14ac:dyDescent="0.25">
      <c r="B20" s="4"/>
      <c r="C20" s="6"/>
      <c r="D20" s="57"/>
      <c r="E20" s="57"/>
      <c r="F20" s="6"/>
      <c r="G20" s="5"/>
      <c r="K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2:32" ht="15.75" thickBot="1" x14ac:dyDescent="0.3">
      <c r="B21" s="14"/>
      <c r="C21" s="15"/>
      <c r="D21" s="15"/>
      <c r="E21" s="15"/>
      <c r="F21" s="15"/>
      <c r="G21" s="16"/>
      <c r="I21" s="44"/>
      <c r="J21" s="40"/>
      <c r="K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2:32" x14ac:dyDescent="0.25">
      <c r="D22" s="24"/>
      <c r="E22" s="24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spans="2:32" x14ac:dyDescent="0.25">
      <c r="D23" s="24"/>
      <c r="E23" s="24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</sheetData>
  <sheetProtection algorithmName="SHA-512" hashValue="RrVgEfsBA+PyopAz/3W2mObq1XobF4KXz5Nt41xsSSNOmI37Pu98pERsnyROLCHKuhLozB5Acu072Q1CBT6Vng==" saltValue="kQZf0CYi2Ad6/TP/m32VFw==" spinCount="100000" sheet="1" objects="1" scenarios="1" selectLockedCells="1"/>
  <mergeCells count="21">
    <mergeCell ref="D18:E18"/>
    <mergeCell ref="D19:E20"/>
    <mergeCell ref="I15:J15"/>
    <mergeCell ref="C3:F4"/>
    <mergeCell ref="I13:J13"/>
    <mergeCell ref="D6:E6"/>
    <mergeCell ref="D11:E11"/>
    <mergeCell ref="D14:E14"/>
    <mergeCell ref="I2:J2"/>
    <mergeCell ref="I7:J7"/>
    <mergeCell ref="I11:J11"/>
    <mergeCell ref="M15:N15"/>
    <mergeCell ref="M16:N16"/>
    <mergeCell ref="L3:AB3"/>
    <mergeCell ref="L11:N11"/>
    <mergeCell ref="M12:N12"/>
    <mergeCell ref="M13:N13"/>
    <mergeCell ref="M14:N14"/>
    <mergeCell ref="P15:U15"/>
    <mergeCell ref="P11:R11"/>
    <mergeCell ref="Q12:R12"/>
  </mergeCells>
  <conditionalFormatting sqref="I13:J13">
    <cfRule type="cellIs" dxfId="6" priority="7" operator="equal">
      <formula>"x/d está mal"</formula>
    </cfRule>
    <cfRule type="cellIs" dxfId="5" priority="8" operator="equal">
      <formula>"x/d Ok!"</formula>
    </cfRule>
  </conditionalFormatting>
  <conditionalFormatting sqref="M5:AB9">
    <cfRule type="expression" dxfId="4" priority="3">
      <formula>M$4&gt;2*$E$8</formula>
    </cfRule>
    <cfRule type="cellIs" dxfId="3" priority="5" operator="lessThan">
      <formula>MAX($J$16,$M$16)</formula>
    </cfRule>
    <cfRule type="cellIs" dxfId="2" priority="6" operator="greaterThan">
      <formula>MAX($J$16,$P$16)</formula>
    </cfRule>
  </conditionalFormatting>
  <conditionalFormatting sqref="P16:U16">
    <cfRule type="expression" dxfId="1" priority="1">
      <formula>PI()*($R$16/20)^2/$T$16*100&gt;=MAX($J$16,$M$16)</formula>
    </cfRule>
    <cfRule type="expression" dxfId="0" priority="2">
      <formula>PI()*($R$16/20)^2/$T$16*100&lt;MAX($J$16,$M$16)</formula>
    </cfRule>
  </conditionalFormatting>
  <dataValidations count="3">
    <dataValidation type="list" allowBlank="1" showInputMessage="1" showErrorMessage="1" sqref="E23" xr:uid="{918795BE-03A5-4593-BBA6-2F4CCFC6395F}">
      <formula1>Armação</formula1>
    </dataValidation>
    <dataValidation type="list" allowBlank="1" showInputMessage="1" showErrorMessage="1" sqref="E24" xr:uid="{026BFFCD-F4ED-47BC-B53D-492DF8668BF3}">
      <formula1>INDIRECT(E23)</formula1>
    </dataValidation>
    <dataValidation type="list" allowBlank="1" showInputMessage="1" showErrorMessage="1" sqref="D19:E20" xr:uid="{459A759E-AA3A-4698-9156-5830D359BB65}">
      <formula1>"Negativa,Positiva de Laje Bidirecional, Positiva de Lajes Unidirecional"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Planilha1</vt:lpstr>
      <vt:lpstr>Armação</vt:lpstr>
      <vt:lpstr>Duas</vt:lpstr>
      <vt:lpstr>Uma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2017-09-15T19:56:45Z</dcterms:created>
  <dcterms:modified xsi:type="dcterms:W3CDTF">2024-08-20T20:25:54Z</dcterms:modified>
</cp:coreProperties>
</file>