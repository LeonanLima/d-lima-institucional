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Introdução ao CA/X Projeto/Planilhas/"/>
    </mc:Choice>
  </mc:AlternateContent>
  <xr:revisionPtr revIDLastSave="885" documentId="8_{370A1009-A128-4E73-A342-DD6DF53D1BF7}" xr6:coauthVersionLast="47" xr6:coauthVersionMax="47" xr10:uidLastSave="{F0E87E9E-0E46-4B62-8B69-E3219A1E24FF}"/>
  <bookViews>
    <workbookView xWindow="7600" yWindow="720" windowWidth="28740" windowHeight="17510" activeTab="7" xr2:uid="{0BAF9300-8B27-419C-B910-5A2D7AEE0ED9}"/>
  </bookViews>
  <sheets>
    <sheet name="L1" sheetId="1" r:id="rId1"/>
    <sheet name="L2" sheetId="3" r:id="rId2"/>
    <sheet name="L3" sheetId="4" r:id="rId3"/>
    <sheet name="L4" sheetId="5" r:id="rId4"/>
    <sheet name="L5" sheetId="6" r:id="rId5"/>
    <sheet name="L6" sheetId="7" r:id="rId6"/>
    <sheet name="L7" sheetId="8" r:id="rId7"/>
    <sheet name="L8" sheetId="9" r:id="rId8"/>
    <sheet name="L9" sheetId="10" r:id="rId9"/>
    <sheet name="L10" sheetId="11" r:id="rId10"/>
    <sheet name="L11" sheetId="12" r:id="rId11"/>
    <sheet name="L12" sheetId="13" r:id="rId12"/>
    <sheet name="L13" sheetId="14" r:id="rId13"/>
    <sheet name="L14" sheetId="15" r:id="rId14"/>
    <sheet name="L15" sheetId="16" r:id="rId15"/>
    <sheet name="L16" sheetId="17" r:id="rId16"/>
    <sheet name="L17" sheetId="18" r:id="rId17"/>
    <sheet name="L18" sheetId="19" r:id="rId18"/>
    <sheet name="L19" sheetId="20" r:id="rId19"/>
    <sheet name="L20" sheetId="21" r:id="rId20"/>
    <sheet name="Resumo" sheetId="2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7" i="21" l="1"/>
  <c r="AJ36" i="21"/>
  <c r="AD36" i="21"/>
  <c r="AJ35" i="21"/>
  <c r="AE34" i="21"/>
  <c r="AE35" i="21" s="1"/>
  <c r="AI33" i="21"/>
  <c r="AI32" i="21"/>
  <c r="AI30" i="21"/>
  <c r="AI36" i="21" s="1"/>
  <c r="AI29" i="21"/>
  <c r="AI35" i="21" s="1"/>
  <c r="AD28" i="21"/>
  <c r="AJ27" i="21"/>
  <c r="AJ26" i="21"/>
  <c r="AD26" i="21"/>
  <c r="AD29" i="21" s="1"/>
  <c r="AD25" i="21"/>
  <c r="AT24" i="21"/>
  <c r="AT25" i="21" s="1"/>
  <c r="AT29" i="21" s="1"/>
  <c r="AT30" i="21" s="1"/>
  <c r="AS24" i="21"/>
  <c r="AS32" i="21" s="1"/>
  <c r="AS33" i="21" s="1"/>
  <c r="AS23" i="21"/>
  <c r="AI23" i="21"/>
  <c r="AI24" i="21" s="1"/>
  <c r="AJ19" i="21"/>
  <c r="AJ20" i="21" s="1"/>
  <c r="AE19" i="21"/>
  <c r="AE20" i="21" s="1"/>
  <c r="AE23" i="21" s="1"/>
  <c r="AY16" i="21"/>
  <c r="AG16" i="21"/>
  <c r="AD16" i="21"/>
  <c r="E16" i="21"/>
  <c r="AF29" i="21" s="1"/>
  <c r="AY15" i="21"/>
  <c r="BA12" i="21" s="1"/>
  <c r="AL15" i="21"/>
  <c r="AG15" i="21"/>
  <c r="AE15" i="21"/>
  <c r="AD15" i="21"/>
  <c r="BE14" i="21"/>
  <c r="AL14" i="21"/>
  <c r="AJ14" i="21"/>
  <c r="AG14" i="21"/>
  <c r="AE14" i="21"/>
  <c r="AD14" i="21"/>
  <c r="BE13" i="21"/>
  <c r="AJ13" i="21"/>
  <c r="AE13" i="21"/>
  <c r="AD13" i="21"/>
  <c r="AY12" i="21"/>
  <c r="E12" i="21"/>
  <c r="AT11" i="21"/>
  <c r="E11" i="21"/>
  <c r="BE9" i="21"/>
  <c r="BE10" i="21" s="1"/>
  <c r="E8" i="21"/>
  <c r="E7" i="21"/>
  <c r="N6" i="21"/>
  <c r="N7" i="21" s="1"/>
  <c r="N8" i="21" s="1"/>
  <c r="N5" i="21"/>
  <c r="AD37" i="20"/>
  <c r="AD36" i="20"/>
  <c r="AJ35" i="20"/>
  <c r="AJ36" i="20" s="1"/>
  <c r="AE34" i="20"/>
  <c r="AE35" i="20" s="1"/>
  <c r="AI33" i="20"/>
  <c r="AI32" i="20"/>
  <c r="AI30" i="20"/>
  <c r="AI36" i="20" s="1"/>
  <c r="AT29" i="20"/>
  <c r="AT30" i="20" s="1"/>
  <c r="AI29" i="20"/>
  <c r="AI35" i="20" s="1"/>
  <c r="AJ27" i="20"/>
  <c r="AJ26" i="20"/>
  <c r="AT25" i="20"/>
  <c r="AD25" i="20"/>
  <c r="AD26" i="20" s="1"/>
  <c r="AD29" i="20" s="1"/>
  <c r="AT24" i="20"/>
  <c r="AS24" i="20"/>
  <c r="AS32" i="20" s="1"/>
  <c r="AS33" i="20" s="1"/>
  <c r="AS23" i="20"/>
  <c r="AI23" i="20"/>
  <c r="AI24" i="20" s="1"/>
  <c r="AJ20" i="20"/>
  <c r="AJ19" i="20"/>
  <c r="AE19" i="20"/>
  <c r="AE20" i="20" s="1"/>
  <c r="AE23" i="20" s="1"/>
  <c r="AY16" i="20"/>
  <c r="AG16" i="20"/>
  <c r="AD16" i="20"/>
  <c r="E16" i="20"/>
  <c r="AB25" i="20" s="1"/>
  <c r="AY15" i="20"/>
  <c r="AL15" i="20"/>
  <c r="AG15" i="20"/>
  <c r="AE15" i="20"/>
  <c r="AD15" i="20"/>
  <c r="BE14" i="20"/>
  <c r="AL14" i="20"/>
  <c r="AJ14" i="20"/>
  <c r="AG14" i="20"/>
  <c r="AE14" i="20"/>
  <c r="AD14" i="20"/>
  <c r="BE13" i="20"/>
  <c r="AJ13" i="20"/>
  <c r="AE13" i="20"/>
  <c r="AD13" i="20"/>
  <c r="AY12" i="20"/>
  <c r="BA12" i="20" s="1"/>
  <c r="E12" i="20"/>
  <c r="BA11" i="20"/>
  <c r="BB10" i="20" s="1"/>
  <c r="AT11" i="20"/>
  <c r="E11" i="20"/>
  <c r="BE10" i="20"/>
  <c r="BE9" i="20"/>
  <c r="E8" i="20"/>
  <c r="E7" i="20"/>
  <c r="N6" i="20"/>
  <c r="N7" i="20" s="1"/>
  <c r="N8" i="20" s="1"/>
  <c r="N5" i="20"/>
  <c r="AD37" i="19"/>
  <c r="AD36" i="19"/>
  <c r="AJ35" i="19"/>
  <c r="AJ36" i="19" s="1"/>
  <c r="AE35" i="19"/>
  <c r="AE34" i="19"/>
  <c r="AI33" i="19"/>
  <c r="AI32" i="19"/>
  <c r="AI30" i="19"/>
  <c r="AI36" i="19" s="1"/>
  <c r="AI29" i="19"/>
  <c r="AI35" i="19" s="1"/>
  <c r="AD29" i="19"/>
  <c r="AD28" i="19"/>
  <c r="AJ27" i="19"/>
  <c r="AJ26" i="19"/>
  <c r="AD26" i="19"/>
  <c r="AD25" i="19"/>
  <c r="AT24" i="19"/>
  <c r="AT25" i="19" s="1"/>
  <c r="AT29" i="19" s="1"/>
  <c r="AT30" i="19" s="1"/>
  <c r="AS24" i="19"/>
  <c r="AS32" i="19" s="1"/>
  <c r="AS33" i="19" s="1"/>
  <c r="AI24" i="19"/>
  <c r="AS23" i="19"/>
  <c r="AI23" i="19"/>
  <c r="AJ19" i="19"/>
  <c r="AJ20" i="19" s="1"/>
  <c r="AE19" i="19"/>
  <c r="AE20" i="19" s="1"/>
  <c r="AE23" i="19" s="1"/>
  <c r="AY16" i="19"/>
  <c r="AG16" i="19"/>
  <c r="AD16" i="19"/>
  <c r="E16" i="19"/>
  <c r="AB25" i="19" s="1"/>
  <c r="AY15" i="19"/>
  <c r="AL15" i="19"/>
  <c r="AG15" i="19"/>
  <c r="AE15" i="19"/>
  <c r="AD15" i="19"/>
  <c r="BE14" i="19"/>
  <c r="AL14" i="19"/>
  <c r="AJ14" i="19"/>
  <c r="AG14" i="19"/>
  <c r="AE14" i="19"/>
  <c r="AD14" i="19"/>
  <c r="BE13" i="19"/>
  <c r="AJ13" i="19"/>
  <c r="AE13" i="19"/>
  <c r="AD13" i="19"/>
  <c r="BA12" i="19"/>
  <c r="BB13" i="19" s="1"/>
  <c r="AY12" i="19"/>
  <c r="E12" i="19"/>
  <c r="BA11" i="19"/>
  <c r="BB10" i="19" s="1"/>
  <c r="AT11" i="19"/>
  <c r="E11" i="19"/>
  <c r="BE9" i="19"/>
  <c r="BE10" i="19" s="1"/>
  <c r="N6" i="19"/>
  <c r="N7" i="19" s="1"/>
  <c r="N8" i="19" s="1"/>
  <c r="N5" i="19"/>
  <c r="AD37" i="18"/>
  <c r="AD36" i="18"/>
  <c r="AJ35" i="18"/>
  <c r="AJ36" i="18" s="1"/>
  <c r="AE35" i="18"/>
  <c r="AE34" i="18"/>
  <c r="AI33" i="18"/>
  <c r="AI32" i="18"/>
  <c r="AI30" i="18"/>
  <c r="AI36" i="18" s="1"/>
  <c r="AI29" i="18"/>
  <c r="AI35" i="18" s="1"/>
  <c r="AD28" i="18"/>
  <c r="AJ27" i="18"/>
  <c r="AJ26" i="18"/>
  <c r="AD26" i="18"/>
  <c r="AD29" i="18" s="1"/>
  <c r="AD25" i="18"/>
  <c r="AT24" i="18"/>
  <c r="AT25" i="18" s="1"/>
  <c r="AT29" i="18" s="1"/>
  <c r="AT30" i="18" s="1"/>
  <c r="AS24" i="18"/>
  <c r="AS32" i="18" s="1"/>
  <c r="AS33" i="18" s="1"/>
  <c r="AS23" i="18"/>
  <c r="AI23" i="18"/>
  <c r="AI24" i="18" s="1"/>
  <c r="AE22" i="18"/>
  <c r="AJ20" i="18"/>
  <c r="AE20" i="18"/>
  <c r="AE23" i="18" s="1"/>
  <c r="AJ19" i="18"/>
  <c r="AE19" i="18"/>
  <c r="AY16" i="18"/>
  <c r="BA11" i="18" s="1"/>
  <c r="AG16" i="18"/>
  <c r="AD16" i="18"/>
  <c r="E16" i="18"/>
  <c r="AF29" i="18" s="1"/>
  <c r="AY15" i="18"/>
  <c r="AL15" i="18"/>
  <c r="AG15" i="18"/>
  <c r="AE15" i="18"/>
  <c r="AD15" i="18"/>
  <c r="BE14" i="18"/>
  <c r="AL14" i="18"/>
  <c r="AJ14" i="18"/>
  <c r="AG14" i="18"/>
  <c r="AE14" i="18"/>
  <c r="AD14" i="18"/>
  <c r="BE13" i="18"/>
  <c r="AJ13" i="18"/>
  <c r="AE13" i="18"/>
  <c r="AD13" i="18"/>
  <c r="BA12" i="18"/>
  <c r="BB13" i="18" s="1"/>
  <c r="AY12" i="18"/>
  <c r="E12" i="18"/>
  <c r="AT11" i="18"/>
  <c r="E11" i="18"/>
  <c r="BE9" i="18"/>
  <c r="BE10" i="18" s="1"/>
  <c r="E7" i="18"/>
  <c r="N6" i="18"/>
  <c r="N7" i="18" s="1"/>
  <c r="N8" i="18" s="1"/>
  <c r="N5" i="18"/>
  <c r="AD37" i="17"/>
  <c r="AJ36" i="17"/>
  <c r="AD36" i="17"/>
  <c r="AJ35" i="17"/>
  <c r="AE35" i="17"/>
  <c r="AE34" i="17"/>
  <c r="AI33" i="17"/>
  <c r="AI32" i="17"/>
  <c r="AI30" i="17"/>
  <c r="AI36" i="17" s="1"/>
  <c r="AI29" i="17"/>
  <c r="AI35" i="17" s="1"/>
  <c r="AD28" i="17"/>
  <c r="AJ27" i="17"/>
  <c r="AJ26" i="17"/>
  <c r="AD26" i="17"/>
  <c r="AD29" i="17" s="1"/>
  <c r="AD25" i="17"/>
  <c r="AT24" i="17"/>
  <c r="AT25" i="17" s="1"/>
  <c r="AT29" i="17" s="1"/>
  <c r="AT30" i="17" s="1"/>
  <c r="AS24" i="17"/>
  <c r="AS32" i="17" s="1"/>
  <c r="AS33" i="17" s="1"/>
  <c r="AS23" i="17"/>
  <c r="AI23" i="17"/>
  <c r="AI24" i="17" s="1"/>
  <c r="AE22" i="17"/>
  <c r="AJ20" i="17"/>
  <c r="AJ19" i="17"/>
  <c r="AE19" i="17"/>
  <c r="AE20" i="17" s="1"/>
  <c r="AE23" i="17" s="1"/>
  <c r="AY16" i="17"/>
  <c r="BA11" i="17" s="1"/>
  <c r="AG16" i="17"/>
  <c r="AD16" i="17"/>
  <c r="E16" i="17"/>
  <c r="AT13" i="17" s="1"/>
  <c r="BE11" i="17" s="1"/>
  <c r="BE12" i="17" s="1"/>
  <c r="AY15" i="17"/>
  <c r="AL15" i="17"/>
  <c r="AG15" i="17"/>
  <c r="AE15" i="17"/>
  <c r="AD15" i="17"/>
  <c r="BE14" i="17"/>
  <c r="AL14" i="17"/>
  <c r="AJ14" i="17"/>
  <c r="AG14" i="17"/>
  <c r="AE14" i="17"/>
  <c r="AD14" i="17"/>
  <c r="BE13" i="17"/>
  <c r="AJ13" i="17"/>
  <c r="AE13" i="17"/>
  <c r="AD13" i="17"/>
  <c r="AY12" i="17"/>
  <c r="BA12" i="17" s="1"/>
  <c r="E12" i="17"/>
  <c r="AT11" i="17"/>
  <c r="E11" i="17"/>
  <c r="BE9" i="17"/>
  <c r="BE10" i="17" s="1"/>
  <c r="E8" i="17"/>
  <c r="E7" i="17"/>
  <c r="N6" i="17"/>
  <c r="N7" i="17" s="1"/>
  <c r="N8" i="17" s="1"/>
  <c r="N5" i="17"/>
  <c r="AD37" i="16"/>
  <c r="AD36" i="16"/>
  <c r="AJ35" i="16"/>
  <c r="AJ36" i="16" s="1"/>
  <c r="AE34" i="16"/>
  <c r="AE35" i="16" s="1"/>
  <c r="AI33" i="16"/>
  <c r="AI32" i="16"/>
  <c r="AI30" i="16"/>
  <c r="AI36" i="16" s="1"/>
  <c r="AT29" i="16"/>
  <c r="AT30" i="16" s="1"/>
  <c r="AI29" i="16"/>
  <c r="AI35" i="16" s="1"/>
  <c r="AD28" i="16"/>
  <c r="AJ27" i="16"/>
  <c r="AJ26" i="16"/>
  <c r="AD26" i="16"/>
  <c r="AD29" i="16" s="1"/>
  <c r="AT25" i="16"/>
  <c r="AD25" i="16"/>
  <c r="AT24" i="16"/>
  <c r="AS24" i="16"/>
  <c r="AS32" i="16" s="1"/>
  <c r="AS33" i="16" s="1"/>
  <c r="AI24" i="16"/>
  <c r="AS23" i="16"/>
  <c r="AI23" i="16"/>
  <c r="AE23" i="16"/>
  <c r="AE22" i="16"/>
  <c r="AJ20" i="16"/>
  <c r="AE20" i="16"/>
  <c r="AJ19" i="16"/>
  <c r="AE19" i="16"/>
  <c r="AY16" i="16"/>
  <c r="AG16" i="16"/>
  <c r="AD16" i="16"/>
  <c r="E16" i="16"/>
  <c r="AF29" i="16" s="1"/>
  <c r="AY15" i="16"/>
  <c r="AL15" i="16"/>
  <c r="AG15" i="16"/>
  <c r="AE15" i="16"/>
  <c r="AD15" i="16"/>
  <c r="BE14" i="16"/>
  <c r="AL14" i="16"/>
  <c r="AJ14" i="16"/>
  <c r="AG14" i="16"/>
  <c r="AE14" i="16"/>
  <c r="AD14" i="16"/>
  <c r="BE13" i="16"/>
  <c r="AJ13" i="16"/>
  <c r="AE13" i="16"/>
  <c r="AD13" i="16"/>
  <c r="AY12" i="16"/>
  <c r="BA12" i="16" s="1"/>
  <c r="E12" i="16"/>
  <c r="BA11" i="16"/>
  <c r="BB11" i="16" s="1"/>
  <c r="AT11" i="16"/>
  <c r="E11" i="16"/>
  <c r="BE10" i="16"/>
  <c r="BB10" i="16"/>
  <c r="BE9" i="16"/>
  <c r="E7" i="16"/>
  <c r="N6" i="16"/>
  <c r="N7" i="16" s="1"/>
  <c r="N8" i="16" s="1"/>
  <c r="N5" i="16"/>
  <c r="AD37" i="15"/>
  <c r="AD36" i="15"/>
  <c r="AJ35" i="15"/>
  <c r="AJ36" i="15" s="1"/>
  <c r="AE34" i="15"/>
  <c r="AE35" i="15" s="1"/>
  <c r="AI33" i="15"/>
  <c r="AI32" i="15"/>
  <c r="AI30" i="15"/>
  <c r="AI36" i="15" s="1"/>
  <c r="AI29" i="15"/>
  <c r="AI35" i="15" s="1"/>
  <c r="AJ27" i="15"/>
  <c r="AJ26" i="15"/>
  <c r="AD25" i="15"/>
  <c r="AD26" i="15" s="1"/>
  <c r="AD29" i="15" s="1"/>
  <c r="AT24" i="15"/>
  <c r="AT25" i="15" s="1"/>
  <c r="AT29" i="15" s="1"/>
  <c r="AT30" i="15" s="1"/>
  <c r="AS24" i="15"/>
  <c r="AS32" i="15" s="1"/>
  <c r="AS33" i="15" s="1"/>
  <c r="AS23" i="15"/>
  <c r="AI23" i="15"/>
  <c r="AI24" i="15" s="1"/>
  <c r="AE22" i="15"/>
  <c r="AJ20" i="15"/>
  <c r="AJ19" i="15"/>
  <c r="AE19" i="15"/>
  <c r="AE20" i="15" s="1"/>
  <c r="AE23" i="15" s="1"/>
  <c r="AY16" i="15"/>
  <c r="AG16" i="15"/>
  <c r="AD16" i="15"/>
  <c r="E16" i="15"/>
  <c r="AB25" i="15" s="1"/>
  <c r="AY15" i="15"/>
  <c r="AL15" i="15"/>
  <c r="AG15" i="15"/>
  <c r="AE15" i="15"/>
  <c r="AD15" i="15"/>
  <c r="BE14" i="15"/>
  <c r="AL14" i="15"/>
  <c r="AJ14" i="15"/>
  <c r="AG14" i="15"/>
  <c r="AE14" i="15"/>
  <c r="AD14" i="15"/>
  <c r="BE13" i="15"/>
  <c r="AJ13" i="15"/>
  <c r="AE13" i="15"/>
  <c r="AD13" i="15"/>
  <c r="AY12" i="15"/>
  <c r="BA12" i="15" s="1"/>
  <c r="E12" i="15"/>
  <c r="BA11" i="15"/>
  <c r="BB10" i="15" s="1"/>
  <c r="AT11" i="15"/>
  <c r="E11" i="15"/>
  <c r="BE10" i="15"/>
  <c r="BE9" i="15"/>
  <c r="N6" i="15"/>
  <c r="N7" i="15" s="1"/>
  <c r="N8" i="15" s="1"/>
  <c r="N5" i="15"/>
  <c r="AD37" i="14"/>
  <c r="AD36" i="14"/>
  <c r="AJ35" i="14"/>
  <c r="AJ36" i="14" s="1"/>
  <c r="AE34" i="14"/>
  <c r="AE35" i="14" s="1"/>
  <c r="AI33" i="14"/>
  <c r="AI32" i="14"/>
  <c r="AI30" i="14"/>
  <c r="AI36" i="14" s="1"/>
  <c r="AT29" i="14"/>
  <c r="AT30" i="14" s="1"/>
  <c r="AI29" i="14"/>
  <c r="AI35" i="14" s="1"/>
  <c r="AJ27" i="14"/>
  <c r="AJ26" i="14"/>
  <c r="AT25" i="14"/>
  <c r="AD25" i="14"/>
  <c r="AD26" i="14" s="1"/>
  <c r="AD29" i="14" s="1"/>
  <c r="AT24" i="14"/>
  <c r="AS24" i="14"/>
  <c r="AS32" i="14" s="1"/>
  <c r="AS33" i="14" s="1"/>
  <c r="AS23" i="14"/>
  <c r="AI23" i="14"/>
  <c r="AI24" i="14" s="1"/>
  <c r="AJ20" i="14"/>
  <c r="AJ19" i="14"/>
  <c r="AE19" i="14"/>
  <c r="AE20" i="14" s="1"/>
  <c r="AE23" i="14" s="1"/>
  <c r="AY16" i="14"/>
  <c r="AG16" i="14"/>
  <c r="AD16" i="14"/>
  <c r="E16" i="14"/>
  <c r="AK23" i="14" s="1"/>
  <c r="AJ23" i="14" s="1"/>
  <c r="AJ32" i="14" s="1"/>
  <c r="AY15" i="14"/>
  <c r="AL15" i="14"/>
  <c r="AG15" i="14"/>
  <c r="AE15" i="14"/>
  <c r="AD15" i="14"/>
  <c r="BE14" i="14"/>
  <c r="AL14" i="14"/>
  <c r="AJ14" i="14"/>
  <c r="AG14" i="14"/>
  <c r="AE14" i="14"/>
  <c r="AD14" i="14"/>
  <c r="BE13" i="14"/>
  <c r="AJ13" i="14"/>
  <c r="AE13" i="14"/>
  <c r="AD13" i="14"/>
  <c r="AY12" i="14"/>
  <c r="BA12" i="14" s="1"/>
  <c r="E12" i="14"/>
  <c r="BA11" i="14"/>
  <c r="BB10" i="14" s="1"/>
  <c r="AT11" i="14"/>
  <c r="E11" i="14"/>
  <c r="BE10" i="14"/>
  <c r="BE9" i="14"/>
  <c r="N6" i="14"/>
  <c r="N7" i="14" s="1"/>
  <c r="N8" i="14" s="1"/>
  <c r="N5" i="14"/>
  <c r="AD37" i="13"/>
  <c r="AD36" i="13"/>
  <c r="AJ35" i="13"/>
  <c r="AJ36" i="13" s="1"/>
  <c r="AE35" i="13"/>
  <c r="AE34" i="13"/>
  <c r="AI33" i="13"/>
  <c r="AI32" i="13"/>
  <c r="AI30" i="13"/>
  <c r="AI36" i="13" s="1"/>
  <c r="AI29" i="13"/>
  <c r="AI35" i="13" s="1"/>
  <c r="AJ27" i="13"/>
  <c r="AJ26" i="13"/>
  <c r="AD25" i="13"/>
  <c r="AD26" i="13" s="1"/>
  <c r="AD29" i="13" s="1"/>
  <c r="AT24" i="13"/>
  <c r="AT25" i="13" s="1"/>
  <c r="AT29" i="13" s="1"/>
  <c r="AT30" i="13" s="1"/>
  <c r="AS24" i="13"/>
  <c r="AS32" i="13" s="1"/>
  <c r="AS33" i="13" s="1"/>
  <c r="AS23" i="13"/>
  <c r="AI23" i="13"/>
  <c r="AI24" i="13" s="1"/>
  <c r="AJ20" i="13"/>
  <c r="AJ19" i="13"/>
  <c r="AE19" i="13"/>
  <c r="AE20" i="13" s="1"/>
  <c r="AE23" i="13" s="1"/>
  <c r="AY16" i="13"/>
  <c r="AG16" i="13"/>
  <c r="AD16" i="13"/>
  <c r="E16" i="13"/>
  <c r="AF33" i="13" s="1"/>
  <c r="AD33" i="13" s="1"/>
  <c r="AD35" i="13" s="1"/>
  <c r="AY15" i="13"/>
  <c r="BA11" i="13" s="1"/>
  <c r="AL15" i="13"/>
  <c r="AG15" i="13"/>
  <c r="AE15" i="13"/>
  <c r="AD15" i="13"/>
  <c r="BE14" i="13"/>
  <c r="AL14" i="13"/>
  <c r="AJ14" i="13"/>
  <c r="AG14" i="13"/>
  <c r="AE14" i="13"/>
  <c r="AD14" i="13"/>
  <c r="BE13" i="13"/>
  <c r="AJ13" i="13"/>
  <c r="AE13" i="13"/>
  <c r="AD13" i="13"/>
  <c r="BA12" i="13"/>
  <c r="BB13" i="13" s="1"/>
  <c r="AY12" i="13"/>
  <c r="E12" i="13"/>
  <c r="AT11" i="13"/>
  <c r="E11" i="13"/>
  <c r="BE10" i="13"/>
  <c r="BE9" i="13"/>
  <c r="E8" i="13"/>
  <c r="E7" i="13"/>
  <c r="N6" i="13"/>
  <c r="N7" i="13" s="1"/>
  <c r="N8" i="13" s="1"/>
  <c r="N5" i="13"/>
  <c r="AD37" i="12"/>
  <c r="AD36" i="12"/>
  <c r="AJ35" i="12"/>
  <c r="AJ36" i="12" s="1"/>
  <c r="AE35" i="12"/>
  <c r="AE34" i="12"/>
  <c r="AI33" i="12"/>
  <c r="AI32" i="12"/>
  <c r="AI30" i="12"/>
  <c r="AI36" i="12" s="1"/>
  <c r="AT29" i="12"/>
  <c r="AT30" i="12" s="1"/>
  <c r="AI29" i="12"/>
  <c r="AI35" i="12" s="1"/>
  <c r="AD28" i="12"/>
  <c r="AJ27" i="12"/>
  <c r="AJ26" i="12"/>
  <c r="AT25" i="12"/>
  <c r="AD25" i="12"/>
  <c r="AD26" i="12" s="1"/>
  <c r="AD29" i="12" s="1"/>
  <c r="AT24" i="12"/>
  <c r="AS24" i="12"/>
  <c r="AS32" i="12" s="1"/>
  <c r="AS33" i="12" s="1"/>
  <c r="AS23" i="12"/>
  <c r="AI23" i="12"/>
  <c r="AI24" i="12" s="1"/>
  <c r="AJ20" i="12"/>
  <c r="AJ19" i="12"/>
  <c r="AE19" i="12"/>
  <c r="AE20" i="12" s="1"/>
  <c r="AE23" i="12" s="1"/>
  <c r="AY16" i="12"/>
  <c r="AG16" i="12"/>
  <c r="AD16" i="12"/>
  <c r="E16" i="12"/>
  <c r="AF25" i="12" s="1"/>
  <c r="AE25" i="12" s="1"/>
  <c r="AY15" i="12"/>
  <c r="BA12" i="12" s="1"/>
  <c r="AL15" i="12"/>
  <c r="AG15" i="12"/>
  <c r="AE15" i="12"/>
  <c r="AD15" i="12"/>
  <c r="BE14" i="12"/>
  <c r="AL14" i="12"/>
  <c r="AJ14" i="12"/>
  <c r="AG14" i="12"/>
  <c r="AE14" i="12"/>
  <c r="AD14" i="12"/>
  <c r="BE13" i="12"/>
  <c r="AJ13" i="12"/>
  <c r="AE13" i="12"/>
  <c r="AD13" i="12"/>
  <c r="AY12" i="12"/>
  <c r="E12" i="12"/>
  <c r="BA11" i="12"/>
  <c r="BB11" i="12" s="1"/>
  <c r="AT11" i="12"/>
  <c r="E11" i="12"/>
  <c r="BE10" i="12"/>
  <c r="BB10" i="12"/>
  <c r="BE9" i="12"/>
  <c r="E7" i="12"/>
  <c r="N6" i="12"/>
  <c r="N7" i="12" s="1"/>
  <c r="N8" i="12" s="1"/>
  <c r="N5" i="12"/>
  <c r="AD37" i="11"/>
  <c r="AD36" i="11"/>
  <c r="AJ35" i="11"/>
  <c r="AJ36" i="11" s="1"/>
  <c r="AE35" i="11"/>
  <c r="AE34" i="11"/>
  <c r="AI33" i="11"/>
  <c r="AI32" i="11"/>
  <c r="AI30" i="11"/>
  <c r="AI36" i="11" s="1"/>
  <c r="AI29" i="11"/>
  <c r="AI35" i="11" s="1"/>
  <c r="AJ27" i="11"/>
  <c r="AJ26" i="11"/>
  <c r="AD25" i="11"/>
  <c r="AD26" i="11" s="1"/>
  <c r="AD29" i="11" s="1"/>
  <c r="AT24" i="11"/>
  <c r="AT25" i="11" s="1"/>
  <c r="AT29" i="11" s="1"/>
  <c r="AT30" i="11" s="1"/>
  <c r="AS24" i="11"/>
  <c r="AS32" i="11" s="1"/>
  <c r="AS33" i="11" s="1"/>
  <c r="AS23" i="11"/>
  <c r="AI23" i="11"/>
  <c r="AI24" i="11" s="1"/>
  <c r="AJ20" i="11"/>
  <c r="AJ19" i="11"/>
  <c r="AE19" i="11"/>
  <c r="AE20" i="11" s="1"/>
  <c r="AE23" i="11" s="1"/>
  <c r="AY16" i="11"/>
  <c r="AG16" i="11"/>
  <c r="AD16" i="11"/>
  <c r="E16" i="11"/>
  <c r="AY15" i="11"/>
  <c r="AL15" i="11"/>
  <c r="AG15" i="11"/>
  <c r="AE15" i="11"/>
  <c r="AD15" i="11"/>
  <c r="BE14" i="11"/>
  <c r="AL14" i="11"/>
  <c r="AJ14" i="11"/>
  <c r="AG14" i="11"/>
  <c r="AE14" i="11"/>
  <c r="AD14" i="11"/>
  <c r="BE13" i="11"/>
  <c r="AJ13" i="11"/>
  <c r="AE13" i="11"/>
  <c r="AD13" i="11"/>
  <c r="BA12" i="11"/>
  <c r="BB13" i="11" s="1"/>
  <c r="AY12" i="11"/>
  <c r="E12" i="11"/>
  <c r="BA11" i="11"/>
  <c r="BB10" i="11" s="1"/>
  <c r="AT11" i="11"/>
  <c r="E11" i="11"/>
  <c r="BE9" i="11"/>
  <c r="BE10" i="11" s="1"/>
  <c r="E8" i="11"/>
  <c r="E7" i="11"/>
  <c r="N6" i="11"/>
  <c r="N7" i="11" s="1"/>
  <c r="N8" i="11" s="1"/>
  <c r="N5" i="11"/>
  <c r="AD37" i="10"/>
  <c r="AD36" i="10"/>
  <c r="AJ35" i="10"/>
  <c r="AJ36" i="10" s="1"/>
  <c r="AE34" i="10"/>
  <c r="AE35" i="10" s="1"/>
  <c r="AI33" i="10"/>
  <c r="AI32" i="10"/>
  <c r="AI30" i="10"/>
  <c r="AI36" i="10" s="1"/>
  <c r="AT29" i="10"/>
  <c r="AT30" i="10" s="1"/>
  <c r="AI29" i="10"/>
  <c r="AI35" i="10" s="1"/>
  <c r="AD28" i="10"/>
  <c r="AJ27" i="10"/>
  <c r="AJ26" i="10"/>
  <c r="AT25" i="10"/>
  <c r="AD25" i="10"/>
  <c r="AD26" i="10" s="1"/>
  <c r="AD29" i="10" s="1"/>
  <c r="AT24" i="10"/>
  <c r="AS24" i="10"/>
  <c r="AS32" i="10" s="1"/>
  <c r="AS33" i="10" s="1"/>
  <c r="AS23" i="10"/>
  <c r="AI23" i="10"/>
  <c r="AI24" i="10" s="1"/>
  <c r="AJ20" i="10"/>
  <c r="AJ19" i="10"/>
  <c r="AE19" i="10"/>
  <c r="AE20" i="10" s="1"/>
  <c r="AE23" i="10" s="1"/>
  <c r="AY16" i="10"/>
  <c r="AG16" i="10"/>
  <c r="AD16" i="10"/>
  <c r="E16" i="10"/>
  <c r="AY15" i="10"/>
  <c r="AL15" i="10"/>
  <c r="AG15" i="10"/>
  <c r="AE15" i="10"/>
  <c r="AD15" i="10"/>
  <c r="BE14" i="10"/>
  <c r="AL14" i="10"/>
  <c r="AJ14" i="10"/>
  <c r="AG14" i="10"/>
  <c r="AE14" i="10"/>
  <c r="AD14" i="10"/>
  <c r="BE13" i="10"/>
  <c r="AJ13" i="10"/>
  <c r="AE13" i="10"/>
  <c r="AD13" i="10"/>
  <c r="AY12" i="10"/>
  <c r="BA12" i="10" s="1"/>
  <c r="E12" i="10"/>
  <c r="BA11" i="10"/>
  <c r="BB10" i="10" s="1"/>
  <c r="AT11" i="10"/>
  <c r="E11" i="10"/>
  <c r="BE10" i="10"/>
  <c r="BE9" i="10"/>
  <c r="E8" i="10"/>
  <c r="E7" i="10"/>
  <c r="N6" i="10"/>
  <c r="N7" i="10" s="1"/>
  <c r="N8" i="10" s="1"/>
  <c r="N5" i="10"/>
  <c r="AD37" i="9"/>
  <c r="AJ36" i="9"/>
  <c r="AD36" i="9"/>
  <c r="AJ35" i="9"/>
  <c r="AE34" i="9"/>
  <c r="AE35" i="9" s="1"/>
  <c r="AI33" i="9"/>
  <c r="AI32" i="9"/>
  <c r="AI30" i="9"/>
  <c r="AI36" i="9" s="1"/>
  <c r="AT29" i="9"/>
  <c r="AT30" i="9" s="1"/>
  <c r="AI29" i="9"/>
  <c r="AI35" i="9" s="1"/>
  <c r="AD28" i="9"/>
  <c r="AJ27" i="9"/>
  <c r="AJ26" i="9"/>
  <c r="AT25" i="9"/>
  <c r="AD25" i="9"/>
  <c r="AD26" i="9" s="1"/>
  <c r="AD29" i="9" s="1"/>
  <c r="AT24" i="9"/>
  <c r="AS24" i="9"/>
  <c r="AS32" i="9" s="1"/>
  <c r="AS33" i="9" s="1"/>
  <c r="AS23" i="9"/>
  <c r="AI23" i="9"/>
  <c r="AI24" i="9" s="1"/>
  <c r="AJ20" i="9"/>
  <c r="AJ19" i="9"/>
  <c r="AE19" i="9"/>
  <c r="AE20" i="9" s="1"/>
  <c r="AE23" i="9" s="1"/>
  <c r="AY16" i="9"/>
  <c r="AG16" i="9"/>
  <c r="AD16" i="9"/>
  <c r="E16" i="9"/>
  <c r="AF29" i="9" s="1"/>
  <c r="AY15" i="9"/>
  <c r="AL15" i="9"/>
  <c r="AG15" i="9"/>
  <c r="AE15" i="9"/>
  <c r="AD15" i="9"/>
  <c r="BE14" i="9"/>
  <c r="AL14" i="9"/>
  <c r="AJ14" i="9"/>
  <c r="AG14" i="9"/>
  <c r="AE14" i="9"/>
  <c r="AD14" i="9"/>
  <c r="BE13" i="9"/>
  <c r="AJ13" i="9"/>
  <c r="AE13" i="9"/>
  <c r="AD13" i="9"/>
  <c r="AY12" i="9"/>
  <c r="BA12" i="9" s="1"/>
  <c r="E12" i="9"/>
  <c r="BA11" i="9"/>
  <c r="BB10" i="9" s="1"/>
  <c r="AT11" i="9"/>
  <c r="E11" i="9"/>
  <c r="BE10" i="9"/>
  <c r="BE9" i="9"/>
  <c r="E7" i="9"/>
  <c r="N6" i="9"/>
  <c r="N7" i="9" s="1"/>
  <c r="N8" i="9" s="1"/>
  <c r="N5" i="9"/>
  <c r="AD37" i="8"/>
  <c r="AD36" i="8"/>
  <c r="AJ35" i="8"/>
  <c r="AJ36" i="8" s="1"/>
  <c r="AE34" i="8"/>
  <c r="AE35" i="8" s="1"/>
  <c r="AI33" i="8"/>
  <c r="AI32" i="8"/>
  <c r="AI30" i="8"/>
  <c r="AI36" i="8" s="1"/>
  <c r="AI29" i="8"/>
  <c r="AI35" i="8" s="1"/>
  <c r="AJ27" i="8"/>
  <c r="AJ26" i="8"/>
  <c r="AD25" i="8"/>
  <c r="AD26" i="8" s="1"/>
  <c r="AD29" i="8" s="1"/>
  <c r="AT24" i="8"/>
  <c r="AT25" i="8" s="1"/>
  <c r="AT29" i="8" s="1"/>
  <c r="AT30" i="8" s="1"/>
  <c r="AS24" i="8"/>
  <c r="AS32" i="8" s="1"/>
  <c r="AS33" i="8" s="1"/>
  <c r="AS23" i="8"/>
  <c r="AI23" i="8"/>
  <c r="AI24" i="8" s="1"/>
  <c r="AJ19" i="8"/>
  <c r="AJ20" i="8" s="1"/>
  <c r="AE19" i="8"/>
  <c r="AE20" i="8" s="1"/>
  <c r="AE23" i="8" s="1"/>
  <c r="AY16" i="8"/>
  <c r="AG16" i="8"/>
  <c r="AD16" i="8"/>
  <c r="E16" i="8"/>
  <c r="AB26" i="8" s="1"/>
  <c r="AY15" i="8"/>
  <c r="AL15" i="8"/>
  <c r="AG15" i="8"/>
  <c r="AE15" i="8"/>
  <c r="AD15" i="8"/>
  <c r="BE14" i="8"/>
  <c r="AL14" i="8"/>
  <c r="AJ14" i="8"/>
  <c r="AG14" i="8"/>
  <c r="AE14" i="8"/>
  <c r="AD14" i="8"/>
  <c r="BE13" i="8"/>
  <c r="AJ13" i="8"/>
  <c r="AE13" i="8"/>
  <c r="AD13" i="8"/>
  <c r="BA12" i="8"/>
  <c r="BB13" i="8" s="1"/>
  <c r="AY12" i="8"/>
  <c r="E12" i="8"/>
  <c r="BA11" i="8"/>
  <c r="BB10" i="8" s="1"/>
  <c r="AT11" i="8"/>
  <c r="E11" i="8"/>
  <c r="BE10" i="8"/>
  <c r="BE9" i="8"/>
  <c r="E7" i="8"/>
  <c r="N6" i="8"/>
  <c r="N7" i="8" s="1"/>
  <c r="N8" i="8" s="1"/>
  <c r="N5" i="8"/>
  <c r="AD37" i="7"/>
  <c r="AJ36" i="7"/>
  <c r="AI36" i="7"/>
  <c r="AD36" i="7"/>
  <c r="AJ35" i="7"/>
  <c r="AI35" i="7"/>
  <c r="AE35" i="7"/>
  <c r="AE34" i="7"/>
  <c r="AS33" i="7"/>
  <c r="AI33" i="7"/>
  <c r="AS32" i="7"/>
  <c r="AI32" i="7"/>
  <c r="AT30" i="7"/>
  <c r="AI30" i="7"/>
  <c r="AT29" i="7"/>
  <c r="AI29" i="7"/>
  <c r="AD28" i="7"/>
  <c r="AJ27" i="7"/>
  <c r="AJ26" i="7"/>
  <c r="AD26" i="7"/>
  <c r="AD29" i="7" s="1"/>
  <c r="AT25" i="7"/>
  <c r="AD25" i="7"/>
  <c r="AT24" i="7"/>
  <c r="AS24" i="7"/>
  <c r="AI24" i="7"/>
  <c r="AS23" i="7"/>
  <c r="AI23" i="7"/>
  <c r="AE22" i="7"/>
  <c r="AJ20" i="7"/>
  <c r="AE20" i="7"/>
  <c r="AE23" i="7" s="1"/>
  <c r="AJ19" i="7"/>
  <c r="AE19" i="7"/>
  <c r="AY16" i="7"/>
  <c r="AG16" i="7"/>
  <c r="AD16" i="7"/>
  <c r="E16" i="7"/>
  <c r="AF33" i="7" s="1"/>
  <c r="AD33" i="7" s="1"/>
  <c r="AD35" i="7" s="1"/>
  <c r="AY15" i="7"/>
  <c r="AL15" i="7"/>
  <c r="AG15" i="7"/>
  <c r="AE15" i="7"/>
  <c r="AD15" i="7"/>
  <c r="BE14" i="7"/>
  <c r="AL14" i="7"/>
  <c r="AJ14" i="7"/>
  <c r="AG14" i="7"/>
  <c r="AE14" i="7"/>
  <c r="AD14" i="7"/>
  <c r="BE13" i="7"/>
  <c r="AJ13" i="7"/>
  <c r="AE13" i="7"/>
  <c r="AD13" i="7"/>
  <c r="BA12" i="7"/>
  <c r="BB13" i="7" s="1"/>
  <c r="AY12" i="7"/>
  <c r="E12" i="7"/>
  <c r="BB11" i="7"/>
  <c r="BA11" i="7"/>
  <c r="AT11" i="7"/>
  <c r="E11" i="7"/>
  <c r="BE10" i="7"/>
  <c r="BB10" i="7"/>
  <c r="BE9" i="7"/>
  <c r="E8" i="7"/>
  <c r="N7" i="7"/>
  <c r="N8" i="7" s="1"/>
  <c r="E7" i="7"/>
  <c r="N6" i="7"/>
  <c r="N5" i="7"/>
  <c r="AD37" i="6"/>
  <c r="AD36" i="6"/>
  <c r="AJ35" i="6"/>
  <c r="AJ36" i="6" s="1"/>
  <c r="AE34" i="6"/>
  <c r="AE35" i="6" s="1"/>
  <c r="AI33" i="6"/>
  <c r="AI32" i="6"/>
  <c r="AI30" i="6"/>
  <c r="AI36" i="6" s="1"/>
  <c r="AT29" i="6"/>
  <c r="AT30" i="6" s="1"/>
  <c r="AI29" i="6"/>
  <c r="AI35" i="6" s="1"/>
  <c r="AJ27" i="6"/>
  <c r="AJ26" i="6"/>
  <c r="AT25" i="6"/>
  <c r="AD25" i="6"/>
  <c r="AD26" i="6" s="1"/>
  <c r="AD29" i="6" s="1"/>
  <c r="AT24" i="6"/>
  <c r="AS24" i="6"/>
  <c r="AS32" i="6" s="1"/>
  <c r="AS33" i="6" s="1"/>
  <c r="AS23" i="6"/>
  <c r="AI23" i="6"/>
  <c r="AI24" i="6" s="1"/>
  <c r="AJ20" i="6"/>
  <c r="AE20" i="6"/>
  <c r="AE23" i="6" s="1"/>
  <c r="AJ19" i="6"/>
  <c r="AE19" i="6"/>
  <c r="AE22" i="6" s="1"/>
  <c r="AY16" i="6"/>
  <c r="BA11" i="6" s="1"/>
  <c r="AG16" i="6"/>
  <c r="AD16" i="6"/>
  <c r="E16" i="6"/>
  <c r="AY15" i="6"/>
  <c r="AL15" i="6"/>
  <c r="AG15" i="6"/>
  <c r="AE15" i="6"/>
  <c r="AD15" i="6"/>
  <c r="BE14" i="6"/>
  <c r="AL14" i="6"/>
  <c r="AJ14" i="6"/>
  <c r="AG14" i="6"/>
  <c r="AE14" i="6"/>
  <c r="AD14" i="6"/>
  <c r="BE13" i="6"/>
  <c r="AJ13" i="6"/>
  <c r="AE13" i="6"/>
  <c r="AD13" i="6"/>
  <c r="AY12" i="6"/>
  <c r="BA12" i="6" s="1"/>
  <c r="E12" i="6"/>
  <c r="AT11" i="6"/>
  <c r="E11" i="6"/>
  <c r="BE10" i="6"/>
  <c r="BE9" i="6"/>
  <c r="E8" i="6"/>
  <c r="E7" i="6"/>
  <c r="N6" i="6"/>
  <c r="N7" i="6" s="1"/>
  <c r="N8" i="6" s="1"/>
  <c r="N5" i="6"/>
  <c r="AD37" i="5"/>
  <c r="AD36" i="5"/>
  <c r="AJ35" i="5"/>
  <c r="AJ36" i="5" s="1"/>
  <c r="AE35" i="5"/>
  <c r="AE34" i="5"/>
  <c r="AI33" i="5"/>
  <c r="AI32" i="5"/>
  <c r="AI30" i="5"/>
  <c r="AI36" i="5" s="1"/>
  <c r="AT29" i="5"/>
  <c r="AT30" i="5" s="1"/>
  <c r="AI29" i="5"/>
  <c r="AI35" i="5" s="1"/>
  <c r="AJ27" i="5"/>
  <c r="AJ26" i="5"/>
  <c r="AT25" i="5"/>
  <c r="AD25" i="5"/>
  <c r="AD28" i="5" s="1"/>
  <c r="AT24" i="5"/>
  <c r="AS24" i="5"/>
  <c r="AS32" i="5" s="1"/>
  <c r="AS33" i="5" s="1"/>
  <c r="AS23" i="5"/>
  <c r="AI23" i="5"/>
  <c r="AI24" i="5" s="1"/>
  <c r="AJ20" i="5"/>
  <c r="AJ19" i="5"/>
  <c r="AE19" i="5"/>
  <c r="AE20" i="5" s="1"/>
  <c r="AE23" i="5" s="1"/>
  <c r="AY16" i="5"/>
  <c r="AG16" i="5"/>
  <c r="AD16" i="5"/>
  <c r="E16" i="5"/>
  <c r="AF25" i="5" s="1"/>
  <c r="AE25" i="5" s="1"/>
  <c r="AY15" i="5"/>
  <c r="BA12" i="5" s="1"/>
  <c r="AL15" i="5"/>
  <c r="AG15" i="5"/>
  <c r="AE15" i="5"/>
  <c r="AD15" i="5"/>
  <c r="BE14" i="5"/>
  <c r="AL14" i="5"/>
  <c r="AJ14" i="5"/>
  <c r="AG14" i="5"/>
  <c r="AE14" i="5"/>
  <c r="AD14" i="5"/>
  <c r="BE13" i="5"/>
  <c r="AJ13" i="5"/>
  <c r="AE13" i="5"/>
  <c r="AD13" i="5"/>
  <c r="AY12" i="5"/>
  <c r="E12" i="5"/>
  <c r="AT11" i="5"/>
  <c r="E11" i="5"/>
  <c r="BE10" i="5"/>
  <c r="BE9" i="5"/>
  <c r="N6" i="5"/>
  <c r="N7" i="5" s="1"/>
  <c r="N8" i="5" s="1"/>
  <c r="N5" i="5"/>
  <c r="AD37" i="4"/>
  <c r="AJ36" i="4"/>
  <c r="AD36" i="4"/>
  <c r="AJ35" i="4"/>
  <c r="AE35" i="4"/>
  <c r="AE34" i="4"/>
  <c r="AI33" i="4"/>
  <c r="AI32" i="4"/>
  <c r="AI30" i="4"/>
  <c r="AI36" i="4" s="1"/>
  <c r="AI29" i="4"/>
  <c r="AI35" i="4" s="1"/>
  <c r="AD28" i="4"/>
  <c r="AJ27" i="4"/>
  <c r="AJ26" i="4"/>
  <c r="AD25" i="4"/>
  <c r="AD26" i="4" s="1"/>
  <c r="AD29" i="4" s="1"/>
  <c r="AT24" i="4"/>
  <c r="AT25" i="4" s="1"/>
  <c r="AT29" i="4" s="1"/>
  <c r="AT30" i="4" s="1"/>
  <c r="AS24" i="4"/>
  <c r="AS32" i="4" s="1"/>
  <c r="AS33" i="4" s="1"/>
  <c r="AI24" i="4"/>
  <c r="AS23" i="4"/>
  <c r="AI23" i="4"/>
  <c r="AJ19" i="4"/>
  <c r="AJ20" i="4" s="1"/>
  <c r="AE19" i="4"/>
  <c r="AE20" i="4" s="1"/>
  <c r="AE23" i="4" s="1"/>
  <c r="AY16" i="4"/>
  <c r="AG16" i="4"/>
  <c r="AD16" i="4"/>
  <c r="E16" i="4"/>
  <c r="AF37" i="4" s="1"/>
  <c r="AE37" i="4" s="1"/>
  <c r="AY15" i="4"/>
  <c r="AL15" i="4"/>
  <c r="AG15" i="4"/>
  <c r="AE15" i="4"/>
  <c r="AD15" i="4"/>
  <c r="BE14" i="4"/>
  <c r="AL14" i="4"/>
  <c r="AJ14" i="4"/>
  <c r="AG14" i="4"/>
  <c r="AE14" i="4"/>
  <c r="AD14" i="4"/>
  <c r="BE13" i="4"/>
  <c r="AJ13" i="4"/>
  <c r="AE13" i="4"/>
  <c r="AD13" i="4"/>
  <c r="BA12" i="4"/>
  <c r="BB13" i="4" s="1"/>
  <c r="AY12" i="4"/>
  <c r="E12" i="4"/>
  <c r="BA11" i="4"/>
  <c r="BB11" i="4" s="1"/>
  <c r="AT11" i="4"/>
  <c r="E11" i="4"/>
  <c r="BE9" i="4"/>
  <c r="BE10" i="4" s="1"/>
  <c r="E8" i="4"/>
  <c r="E7" i="4"/>
  <c r="N6" i="4"/>
  <c r="N7" i="4" s="1"/>
  <c r="N8" i="4" s="1"/>
  <c r="N5" i="4"/>
  <c r="AD37" i="3"/>
  <c r="AI36" i="3"/>
  <c r="AD36" i="3"/>
  <c r="AJ35" i="3"/>
  <c r="AJ36" i="3" s="1"/>
  <c r="AE34" i="3"/>
  <c r="AE35" i="3" s="1"/>
  <c r="AI33" i="3"/>
  <c r="AI32" i="3"/>
  <c r="AI30" i="3"/>
  <c r="AI29" i="3"/>
  <c r="AI35" i="3" s="1"/>
  <c r="AJ27" i="3"/>
  <c r="AJ26" i="3"/>
  <c r="AD25" i="3"/>
  <c r="AD28" i="3" s="1"/>
  <c r="AT24" i="3"/>
  <c r="AT25" i="3" s="1"/>
  <c r="AT29" i="3" s="1"/>
  <c r="AT30" i="3" s="1"/>
  <c r="AS24" i="3"/>
  <c r="AS32" i="3" s="1"/>
  <c r="AS33" i="3" s="1"/>
  <c r="AS23" i="3"/>
  <c r="AI23" i="3"/>
  <c r="AI24" i="3" s="1"/>
  <c r="AJ20" i="3"/>
  <c r="AJ19" i="3"/>
  <c r="AE19" i="3"/>
  <c r="AE20" i="3" s="1"/>
  <c r="AE23" i="3" s="1"/>
  <c r="AY16" i="3"/>
  <c r="AG16" i="3"/>
  <c r="AD16" i="3"/>
  <c r="E16" i="3"/>
  <c r="AF25" i="3" s="1"/>
  <c r="AE25" i="3" s="1"/>
  <c r="AY15" i="3"/>
  <c r="BA12" i="3" s="1"/>
  <c r="AL15" i="3"/>
  <c r="AG15" i="3"/>
  <c r="AE15" i="3"/>
  <c r="AD15" i="3"/>
  <c r="BE14" i="3"/>
  <c r="AL14" i="3"/>
  <c r="AJ14" i="3"/>
  <c r="AG14" i="3"/>
  <c r="AE14" i="3"/>
  <c r="AD14" i="3"/>
  <c r="BE13" i="3"/>
  <c r="AJ13" i="3"/>
  <c r="AE13" i="3"/>
  <c r="AD13" i="3"/>
  <c r="AY12" i="3"/>
  <c r="E12" i="3"/>
  <c r="BA11" i="3"/>
  <c r="BB10" i="3" s="1"/>
  <c r="AT11" i="3"/>
  <c r="E11" i="3"/>
  <c r="BE10" i="3"/>
  <c r="BE9" i="3"/>
  <c r="E8" i="3"/>
  <c r="E7" i="3"/>
  <c r="N6" i="3"/>
  <c r="N7" i="3" s="1"/>
  <c r="N8" i="3" s="1"/>
  <c r="N5" i="3"/>
  <c r="E16" i="1"/>
  <c r="E12" i="1"/>
  <c r="E11" i="1"/>
  <c r="E8" i="1"/>
  <c r="E7" i="1"/>
  <c r="K20" i="2"/>
  <c r="K28" i="2"/>
  <c r="I27" i="2"/>
  <c r="E25" i="2"/>
  <c r="E24" i="2"/>
  <c r="F24" i="2" s="1"/>
  <c r="E23" i="2"/>
  <c r="I20" i="2"/>
  <c r="E20" i="2"/>
  <c r="E19" i="2"/>
  <c r="F19" i="2" s="1"/>
  <c r="E18" i="2"/>
  <c r="I17" i="2"/>
  <c r="E14" i="2"/>
  <c r="M10" i="2"/>
  <c r="M11" i="2"/>
  <c r="M27" i="2"/>
  <c r="E11" i="2"/>
  <c r="F11" i="2" s="1"/>
  <c r="F17" i="2"/>
  <c r="M17" i="2" s="1"/>
  <c r="J17" i="2"/>
  <c r="F18" i="2"/>
  <c r="M18" i="2" s="1"/>
  <c r="J18" i="2"/>
  <c r="F20" i="2"/>
  <c r="M20" i="2" s="1"/>
  <c r="J20" i="2"/>
  <c r="F21" i="2"/>
  <c r="E7" i="14" s="1"/>
  <c r="F22" i="2"/>
  <c r="E7" i="15" s="1"/>
  <c r="F23" i="2"/>
  <c r="J24" i="2"/>
  <c r="F25" i="2"/>
  <c r="F26" i="2"/>
  <c r="E7" i="19" s="1"/>
  <c r="F27" i="2"/>
  <c r="J27" i="2"/>
  <c r="F28" i="2"/>
  <c r="M28" i="2" s="1"/>
  <c r="J28" i="2"/>
  <c r="J11" i="2"/>
  <c r="J13" i="2"/>
  <c r="J14" i="2"/>
  <c r="M14" i="2" s="1"/>
  <c r="F10" i="2"/>
  <c r="F12" i="2"/>
  <c r="F13" i="2"/>
  <c r="M13" i="2" s="1"/>
  <c r="F14" i="2"/>
  <c r="F15" i="2"/>
  <c r="F16" i="2"/>
  <c r="J10" i="2"/>
  <c r="J9" i="2"/>
  <c r="F9" i="2"/>
  <c r="J6" i="8" l="1"/>
  <c r="J6" i="3"/>
  <c r="J5" i="6"/>
  <c r="AF28" i="7"/>
  <c r="AF27" i="7" s="1"/>
  <c r="J5" i="14"/>
  <c r="AB18" i="3"/>
  <c r="J5" i="4"/>
  <c r="AB29" i="4"/>
  <c r="AB18" i="16"/>
  <c r="AB6" i="16" s="1"/>
  <c r="AB18" i="21"/>
  <c r="AB9" i="21" s="1"/>
  <c r="AB29" i="8"/>
  <c r="Q13" i="8" s="1"/>
  <c r="J6" i="15"/>
  <c r="Q7" i="15" s="1"/>
  <c r="AT14" i="15"/>
  <c r="AT12" i="15"/>
  <c r="AY10" i="15" s="1"/>
  <c r="BA10" i="15" s="1"/>
  <c r="AB28" i="18"/>
  <c r="AF23" i="15"/>
  <c r="AF20" i="18"/>
  <c r="AB18" i="7"/>
  <c r="AF20" i="8"/>
  <c r="AF23" i="12"/>
  <c r="J6" i="9"/>
  <c r="AB21" i="9"/>
  <c r="J6" i="6"/>
  <c r="J5" i="9"/>
  <c r="AB18" i="4"/>
  <c r="AF23" i="8"/>
  <c r="J6" i="18"/>
  <c r="Q12" i="18" s="1"/>
  <c r="J6" i="20"/>
  <c r="Q7" i="20" s="1"/>
  <c r="E7" i="5"/>
  <c r="AB18" i="5" s="1"/>
  <c r="N13" i="11"/>
  <c r="AB18" i="17"/>
  <c r="AB12" i="17" s="1"/>
  <c r="AF23" i="20"/>
  <c r="J6" i="4"/>
  <c r="J6" i="7"/>
  <c r="J6" i="10"/>
  <c r="AB18" i="11"/>
  <c r="AB12" i="11" s="1"/>
  <c r="N13" i="3"/>
  <c r="AT12" i="7"/>
  <c r="AY10" i="7" s="1"/>
  <c r="BA10" i="7" s="1"/>
  <c r="AT13" i="9"/>
  <c r="BE11" i="9" s="1"/>
  <c r="BE12" i="9" s="1"/>
  <c r="AB28" i="17"/>
  <c r="J5" i="19"/>
  <c r="AT15" i="20"/>
  <c r="AT37" i="20" s="1"/>
  <c r="AT38" i="20" s="1"/>
  <c r="J6" i="17"/>
  <c r="AT14" i="17"/>
  <c r="AS34" i="17" s="1"/>
  <c r="AS35" i="17" s="1"/>
  <c r="AB29" i="7"/>
  <c r="AT12" i="17"/>
  <c r="AS28" i="17" s="1"/>
  <c r="AS29" i="17" s="1"/>
  <c r="J6" i="21"/>
  <c r="AF25" i="21"/>
  <c r="AE25" i="21" s="1"/>
  <c r="AS36" i="21"/>
  <c r="AS37" i="21" s="1"/>
  <c r="AT33" i="21"/>
  <c r="AT34" i="21" s="1"/>
  <c r="BB13" i="21"/>
  <c r="BB12" i="21"/>
  <c r="AF23" i="21"/>
  <c r="AF33" i="21"/>
  <c r="AD33" i="21" s="1"/>
  <c r="AD35" i="21" s="1"/>
  <c r="BA11" i="21"/>
  <c r="N13" i="21"/>
  <c r="AT15" i="21"/>
  <c r="AF19" i="21"/>
  <c r="AK23" i="21"/>
  <c r="AJ23" i="21" s="1"/>
  <c r="AF28" i="21"/>
  <c r="AK19" i="21"/>
  <c r="AE22" i="21"/>
  <c r="AF22" i="21"/>
  <c r="AT12" i="21"/>
  <c r="AS28" i="21" s="1"/>
  <c r="AS29" i="21" s="1"/>
  <c r="AT13" i="21"/>
  <c r="BE11" i="21" s="1"/>
  <c r="BE12" i="21" s="1"/>
  <c r="AT14" i="21"/>
  <c r="AY13" i="21" s="1"/>
  <c r="BA13" i="21" s="1"/>
  <c r="AF26" i="21"/>
  <c r="AF37" i="21"/>
  <c r="AE37" i="21" s="1"/>
  <c r="AF20" i="21"/>
  <c r="J5" i="21"/>
  <c r="AB18" i="20"/>
  <c r="AB8" i="20" s="1"/>
  <c r="AK23" i="20"/>
  <c r="AJ23" i="20" s="1"/>
  <c r="AJ24" i="20" s="1"/>
  <c r="AJ33" i="20" s="1"/>
  <c r="AB30" i="20"/>
  <c r="AF33" i="20"/>
  <c r="AD33" i="20" s="1"/>
  <c r="AD35" i="20" s="1"/>
  <c r="AF19" i="20"/>
  <c r="AF25" i="20"/>
  <c r="AE25" i="20" s="1"/>
  <c r="N13" i="20"/>
  <c r="AT33" i="20"/>
  <c r="AT34" i="20" s="1"/>
  <c r="AS36" i="20"/>
  <c r="AS37" i="20" s="1"/>
  <c r="BB13" i="20"/>
  <c r="BB12" i="20"/>
  <c r="AD28" i="20"/>
  <c r="BB11" i="20"/>
  <c r="AF28" i="20"/>
  <c r="AK19" i="20"/>
  <c r="AE22" i="20"/>
  <c r="AF22" i="20"/>
  <c r="AT12" i="20"/>
  <c r="AY10" i="20" s="1"/>
  <c r="BA10" i="20" s="1"/>
  <c r="AT13" i="20"/>
  <c r="BE11" i="20" s="1"/>
  <c r="BE12" i="20" s="1"/>
  <c r="AT14" i="20"/>
  <c r="AY13" i="20" s="1"/>
  <c r="BA13" i="20" s="1"/>
  <c r="AF26" i="20"/>
  <c r="AF37" i="20"/>
  <c r="AE37" i="20" s="1"/>
  <c r="AF20" i="20"/>
  <c r="AF29" i="20"/>
  <c r="J5" i="20"/>
  <c r="AB18" i="19"/>
  <c r="AB10" i="19" s="1"/>
  <c r="AS36" i="19"/>
  <c r="AS37" i="19" s="1"/>
  <c r="AT33" i="19"/>
  <c r="AT34" i="19" s="1"/>
  <c r="AF23" i="19"/>
  <c r="AF33" i="19"/>
  <c r="AD33" i="19" s="1"/>
  <c r="AD35" i="19" s="1"/>
  <c r="AB28" i="19"/>
  <c r="AB21" i="19"/>
  <c r="AF25" i="19"/>
  <c r="AE25" i="19" s="1"/>
  <c r="AB30" i="19"/>
  <c r="N13" i="19"/>
  <c r="AT15" i="19"/>
  <c r="AF19" i="19"/>
  <c r="AK23" i="19"/>
  <c r="AJ23" i="19" s="1"/>
  <c r="BB11" i="19"/>
  <c r="AB22" i="19"/>
  <c r="AF28" i="19"/>
  <c r="AB24" i="19"/>
  <c r="AB26" i="19"/>
  <c r="AK19" i="19"/>
  <c r="AE22" i="19"/>
  <c r="AB20" i="19"/>
  <c r="AF22" i="19"/>
  <c r="AB29" i="19"/>
  <c r="AT12" i="19"/>
  <c r="AS28" i="19" s="1"/>
  <c r="AS29" i="19" s="1"/>
  <c r="AT13" i="19"/>
  <c r="BE11" i="19" s="1"/>
  <c r="BE12" i="19" s="1"/>
  <c r="AT14" i="19"/>
  <c r="AY13" i="19" s="1"/>
  <c r="BA13" i="19" s="1"/>
  <c r="AK22" i="19"/>
  <c r="AF26" i="19"/>
  <c r="AF24" i="19" s="1"/>
  <c r="AF37" i="19"/>
  <c r="AE37" i="19" s="1"/>
  <c r="AB23" i="19"/>
  <c r="AF20" i="19"/>
  <c r="AB27" i="19"/>
  <c r="AF29" i="19"/>
  <c r="J6" i="19"/>
  <c r="Q7" i="19" s="1"/>
  <c r="BB12" i="19"/>
  <c r="AB18" i="18"/>
  <c r="AB12" i="18" s="1"/>
  <c r="AS36" i="18"/>
  <c r="AS37" i="18" s="1"/>
  <c r="AT33" i="18"/>
  <c r="AT34" i="18" s="1"/>
  <c r="BB10" i="18"/>
  <c r="BB11" i="18"/>
  <c r="AF23" i="18"/>
  <c r="AF33" i="18"/>
  <c r="AD33" i="18" s="1"/>
  <c r="AD35" i="18" s="1"/>
  <c r="AF25" i="18"/>
  <c r="AE25" i="18" s="1"/>
  <c r="N13" i="18"/>
  <c r="AT15" i="18"/>
  <c r="AF19" i="18"/>
  <c r="AK23" i="18"/>
  <c r="AJ23" i="18" s="1"/>
  <c r="AF28" i="18"/>
  <c r="AK19" i="18"/>
  <c r="AB20" i="18"/>
  <c r="AF22" i="18"/>
  <c r="AT12" i="18"/>
  <c r="AY10" i="18" s="1"/>
  <c r="BA10" i="18" s="1"/>
  <c r="AT13" i="18"/>
  <c r="BE11" i="18" s="1"/>
  <c r="BE12" i="18" s="1"/>
  <c r="AT14" i="18"/>
  <c r="AY13" i="18" s="1"/>
  <c r="BA13" i="18" s="1"/>
  <c r="AF26" i="18"/>
  <c r="AF24" i="18" s="1"/>
  <c r="AF37" i="18"/>
  <c r="AE37" i="18" s="1"/>
  <c r="J5" i="18"/>
  <c r="BB12" i="18"/>
  <c r="J5" i="17"/>
  <c r="AY13" i="17"/>
  <c r="BA13" i="17" s="1"/>
  <c r="BB15" i="17" s="1"/>
  <c r="BB13" i="17"/>
  <c r="BB12" i="17"/>
  <c r="AS36" i="17"/>
  <c r="AS37" i="17" s="1"/>
  <c r="AT31" i="17"/>
  <c r="AT32" i="17" s="1"/>
  <c r="AT33" i="17"/>
  <c r="AT34" i="17" s="1"/>
  <c r="AB10" i="17"/>
  <c r="AB20" i="17" s="1"/>
  <c r="AB7" i="17"/>
  <c r="AB6" i="17"/>
  <c r="BB10" i="17"/>
  <c r="BB11" i="17"/>
  <c r="AF23" i="17"/>
  <c r="AF33" i="17"/>
  <c r="AD33" i="17" s="1"/>
  <c r="AD35" i="17" s="1"/>
  <c r="AF25" i="17"/>
  <c r="AE25" i="17" s="1"/>
  <c r="N13" i="17"/>
  <c r="AT15" i="17"/>
  <c r="AF19" i="17"/>
  <c r="AK23" i="17"/>
  <c r="AJ23" i="17" s="1"/>
  <c r="AF28" i="17"/>
  <c r="AK19" i="17"/>
  <c r="AF22" i="17"/>
  <c r="AF26" i="17"/>
  <c r="AF24" i="17" s="1"/>
  <c r="AF37" i="17"/>
  <c r="AE37" i="17" s="1"/>
  <c r="AF20" i="17"/>
  <c r="AF29" i="17"/>
  <c r="N13" i="16"/>
  <c r="AB25" i="16"/>
  <c r="J6" i="16"/>
  <c r="BB13" i="16"/>
  <c r="BB12" i="16"/>
  <c r="AT33" i="16"/>
  <c r="AT34" i="16" s="1"/>
  <c r="AS36" i="16"/>
  <c r="AS37" i="16" s="1"/>
  <c r="AF23" i="16"/>
  <c r="AF33" i="16"/>
  <c r="AD33" i="16" s="1"/>
  <c r="AD35" i="16" s="1"/>
  <c r="AB28" i="16"/>
  <c r="AB21" i="16"/>
  <c r="AF25" i="16"/>
  <c r="AE25" i="16" s="1"/>
  <c r="AB30" i="16"/>
  <c r="AT15" i="16"/>
  <c r="AF19" i="16"/>
  <c r="AK23" i="16"/>
  <c r="AJ23" i="16" s="1"/>
  <c r="AB22" i="16"/>
  <c r="AF28" i="16"/>
  <c r="AB24" i="16"/>
  <c r="AB26" i="16"/>
  <c r="AK19" i="16"/>
  <c r="AB20" i="16"/>
  <c r="AF22" i="16"/>
  <c r="AB29" i="16"/>
  <c r="AT12" i="16"/>
  <c r="AT13" i="16"/>
  <c r="BE11" i="16" s="1"/>
  <c r="BE12" i="16" s="1"/>
  <c r="AT14" i="16"/>
  <c r="AY13" i="16" s="1"/>
  <c r="BA13" i="16" s="1"/>
  <c r="AK22" i="16"/>
  <c r="AF26" i="16"/>
  <c r="AF24" i="16" s="1"/>
  <c r="AF37" i="16"/>
  <c r="AE37" i="16" s="1"/>
  <c r="AB23" i="16"/>
  <c r="AF20" i="16"/>
  <c r="AB27" i="16"/>
  <c r="J5" i="16"/>
  <c r="AB28" i="15"/>
  <c r="AK22" i="15"/>
  <c r="AB18" i="15"/>
  <c r="AB10" i="15" s="1"/>
  <c r="AT13" i="15"/>
  <c r="BE11" i="15" s="1"/>
  <c r="BE12" i="15" s="1"/>
  <c r="AF33" i="15"/>
  <c r="AD33" i="15" s="1"/>
  <c r="AD35" i="15" s="1"/>
  <c r="J5" i="15"/>
  <c r="AF26" i="15"/>
  <c r="AF24" i="15" s="1"/>
  <c r="AY13" i="15"/>
  <c r="BA13" i="15" s="1"/>
  <c r="BB14" i="15" s="1"/>
  <c r="BB13" i="15"/>
  <c r="BB12" i="15"/>
  <c r="AS34" i="15"/>
  <c r="AS35" i="15" s="1"/>
  <c r="AS36" i="15"/>
  <c r="AS37" i="15" s="1"/>
  <c r="AT33" i="15"/>
  <c r="AT34" i="15" s="1"/>
  <c r="AB21" i="15"/>
  <c r="AF25" i="15"/>
  <c r="AE25" i="15" s="1"/>
  <c r="AD28" i="15"/>
  <c r="AB30" i="15"/>
  <c r="Q14" i="15" s="1"/>
  <c r="N13" i="15"/>
  <c r="AT15" i="15"/>
  <c r="AF19" i="15"/>
  <c r="AK23" i="15"/>
  <c r="AJ23" i="15" s="1"/>
  <c r="BB11" i="15"/>
  <c r="AB22" i="15"/>
  <c r="AF28" i="15"/>
  <c r="AB24" i="15"/>
  <c r="AB26" i="15"/>
  <c r="AK19" i="15"/>
  <c r="AB20" i="15"/>
  <c r="AF22" i="15"/>
  <c r="AB29" i="15"/>
  <c r="AF37" i="15"/>
  <c r="AE37" i="15" s="1"/>
  <c r="AB23" i="15"/>
  <c r="AF20" i="15"/>
  <c r="AB27" i="15"/>
  <c r="AF29" i="15"/>
  <c r="AF23" i="14"/>
  <c r="AT15" i="14"/>
  <c r="AT37" i="14" s="1"/>
  <c r="AT38" i="14" s="1"/>
  <c r="AF28" i="14"/>
  <c r="AE28" i="14" s="1"/>
  <c r="AE29" i="14" s="1"/>
  <c r="AB18" i="14"/>
  <c r="AB8" i="14" s="1"/>
  <c r="AF33" i="14"/>
  <c r="AD33" i="14" s="1"/>
  <c r="AD35" i="14" s="1"/>
  <c r="J6" i="14"/>
  <c r="AF19" i="14"/>
  <c r="AF25" i="14"/>
  <c r="AE25" i="14" s="1"/>
  <c r="N13" i="14"/>
  <c r="AT33" i="14"/>
  <c r="AT34" i="14" s="1"/>
  <c r="AS36" i="14"/>
  <c r="AS37" i="14" s="1"/>
  <c r="BB13" i="14"/>
  <c r="BB12" i="14"/>
  <c r="AD28" i="14"/>
  <c r="BB11" i="14"/>
  <c r="AK19" i="14"/>
  <c r="AE22" i="14"/>
  <c r="AF22" i="14"/>
  <c r="AT12" i="14"/>
  <c r="AS28" i="14" s="1"/>
  <c r="AS29" i="14" s="1"/>
  <c r="AT13" i="14"/>
  <c r="BE11" i="14" s="1"/>
  <c r="BE12" i="14" s="1"/>
  <c r="AT14" i="14"/>
  <c r="AS34" i="14" s="1"/>
  <c r="AS35" i="14" s="1"/>
  <c r="AJ24" i="14"/>
  <c r="AJ33" i="14" s="1"/>
  <c r="AF26" i="14"/>
  <c r="AF24" i="14" s="1"/>
  <c r="AF37" i="14"/>
  <c r="AE37" i="14" s="1"/>
  <c r="AF20" i="14"/>
  <c r="AF29" i="14"/>
  <c r="AF23" i="13"/>
  <c r="AB18" i="13"/>
  <c r="AB10" i="13" s="1"/>
  <c r="AF25" i="13"/>
  <c r="AE25" i="13" s="1"/>
  <c r="J6" i="13"/>
  <c r="BB10" i="13"/>
  <c r="BB11" i="13"/>
  <c r="AS36" i="13"/>
  <c r="AS37" i="13" s="1"/>
  <c r="AT33" i="13"/>
  <c r="AT34" i="13" s="1"/>
  <c r="N13" i="13"/>
  <c r="AT15" i="13"/>
  <c r="AF19" i="13"/>
  <c r="AK23" i="13"/>
  <c r="AJ23" i="13" s="1"/>
  <c r="AD28" i="13"/>
  <c r="AF28" i="13"/>
  <c r="AK19" i="13"/>
  <c r="AE22" i="13"/>
  <c r="AF22" i="13"/>
  <c r="AT12" i="13"/>
  <c r="AY10" i="13" s="1"/>
  <c r="BA10" i="13" s="1"/>
  <c r="AT13" i="13"/>
  <c r="BE11" i="13" s="1"/>
  <c r="BE12" i="13" s="1"/>
  <c r="AT14" i="13"/>
  <c r="AY13" i="13" s="1"/>
  <c r="BA13" i="13" s="1"/>
  <c r="AF26" i="13"/>
  <c r="AF24" i="13" s="1"/>
  <c r="AF37" i="13"/>
  <c r="AE37" i="13" s="1"/>
  <c r="AF20" i="13"/>
  <c r="AF29" i="13"/>
  <c r="J5" i="13"/>
  <c r="BB12" i="13"/>
  <c r="AF33" i="12"/>
  <c r="AD33" i="12" s="1"/>
  <c r="AD35" i="12" s="1"/>
  <c r="AB18" i="12"/>
  <c r="AB7" i="12" s="1"/>
  <c r="J6" i="12"/>
  <c r="AT33" i="12"/>
  <c r="AT34" i="12" s="1"/>
  <c r="AS36" i="12"/>
  <c r="AS37" i="12" s="1"/>
  <c r="BB13" i="12"/>
  <c r="BB12" i="12"/>
  <c r="N13" i="12"/>
  <c r="AT15" i="12"/>
  <c r="AF19" i="12"/>
  <c r="AK23" i="12"/>
  <c r="AJ23" i="12" s="1"/>
  <c r="AF28" i="12"/>
  <c r="AB26" i="12"/>
  <c r="AK19" i="12"/>
  <c r="AE22" i="12"/>
  <c r="AF22" i="12"/>
  <c r="AB29" i="12"/>
  <c r="AT12" i="12"/>
  <c r="AY10" i="12" s="1"/>
  <c r="BA10" i="12" s="1"/>
  <c r="AT13" i="12"/>
  <c r="BE11" i="12" s="1"/>
  <c r="BE12" i="12" s="1"/>
  <c r="AT14" i="12"/>
  <c r="AY13" i="12" s="1"/>
  <c r="BA13" i="12" s="1"/>
  <c r="AF26" i="12"/>
  <c r="AF24" i="12" s="1"/>
  <c r="AF37" i="12"/>
  <c r="AE37" i="12" s="1"/>
  <c r="AF20" i="12"/>
  <c r="AF29" i="12"/>
  <c r="J5" i="12"/>
  <c r="J6" i="11"/>
  <c r="AS36" i="11"/>
  <c r="AS37" i="11" s="1"/>
  <c r="AT33" i="11"/>
  <c r="AT34" i="11" s="1"/>
  <c r="AF23" i="11"/>
  <c r="AF33" i="11"/>
  <c r="AD33" i="11" s="1"/>
  <c r="AD35" i="11" s="1"/>
  <c r="AF25" i="11"/>
  <c r="AE25" i="11" s="1"/>
  <c r="AD28" i="11"/>
  <c r="AT15" i="11"/>
  <c r="AF19" i="11"/>
  <c r="AK23" i="11"/>
  <c r="AJ23" i="11" s="1"/>
  <c r="BB11" i="11"/>
  <c r="AF28" i="11"/>
  <c r="AK19" i="11"/>
  <c r="AE22" i="11"/>
  <c r="AF22" i="11"/>
  <c r="AT12" i="11"/>
  <c r="AY10" i="11" s="1"/>
  <c r="BA10" i="11" s="1"/>
  <c r="AT13" i="11"/>
  <c r="BE11" i="11" s="1"/>
  <c r="BE12" i="11" s="1"/>
  <c r="AT14" i="11"/>
  <c r="AY13" i="11" s="1"/>
  <c r="BA13" i="11" s="1"/>
  <c r="AF26" i="11"/>
  <c r="AF24" i="11" s="1"/>
  <c r="AF37" i="11"/>
  <c r="AE37" i="11" s="1"/>
  <c r="AF20" i="11"/>
  <c r="AF29" i="11"/>
  <c r="J5" i="11"/>
  <c r="BB12" i="11"/>
  <c r="AF19" i="10"/>
  <c r="AF33" i="10"/>
  <c r="AD33" i="10" s="1"/>
  <c r="AD35" i="10" s="1"/>
  <c r="N13" i="10"/>
  <c r="AF25" i="10"/>
  <c r="AE25" i="10" s="1"/>
  <c r="AK23" i="10"/>
  <c r="AJ23" i="10" s="1"/>
  <c r="AJ32" i="10" s="1"/>
  <c r="AF23" i="10"/>
  <c r="AT15" i="10"/>
  <c r="AT37" i="10" s="1"/>
  <c r="AT38" i="10" s="1"/>
  <c r="AB18" i="10"/>
  <c r="AB4" i="10" s="1"/>
  <c r="AT33" i="10"/>
  <c r="AT34" i="10" s="1"/>
  <c r="AS36" i="10"/>
  <c r="AS37" i="10" s="1"/>
  <c r="BB13" i="10"/>
  <c r="BB12" i="10"/>
  <c r="BB11" i="10"/>
  <c r="AF28" i="10"/>
  <c r="AK19" i="10"/>
  <c r="AE22" i="10"/>
  <c r="AF22" i="10"/>
  <c r="AT12" i="10"/>
  <c r="AS28" i="10" s="1"/>
  <c r="AS29" i="10" s="1"/>
  <c r="AT13" i="10"/>
  <c r="BE11" i="10" s="1"/>
  <c r="BE12" i="10" s="1"/>
  <c r="AT14" i="10"/>
  <c r="AY13" i="10" s="1"/>
  <c r="BA13" i="10" s="1"/>
  <c r="AF26" i="10"/>
  <c r="AF24" i="10" s="1"/>
  <c r="AF37" i="10"/>
  <c r="AE37" i="10" s="1"/>
  <c r="AF20" i="10"/>
  <c r="AF29" i="10"/>
  <c r="J5" i="10"/>
  <c r="AF19" i="9"/>
  <c r="AB18" i="9"/>
  <c r="AB11" i="9" s="1"/>
  <c r="AF25" i="9"/>
  <c r="AE25" i="9" s="1"/>
  <c r="AB30" i="9"/>
  <c r="AT15" i="9"/>
  <c r="AT37" i="9" s="1"/>
  <c r="AT38" i="9" s="1"/>
  <c r="AK22" i="9"/>
  <c r="AF26" i="9"/>
  <c r="AF24" i="9" s="1"/>
  <c r="AB22" i="9"/>
  <c r="AK23" i="9"/>
  <c r="AJ23" i="9" s="1"/>
  <c r="AJ32" i="9" s="1"/>
  <c r="AB28" i="9"/>
  <c r="AT12" i="9"/>
  <c r="AS28" i="9" s="1"/>
  <c r="AS29" i="9" s="1"/>
  <c r="AT14" i="9"/>
  <c r="AY13" i="9" s="1"/>
  <c r="BA13" i="9" s="1"/>
  <c r="N13" i="9"/>
  <c r="AB25" i="9"/>
  <c r="AF28" i="9"/>
  <c r="AF37" i="9"/>
  <c r="AE37" i="9" s="1"/>
  <c r="AT31" i="9"/>
  <c r="AT32" i="9" s="1"/>
  <c r="AT33" i="9"/>
  <c r="AT34" i="9" s="1"/>
  <c r="AS36" i="9"/>
  <c r="AS37" i="9" s="1"/>
  <c r="BB12" i="9"/>
  <c r="BB13" i="9"/>
  <c r="AF23" i="9"/>
  <c r="AF33" i="9"/>
  <c r="AD33" i="9" s="1"/>
  <c r="AD35" i="9" s="1"/>
  <c r="BB11" i="9"/>
  <c r="AB24" i="9"/>
  <c r="AB26" i="9"/>
  <c r="AK19" i="9"/>
  <c r="AE22" i="9"/>
  <c r="AB20" i="9"/>
  <c r="AF22" i="9"/>
  <c r="AB29" i="9"/>
  <c r="AB23" i="9"/>
  <c r="AF20" i="9"/>
  <c r="AB27" i="9"/>
  <c r="AB18" i="8"/>
  <c r="AB7" i="8" s="1"/>
  <c r="AT15" i="8"/>
  <c r="AF22" i="8"/>
  <c r="AD22" i="8" s="1"/>
  <c r="AD23" i="8" s="1"/>
  <c r="AF29" i="8"/>
  <c r="Q8" i="8"/>
  <c r="AK23" i="8"/>
  <c r="AJ23" i="8" s="1"/>
  <c r="AJ24" i="8" s="1"/>
  <c r="AJ33" i="8" s="1"/>
  <c r="AF33" i="8"/>
  <c r="AD33" i="8" s="1"/>
  <c r="AD35" i="8" s="1"/>
  <c r="AF19" i="8"/>
  <c r="AS36" i="8"/>
  <c r="AS37" i="8" s="1"/>
  <c r="AT33" i="8"/>
  <c r="AT34" i="8" s="1"/>
  <c r="AF25" i="8"/>
  <c r="AE25" i="8" s="1"/>
  <c r="AD28" i="8"/>
  <c r="N13" i="8"/>
  <c r="BB11" i="8"/>
  <c r="AF28" i="8"/>
  <c r="AK19" i="8"/>
  <c r="AE22" i="8"/>
  <c r="AT12" i="8"/>
  <c r="AY10" i="8" s="1"/>
  <c r="BA10" i="8" s="1"/>
  <c r="AT13" i="8"/>
  <c r="BE11" i="8" s="1"/>
  <c r="BE12" i="8" s="1"/>
  <c r="AT14" i="8"/>
  <c r="AS34" i="8" s="1"/>
  <c r="AS35" i="8" s="1"/>
  <c r="AF26" i="8"/>
  <c r="AF24" i="8" s="1"/>
  <c r="AF37" i="8"/>
  <c r="AE37" i="8" s="1"/>
  <c r="J5" i="8"/>
  <c r="BB12" i="8"/>
  <c r="Q13" i="7"/>
  <c r="AB12" i="7"/>
  <c r="AC12" i="7" s="1"/>
  <c r="AB7" i="7"/>
  <c r="AL7" i="7" s="1"/>
  <c r="AB9" i="7"/>
  <c r="AD9" i="7" s="1"/>
  <c r="AB6" i="7"/>
  <c r="AK6" i="7" s="1"/>
  <c r="AB8" i="7"/>
  <c r="AF8" i="7" s="1"/>
  <c r="AB5" i="7"/>
  <c r="AL5" i="7" s="1"/>
  <c r="AB30" i="7" s="1"/>
  <c r="Q14" i="7" s="1"/>
  <c r="AK25" i="7" s="1"/>
  <c r="AF20" i="7"/>
  <c r="J5" i="7"/>
  <c r="N13" i="7"/>
  <c r="AT14" i="7"/>
  <c r="AY13" i="7" s="1"/>
  <c r="BA13" i="7" s="1"/>
  <c r="BB14" i="7" s="1"/>
  <c r="AF29" i="7"/>
  <c r="AF22" i="7"/>
  <c r="AD22" i="7" s="1"/>
  <c r="AD23" i="7" s="1"/>
  <c r="AF25" i="7"/>
  <c r="AE25" i="7" s="1"/>
  <c r="AF19" i="7"/>
  <c r="AF23" i="7"/>
  <c r="AB26" i="7"/>
  <c r="Q8" i="7" s="1"/>
  <c r="AT13" i="7"/>
  <c r="BE11" i="7" s="1"/>
  <c r="BE12" i="7" s="1"/>
  <c r="AF26" i="7"/>
  <c r="AF24" i="7" s="1"/>
  <c r="AT15" i="7"/>
  <c r="AK19" i="7"/>
  <c r="AK23" i="7"/>
  <c r="AJ23" i="7" s="1"/>
  <c r="AJ32" i="7" s="1"/>
  <c r="AF37" i="7"/>
  <c r="AE37" i="7" s="1"/>
  <c r="BB9" i="7"/>
  <c r="BB8" i="7"/>
  <c r="AE28" i="7"/>
  <c r="AE29" i="7" s="1"/>
  <c r="AB4" i="7"/>
  <c r="AB11" i="7"/>
  <c r="AT33" i="7"/>
  <c r="AT34" i="7" s="1"/>
  <c r="AS36" i="7"/>
  <c r="AS37" i="7" s="1"/>
  <c r="AS28" i="7"/>
  <c r="AS29" i="7" s="1"/>
  <c r="AB10" i="7"/>
  <c r="BB12" i="7"/>
  <c r="AB18" i="6"/>
  <c r="AB12" i="6" s="1"/>
  <c r="AF23" i="5"/>
  <c r="AF33" i="5"/>
  <c r="AD33" i="5" s="1"/>
  <c r="AD35" i="5" s="1"/>
  <c r="J6" i="5"/>
  <c r="BB10" i="6"/>
  <c r="BB11" i="6"/>
  <c r="AT33" i="6"/>
  <c r="AT34" i="6" s="1"/>
  <c r="BB13" i="6"/>
  <c r="BB12" i="6"/>
  <c r="AS36" i="6"/>
  <c r="AS37" i="6" s="1"/>
  <c r="AF23" i="6"/>
  <c r="AF33" i="6"/>
  <c r="AD33" i="6" s="1"/>
  <c r="AD35" i="6" s="1"/>
  <c r="AF25" i="6"/>
  <c r="AE25" i="6" s="1"/>
  <c r="AD28" i="6"/>
  <c r="N13" i="6"/>
  <c r="AT15" i="6"/>
  <c r="AF19" i="6"/>
  <c r="AK23" i="6"/>
  <c r="AJ23" i="6" s="1"/>
  <c r="AF28" i="6"/>
  <c r="AB26" i="6"/>
  <c r="AK19" i="6"/>
  <c r="AF22" i="6"/>
  <c r="AB29" i="6"/>
  <c r="AT12" i="6"/>
  <c r="AY10" i="6" s="1"/>
  <c r="BA10" i="6" s="1"/>
  <c r="AT13" i="6"/>
  <c r="BE11" i="6" s="1"/>
  <c r="BE12" i="6" s="1"/>
  <c r="AT14" i="6"/>
  <c r="AY13" i="6" s="1"/>
  <c r="BA13" i="6" s="1"/>
  <c r="AF26" i="6"/>
  <c r="AF24" i="6" s="1"/>
  <c r="AF37" i="6"/>
  <c r="AE37" i="6" s="1"/>
  <c r="AF20" i="6"/>
  <c r="AF29" i="6"/>
  <c r="AT33" i="5"/>
  <c r="AT34" i="5" s="1"/>
  <c r="AS36" i="5"/>
  <c r="AS37" i="5" s="1"/>
  <c r="BB13" i="5"/>
  <c r="BB12" i="5"/>
  <c r="BA11" i="5"/>
  <c r="N13" i="5"/>
  <c r="AT15" i="5"/>
  <c r="AF19" i="5"/>
  <c r="AK23" i="5"/>
  <c r="AJ23" i="5" s="1"/>
  <c r="AF28" i="5"/>
  <c r="AB26" i="5"/>
  <c r="AK19" i="5"/>
  <c r="AE22" i="5"/>
  <c r="AD26" i="5"/>
  <c r="AD29" i="5" s="1"/>
  <c r="AB20" i="5"/>
  <c r="AF22" i="5"/>
  <c r="AB29" i="5"/>
  <c r="AT12" i="5"/>
  <c r="AY10" i="5" s="1"/>
  <c r="BA10" i="5" s="1"/>
  <c r="AT13" i="5"/>
  <c r="BE11" i="5" s="1"/>
  <c r="BE12" i="5" s="1"/>
  <c r="AT14" i="5"/>
  <c r="AY13" i="5" s="1"/>
  <c r="BA13" i="5" s="1"/>
  <c r="AF26" i="5"/>
  <c r="AF24" i="5" s="1"/>
  <c r="AF37" i="5"/>
  <c r="AE37" i="5" s="1"/>
  <c r="AF20" i="5"/>
  <c r="AF29" i="5"/>
  <c r="J5" i="5"/>
  <c r="AT14" i="4"/>
  <c r="AS34" i="4" s="1"/>
  <c r="AS35" i="4" s="1"/>
  <c r="AF29" i="4"/>
  <c r="AT12" i="4"/>
  <c r="AS28" i="4" s="1"/>
  <c r="AS29" i="4" s="1"/>
  <c r="AK23" i="4"/>
  <c r="AJ23" i="4" s="1"/>
  <c r="AJ32" i="4" s="1"/>
  <c r="AF20" i="4"/>
  <c r="AF19" i="4"/>
  <c r="AF25" i="4"/>
  <c r="AE25" i="4" s="1"/>
  <c r="AT13" i="4"/>
  <c r="BE11" i="4" s="1"/>
  <c r="BE12" i="4" s="1"/>
  <c r="AF22" i="4"/>
  <c r="AD22" i="4" s="1"/>
  <c r="AD23" i="4" s="1"/>
  <c r="AT15" i="4"/>
  <c r="AT37" i="4" s="1"/>
  <c r="AT38" i="4" s="1"/>
  <c r="AF28" i="4"/>
  <c r="AF27" i="4" s="1"/>
  <c r="AB9" i="4"/>
  <c r="AB11" i="4"/>
  <c r="AB4" i="4"/>
  <c r="AB7" i="4"/>
  <c r="AB6" i="4"/>
  <c r="AB5" i="4"/>
  <c r="AB8" i="4"/>
  <c r="AB12" i="4"/>
  <c r="AB10" i="4"/>
  <c r="AS36" i="4"/>
  <c r="AS37" i="4" s="1"/>
  <c r="AT33" i="4"/>
  <c r="AT34" i="4" s="1"/>
  <c r="BB10" i="4"/>
  <c r="BB12" i="4"/>
  <c r="AF23" i="4"/>
  <c r="AF33" i="4"/>
  <c r="AD33" i="4" s="1"/>
  <c r="AD35" i="4" s="1"/>
  <c r="N13" i="4"/>
  <c r="AB26" i="4"/>
  <c r="Q8" i="4" s="1"/>
  <c r="AK19" i="4"/>
  <c r="AE22" i="4"/>
  <c r="AF26" i="4"/>
  <c r="AF24" i="4" s="1"/>
  <c r="AF23" i="3"/>
  <c r="AK23" i="3"/>
  <c r="AJ23" i="3" s="1"/>
  <c r="AJ32" i="3" s="1"/>
  <c r="AF33" i="3"/>
  <c r="AD33" i="3" s="1"/>
  <c r="AD35" i="3" s="1"/>
  <c r="AT15" i="3"/>
  <c r="AT37" i="3" s="1"/>
  <c r="AT38" i="3" s="1"/>
  <c r="AF19" i="3"/>
  <c r="BB13" i="3"/>
  <c r="BB12" i="3"/>
  <c r="AB12" i="3"/>
  <c r="AB10" i="3"/>
  <c r="AB9" i="3"/>
  <c r="AB5" i="3"/>
  <c r="AB20" i="3" s="1"/>
  <c r="AB6" i="3"/>
  <c r="AB7" i="3"/>
  <c r="AB11" i="3"/>
  <c r="AB4" i="3"/>
  <c r="AB8" i="3"/>
  <c r="AT33" i="3"/>
  <c r="AT34" i="3" s="1"/>
  <c r="AS36" i="3"/>
  <c r="AS37" i="3" s="1"/>
  <c r="AF28" i="3"/>
  <c r="BB11" i="3"/>
  <c r="AK19" i="3"/>
  <c r="AE22" i="3"/>
  <c r="AD26" i="3"/>
  <c r="AD29" i="3" s="1"/>
  <c r="AF22" i="3"/>
  <c r="AT12" i="3"/>
  <c r="AY10" i="3" s="1"/>
  <c r="BA10" i="3" s="1"/>
  <c r="AT13" i="3"/>
  <c r="BE11" i="3" s="1"/>
  <c r="BE12" i="3" s="1"/>
  <c r="AT14" i="3"/>
  <c r="AY13" i="3" s="1"/>
  <c r="BA13" i="3" s="1"/>
  <c r="AF26" i="3"/>
  <c r="AF24" i="3" s="1"/>
  <c r="AF37" i="3"/>
  <c r="AE37" i="3" s="1"/>
  <c r="AF20" i="3"/>
  <c r="AF29" i="3"/>
  <c r="J5" i="3"/>
  <c r="M24" i="2"/>
  <c r="M9" i="2"/>
  <c r="AB7" i="16" l="1"/>
  <c r="AB4" i="16"/>
  <c r="AC4" i="16" s="1"/>
  <c r="AB8" i="16"/>
  <c r="AH8" i="16" s="1"/>
  <c r="AS28" i="15"/>
  <c r="AS29" i="15" s="1"/>
  <c r="AB11" i="16"/>
  <c r="AF11" i="16" s="1"/>
  <c r="AB9" i="16"/>
  <c r="AB10" i="16"/>
  <c r="AE10" i="16" s="1"/>
  <c r="AB12" i="16"/>
  <c r="AE12" i="16" s="1"/>
  <c r="AB5" i="16"/>
  <c r="AJ5" i="16" s="1"/>
  <c r="AB6" i="11"/>
  <c r="AK6" i="11" s="1"/>
  <c r="AB7" i="11"/>
  <c r="Q8" i="15"/>
  <c r="AB5" i="11"/>
  <c r="AJ5" i="11" s="1"/>
  <c r="AB8" i="11"/>
  <c r="AK8" i="11" s="1"/>
  <c r="Q6" i="15"/>
  <c r="AB4" i="11"/>
  <c r="Q12" i="15"/>
  <c r="AK31" i="15" s="1"/>
  <c r="N11" i="9"/>
  <c r="N12" i="9" s="1"/>
  <c r="M14" i="9" s="1"/>
  <c r="AB11" i="11"/>
  <c r="Q11" i="15"/>
  <c r="AK34" i="15" s="1"/>
  <c r="AB9" i="11"/>
  <c r="AB10" i="11"/>
  <c r="AE10" i="11" s="1"/>
  <c r="Q5" i="15"/>
  <c r="AK18" i="15" s="1"/>
  <c r="Q13" i="15"/>
  <c r="AK28" i="15" s="1"/>
  <c r="Q13" i="6"/>
  <c r="Q8" i="6"/>
  <c r="AB10" i="21"/>
  <c r="AG10" i="21" s="1"/>
  <c r="AB9" i="19"/>
  <c r="AC9" i="19" s="1"/>
  <c r="AB6" i="21"/>
  <c r="AC6" i="21" s="1"/>
  <c r="AB5" i="15"/>
  <c r="AJ5" i="15" s="1"/>
  <c r="AB12" i="19"/>
  <c r="AL12" i="19" s="1"/>
  <c r="AB5" i="17"/>
  <c r="AL5" i="17" s="1"/>
  <c r="AS28" i="11"/>
  <c r="AS29" i="11" s="1"/>
  <c r="AD12" i="7"/>
  <c r="AY10" i="17"/>
  <c r="BA10" i="17" s="1"/>
  <c r="AB7" i="21"/>
  <c r="AL7" i="21" s="1"/>
  <c r="AE26" i="16"/>
  <c r="AB9" i="20"/>
  <c r="AC9" i="20" s="1"/>
  <c r="AG5" i="7"/>
  <c r="AB25" i="7" s="1"/>
  <c r="Q7" i="7" s="1"/>
  <c r="AF21" i="7" s="1"/>
  <c r="AB5" i="14"/>
  <c r="AJ5" i="14" s="1"/>
  <c r="AB6" i="14"/>
  <c r="AK6" i="14" s="1"/>
  <c r="AD5" i="7"/>
  <c r="AB22" i="7" s="1"/>
  <c r="N11" i="7" s="1"/>
  <c r="N12" i="7" s="1"/>
  <c r="M14" i="7" s="1"/>
  <c r="Q14" i="20"/>
  <c r="AB11" i="21"/>
  <c r="AC11" i="21" s="1"/>
  <c r="AB8" i="15"/>
  <c r="AK8" i="15" s="1"/>
  <c r="AB12" i="21"/>
  <c r="AG12" i="21" s="1"/>
  <c r="Q13" i="4"/>
  <c r="AY13" i="4"/>
  <c r="BA13" i="4" s="1"/>
  <c r="BB14" i="4" s="1"/>
  <c r="AS28" i="6"/>
  <c r="AS29" i="6" s="1"/>
  <c r="AB5" i="6"/>
  <c r="AB20" i="6" s="1"/>
  <c r="AB6" i="15"/>
  <c r="AK6" i="15" s="1"/>
  <c r="AB11" i="6"/>
  <c r="AH11" i="6" s="1"/>
  <c r="AB7" i="15"/>
  <c r="AG7" i="15" s="1"/>
  <c r="AB9" i="15"/>
  <c r="AC9" i="15" s="1"/>
  <c r="Q12" i="17"/>
  <c r="AB8" i="13"/>
  <c r="AH8" i="13" s="1"/>
  <c r="AB6" i="13"/>
  <c r="AK6" i="13" s="1"/>
  <c r="AJ5" i="7"/>
  <c r="AB28" i="7" s="1"/>
  <c r="Q12" i="7" s="1"/>
  <c r="AK31" i="7" s="1"/>
  <c r="BC11" i="9"/>
  <c r="AY10" i="4"/>
  <c r="BA10" i="4" s="1"/>
  <c r="BB8" i="4" s="1"/>
  <c r="AB10" i="8"/>
  <c r="AL10" i="8" s="1"/>
  <c r="AJ9" i="7"/>
  <c r="AB8" i="21"/>
  <c r="AH8" i="21" s="1"/>
  <c r="AB4" i="21"/>
  <c r="AJ4" i="21" s="1"/>
  <c r="AJ32" i="8"/>
  <c r="AB6" i="12"/>
  <c r="AI6" i="12" s="1"/>
  <c r="AB4" i="15"/>
  <c r="AC4" i="15" s="1"/>
  <c r="AB7" i="18"/>
  <c r="AC7" i="18" s="1"/>
  <c r="AB5" i="20"/>
  <c r="AD5" i="20" s="1"/>
  <c r="AB5" i="21"/>
  <c r="AJ5" i="21" s="1"/>
  <c r="AB11" i="15"/>
  <c r="AC11" i="15" s="1"/>
  <c r="AB11" i="18"/>
  <c r="AH11" i="18" s="1"/>
  <c r="AB8" i="19"/>
  <c r="AD8" i="19" s="1"/>
  <c r="AB4" i="20"/>
  <c r="AE4" i="20" s="1"/>
  <c r="AB10" i="20"/>
  <c r="AE10" i="20" s="1"/>
  <c r="AB6" i="6"/>
  <c r="AD6" i="6" s="1"/>
  <c r="AB4" i="17"/>
  <c r="AJ4" i="17" s="1"/>
  <c r="AB10" i="5"/>
  <c r="AL10" i="5" s="1"/>
  <c r="AB5" i="5"/>
  <c r="AL5" i="5" s="1"/>
  <c r="AB30" i="5" s="1"/>
  <c r="Q14" i="5" s="1"/>
  <c r="AB20" i="7"/>
  <c r="Q14" i="9"/>
  <c r="AK25" i="9" s="1"/>
  <c r="AH6" i="7"/>
  <c r="Q8" i="9"/>
  <c r="Q6" i="9"/>
  <c r="Q7" i="9"/>
  <c r="AF21" i="9" s="1"/>
  <c r="AB5" i="19"/>
  <c r="AC5" i="19" s="1"/>
  <c r="AB6" i="19"/>
  <c r="AI6" i="19" s="1"/>
  <c r="AB7" i="6"/>
  <c r="AG7" i="6" s="1"/>
  <c r="AB7" i="19"/>
  <c r="AL7" i="19" s="1"/>
  <c r="AB4" i="6"/>
  <c r="AC4" i="6" s="1"/>
  <c r="AB12" i="8"/>
  <c r="AL12" i="8" s="1"/>
  <c r="Q11" i="9"/>
  <c r="AK34" i="9" s="1"/>
  <c r="AB4" i="19"/>
  <c r="AD4" i="19" s="1"/>
  <c r="Q12" i="9"/>
  <c r="AK31" i="9" s="1"/>
  <c r="AB11" i="19"/>
  <c r="AH11" i="19" s="1"/>
  <c r="AB8" i="6"/>
  <c r="AF8" i="6" s="1"/>
  <c r="Q5" i="9"/>
  <c r="AK18" i="9" s="1"/>
  <c r="AB10" i="6"/>
  <c r="AL10" i="6" s="1"/>
  <c r="AD6" i="7"/>
  <c r="Q13" i="9"/>
  <c r="AK28" i="9" s="1"/>
  <c r="AE5" i="7"/>
  <c r="AB23" i="7" s="1"/>
  <c r="Q5" i="7" s="1"/>
  <c r="AK18" i="7" s="1"/>
  <c r="AB4" i="12"/>
  <c r="AJ4" i="12" s="1"/>
  <c r="AB5" i="18"/>
  <c r="AJ5" i="18" s="1"/>
  <c r="AI6" i="7"/>
  <c r="AB6" i="18"/>
  <c r="AI6" i="18" s="1"/>
  <c r="AJ32" i="20"/>
  <c r="AB5" i="12"/>
  <c r="AJ5" i="12" s="1"/>
  <c r="AB28" i="12" s="1"/>
  <c r="Q12" i="12" s="1"/>
  <c r="AK31" i="12" s="1"/>
  <c r="AB12" i="5"/>
  <c r="AC12" i="5" s="1"/>
  <c r="AL9" i="7"/>
  <c r="AG12" i="7"/>
  <c r="AB4" i="8"/>
  <c r="AJ4" i="8" s="1"/>
  <c r="AJ24" i="10"/>
  <c r="AJ33" i="10" s="1"/>
  <c r="AB12" i="13"/>
  <c r="AG12" i="13" s="1"/>
  <c r="Q5" i="16"/>
  <c r="AK18" i="16" s="1"/>
  <c r="Q8" i="16"/>
  <c r="BB14" i="17"/>
  <c r="Q13" i="5"/>
  <c r="AK8" i="7"/>
  <c r="AE12" i="7"/>
  <c r="AB11" i="8"/>
  <c r="AF11" i="8" s="1"/>
  <c r="AE26" i="14"/>
  <c r="Q6" i="16"/>
  <c r="AB8" i="17"/>
  <c r="AK8" i="17" s="1"/>
  <c r="AB12" i="20"/>
  <c r="AG12" i="20" s="1"/>
  <c r="AL12" i="7"/>
  <c r="AB9" i="8"/>
  <c r="AE9" i="8" s="1"/>
  <c r="AB4" i="9"/>
  <c r="AJ4" i="9" s="1"/>
  <c r="AT31" i="13"/>
  <c r="AT32" i="13" s="1"/>
  <c r="Q7" i="16"/>
  <c r="Q13" i="12"/>
  <c r="AB11" i="5"/>
  <c r="AH11" i="5" s="1"/>
  <c r="AB9" i="6"/>
  <c r="AC9" i="6" s="1"/>
  <c r="AC8" i="7"/>
  <c r="AE8" i="7" s="1"/>
  <c r="AG9" i="7"/>
  <c r="AS34" i="7"/>
  <c r="AS35" i="7" s="1"/>
  <c r="AB11" i="12"/>
  <c r="AH11" i="12" s="1"/>
  <c r="AB5" i="13"/>
  <c r="AJ5" i="13" s="1"/>
  <c r="AB7" i="14"/>
  <c r="AL7" i="14" s="1"/>
  <c r="AB11" i="17"/>
  <c r="AC11" i="17" s="1"/>
  <c r="AB8" i="18"/>
  <c r="AF8" i="18" s="1"/>
  <c r="AB6" i="20"/>
  <c r="AB20" i="20" s="1"/>
  <c r="BC11" i="3"/>
  <c r="Q8" i="5"/>
  <c r="AB7" i="5"/>
  <c r="AD7" i="5" s="1"/>
  <c r="AD8" i="7"/>
  <c r="AS28" i="12"/>
  <c r="AS29" i="12" s="1"/>
  <c r="AB8" i="12"/>
  <c r="AH8" i="12" s="1"/>
  <c r="AS28" i="13"/>
  <c r="AS29" i="13" s="1"/>
  <c r="AB7" i="13"/>
  <c r="AD7" i="13" s="1"/>
  <c r="AB4" i="14"/>
  <c r="AE4" i="14" s="1"/>
  <c r="AE26" i="15"/>
  <c r="Q13" i="16"/>
  <c r="AK28" i="16" s="1"/>
  <c r="Q14" i="16"/>
  <c r="AB9" i="17"/>
  <c r="AL9" i="17" s="1"/>
  <c r="AB4" i="18"/>
  <c r="AE4" i="18" s="1"/>
  <c r="AB7" i="20"/>
  <c r="AC7" i="20" s="1"/>
  <c r="AB6" i="5"/>
  <c r="AC6" i="5" s="1"/>
  <c r="AB11" i="14"/>
  <c r="AF11" i="14" s="1"/>
  <c r="AB8" i="5"/>
  <c r="AK8" i="5" s="1"/>
  <c r="AH8" i="7"/>
  <c r="AC6" i="7"/>
  <c r="AJ6" i="7" s="1"/>
  <c r="AB5" i="8"/>
  <c r="AE5" i="8" s="1"/>
  <c r="AB23" i="8" s="1"/>
  <c r="Q5" i="8" s="1"/>
  <c r="AK18" i="8" s="1"/>
  <c r="AB9" i="12"/>
  <c r="AJ9" i="12" s="1"/>
  <c r="AB11" i="13"/>
  <c r="AD11" i="13" s="1"/>
  <c r="AB9" i="14"/>
  <c r="AB20" i="14" s="1"/>
  <c r="AB12" i="15"/>
  <c r="AE12" i="15" s="1"/>
  <c r="AB9" i="18"/>
  <c r="AC9" i="18" s="1"/>
  <c r="AB11" i="20"/>
  <c r="AK11" i="20" s="1"/>
  <c r="AB4" i="5"/>
  <c r="AJ4" i="5" s="1"/>
  <c r="AC7" i="7"/>
  <c r="AF7" i="7" s="1"/>
  <c r="AB4" i="13"/>
  <c r="AE4" i="13" s="1"/>
  <c r="AB9" i="5"/>
  <c r="AC9" i="5" s="1"/>
  <c r="AF6" i="7"/>
  <c r="AB6" i="8"/>
  <c r="AK6" i="8" s="1"/>
  <c r="Q8" i="12"/>
  <c r="AB10" i="12"/>
  <c r="AD10" i="12" s="1"/>
  <c r="AB9" i="13"/>
  <c r="AB20" i="13" s="1"/>
  <c r="AB10" i="14"/>
  <c r="AL10" i="14" s="1"/>
  <c r="AT31" i="15"/>
  <c r="AT32" i="15" s="1"/>
  <c r="Q11" i="16"/>
  <c r="AK34" i="16" s="1"/>
  <c r="Q12" i="16"/>
  <c r="AB10" i="18"/>
  <c r="AE10" i="18" s="1"/>
  <c r="AB23" i="18" s="1"/>
  <c r="Q5" i="18" s="1"/>
  <c r="AK18" i="18" s="1"/>
  <c r="BC11" i="20"/>
  <c r="BD11" i="20" s="1"/>
  <c r="BD12" i="20" s="1"/>
  <c r="AB8" i="8"/>
  <c r="AH8" i="8" s="1"/>
  <c r="Q8" i="19"/>
  <c r="AJ24" i="3"/>
  <c r="AJ33" i="3" s="1"/>
  <c r="AB12" i="12"/>
  <c r="AL12" i="12" s="1"/>
  <c r="AB12" i="14"/>
  <c r="AL12" i="14" s="1"/>
  <c r="N11" i="19"/>
  <c r="N12" i="19" s="1"/>
  <c r="M14" i="19" s="1"/>
  <c r="AT31" i="21"/>
  <c r="AT32" i="21" s="1"/>
  <c r="AS34" i="21"/>
  <c r="AS35" i="21" s="1"/>
  <c r="BB14" i="21"/>
  <c r="BB15" i="21"/>
  <c r="AY10" i="21"/>
  <c r="BA10" i="21" s="1"/>
  <c r="AC9" i="21"/>
  <c r="AL9" i="21"/>
  <c r="AB30" i="21" s="1"/>
  <c r="Q14" i="21" s="1"/>
  <c r="AJ9" i="21"/>
  <c r="AG9" i="21"/>
  <c r="AB25" i="21" s="1"/>
  <c r="Q7" i="21" s="1"/>
  <c r="AF21" i="21" s="1"/>
  <c r="AD9" i="21"/>
  <c r="AE9" i="21"/>
  <c r="BB10" i="21"/>
  <c r="BB11" i="21"/>
  <c r="AF24" i="21"/>
  <c r="AE26" i="21"/>
  <c r="AI19" i="21"/>
  <c r="AK20" i="21"/>
  <c r="AE28" i="21"/>
  <c r="AE29" i="21" s="1"/>
  <c r="AK6" i="21"/>
  <c r="AI6" i="21"/>
  <c r="AH6" i="21"/>
  <c r="AF6" i="21"/>
  <c r="AD6" i="21"/>
  <c r="AJ32" i="21"/>
  <c r="AJ24" i="21"/>
  <c r="AJ33" i="21" s="1"/>
  <c r="AF18" i="21"/>
  <c r="AD19" i="21"/>
  <c r="AD20" i="21" s="1"/>
  <c r="AD22" i="21"/>
  <c r="AD23" i="21" s="1"/>
  <c r="AB20" i="21"/>
  <c r="AT37" i="21"/>
  <c r="AT38" i="21" s="1"/>
  <c r="BC11" i="21"/>
  <c r="AS34" i="20"/>
  <c r="AS35" i="20" s="1"/>
  <c r="AF18" i="20"/>
  <c r="AD19" i="20"/>
  <c r="AD20" i="20" s="1"/>
  <c r="BB14" i="20"/>
  <c r="BB15" i="20"/>
  <c r="BB9" i="20"/>
  <c r="BB8" i="20"/>
  <c r="AF21" i="20"/>
  <c r="AD22" i="20"/>
  <c r="AD23" i="20" s="1"/>
  <c r="AS28" i="20"/>
  <c r="AS29" i="20" s="1"/>
  <c r="AK8" i="20"/>
  <c r="AH8" i="20"/>
  <c r="AF8" i="20"/>
  <c r="AD8" i="20"/>
  <c r="AC8" i="20"/>
  <c r="AJ9" i="20"/>
  <c r="AI19" i="20"/>
  <c r="AK20" i="20"/>
  <c r="AE26" i="20"/>
  <c r="AT31" i="20"/>
  <c r="AT32" i="20" s="1"/>
  <c r="AF27" i="20"/>
  <c r="AE28" i="20"/>
  <c r="AE29" i="20" s="1"/>
  <c r="Q11" i="19"/>
  <c r="AK34" i="19" s="1"/>
  <c r="AY10" i="19"/>
  <c r="BA10" i="19" s="1"/>
  <c r="BB9" i="19" s="1"/>
  <c r="BB14" i="19"/>
  <c r="BB15" i="19"/>
  <c r="AT37" i="19"/>
  <c r="AT38" i="19" s="1"/>
  <c r="BC11" i="19"/>
  <c r="Q14" i="19"/>
  <c r="AC11" i="19"/>
  <c r="AE26" i="19"/>
  <c r="AL9" i="19"/>
  <c r="AG9" i="19"/>
  <c r="AL10" i="19"/>
  <c r="AG10" i="19"/>
  <c r="AE10" i="19"/>
  <c r="AD10" i="19"/>
  <c r="AC10" i="19"/>
  <c r="Q6" i="19"/>
  <c r="Q12" i="19"/>
  <c r="AK31" i="19" s="1"/>
  <c r="AG12" i="19"/>
  <c r="AD12" i="19"/>
  <c r="AF27" i="19"/>
  <c r="AE28" i="19"/>
  <c r="AE29" i="19" s="1"/>
  <c r="AE4" i="19"/>
  <c r="AC4" i="19"/>
  <c r="Q13" i="19"/>
  <c r="AK28" i="19" s="1"/>
  <c r="AI19" i="19"/>
  <c r="AK20" i="19"/>
  <c r="AD22" i="19"/>
  <c r="AD23" i="19" s="1"/>
  <c r="AF21" i="19"/>
  <c r="AT31" i="19"/>
  <c r="AT32" i="19" s="1"/>
  <c r="AJ32" i="19"/>
  <c r="AJ24" i="19"/>
  <c r="AJ33" i="19" s="1"/>
  <c r="AS34" i="19"/>
  <c r="AS35" i="19" s="1"/>
  <c r="Q5" i="19"/>
  <c r="AK18" i="19" s="1"/>
  <c r="AF18" i="19"/>
  <c r="AD19" i="19"/>
  <c r="AD20" i="19" s="1"/>
  <c r="AS28" i="18"/>
  <c r="AS29" i="18" s="1"/>
  <c r="AK20" i="18"/>
  <c r="AI19" i="18"/>
  <c r="AE26" i="18"/>
  <c r="AC11" i="18"/>
  <c r="AE28" i="18"/>
  <c r="AE29" i="18" s="1"/>
  <c r="AL12" i="18"/>
  <c r="AG12" i="18"/>
  <c r="AE12" i="18"/>
  <c r="AD12" i="18"/>
  <c r="AC12" i="18"/>
  <c r="AJ32" i="18"/>
  <c r="AJ24" i="18"/>
  <c r="AJ33" i="18" s="1"/>
  <c r="BB14" i="18"/>
  <c r="BB15" i="18"/>
  <c r="BB9" i="18"/>
  <c r="BB8" i="18"/>
  <c r="AT31" i="18"/>
  <c r="AT32" i="18" s="1"/>
  <c r="AD22" i="18"/>
  <c r="AD23" i="18" s="1"/>
  <c r="AD5" i="18"/>
  <c r="AS34" i="18"/>
  <c r="AS35" i="18" s="1"/>
  <c r="AD19" i="18"/>
  <c r="AD20" i="18" s="1"/>
  <c r="AT37" i="18"/>
  <c r="AT38" i="18" s="1"/>
  <c r="BC11" i="18"/>
  <c r="BB9" i="17"/>
  <c r="BB8" i="17"/>
  <c r="AD4" i="17"/>
  <c r="AC4" i="17"/>
  <c r="AE28" i="17"/>
  <c r="AE29" i="17" s="1"/>
  <c r="AL10" i="17"/>
  <c r="AB30" i="17" s="1"/>
  <c r="Q14" i="17" s="1"/>
  <c r="AK25" i="17" s="1"/>
  <c r="AG10" i="17"/>
  <c r="AB25" i="17" s="1"/>
  <c r="Q7" i="17" s="1"/>
  <c r="AF21" i="17" s="1"/>
  <c r="AD10" i="17"/>
  <c r="AB22" i="17" s="1"/>
  <c r="N11" i="17" s="1"/>
  <c r="N12" i="17" s="1"/>
  <c r="M14" i="17" s="1"/>
  <c r="AE10" i="17"/>
  <c r="AB23" i="17" s="1"/>
  <c r="Q5" i="17" s="1"/>
  <c r="AK18" i="17" s="1"/>
  <c r="AC10" i="17"/>
  <c r="AB21" i="17" s="1"/>
  <c r="AL12" i="17"/>
  <c r="AD12" i="17"/>
  <c r="AG12" i="17"/>
  <c r="AE12" i="17"/>
  <c r="AC12" i="17"/>
  <c r="AD22" i="17"/>
  <c r="AD23" i="17" s="1"/>
  <c r="AJ32" i="17"/>
  <c r="AJ24" i="17"/>
  <c r="AJ33" i="17" s="1"/>
  <c r="AD19" i="17"/>
  <c r="AD20" i="17" s="1"/>
  <c r="AT37" i="17"/>
  <c r="AT38" i="17" s="1"/>
  <c r="BC11" i="17"/>
  <c r="AI19" i="17"/>
  <c r="AK20" i="17"/>
  <c r="AE26" i="17"/>
  <c r="AK6" i="17"/>
  <c r="AI6" i="17"/>
  <c r="AH6" i="17"/>
  <c r="AF6" i="17"/>
  <c r="AD6" i="17"/>
  <c r="AC6" i="17"/>
  <c r="AL7" i="17"/>
  <c r="AG7" i="17"/>
  <c r="AE7" i="17"/>
  <c r="AD7" i="17"/>
  <c r="AC7" i="17"/>
  <c r="AT37" i="16"/>
  <c r="AT38" i="16" s="1"/>
  <c r="BC11" i="16"/>
  <c r="AL7" i="16"/>
  <c r="AG7" i="16"/>
  <c r="AE7" i="16"/>
  <c r="AD7" i="16"/>
  <c r="AC7" i="16"/>
  <c r="AI19" i="16"/>
  <c r="AK20" i="16"/>
  <c r="AC11" i="16"/>
  <c r="AK11" i="16"/>
  <c r="AD8" i="16"/>
  <c r="AC8" i="16"/>
  <c r="AC9" i="16"/>
  <c r="AL9" i="16"/>
  <c r="AJ9" i="16"/>
  <c r="AE9" i="16"/>
  <c r="AG9" i="16"/>
  <c r="AD9" i="16"/>
  <c r="AL10" i="16"/>
  <c r="AG10" i="16"/>
  <c r="AD10" i="16"/>
  <c r="AC10" i="16"/>
  <c r="AL12" i="16"/>
  <c r="AG12" i="16"/>
  <c r="AC12" i="16"/>
  <c r="BB14" i="16"/>
  <c r="BB15" i="16"/>
  <c r="AF27" i="16"/>
  <c r="AE28" i="16"/>
  <c r="AE29" i="16" s="1"/>
  <c r="N11" i="16"/>
  <c r="N12" i="16" s="1"/>
  <c r="M14" i="16" s="1"/>
  <c r="AT31" i="16"/>
  <c r="AT32" i="16" s="1"/>
  <c r="AJ4" i="16"/>
  <c r="AE4" i="16"/>
  <c r="AD4" i="16"/>
  <c r="AY10" i="16"/>
  <c r="BA10" i="16" s="1"/>
  <c r="AS28" i="16"/>
  <c r="AS29" i="16" s="1"/>
  <c r="AS34" i="16"/>
  <c r="AS35" i="16" s="1"/>
  <c r="AJ32" i="16"/>
  <c r="AJ24" i="16"/>
  <c r="AJ33" i="16" s="1"/>
  <c r="AE5" i="16"/>
  <c r="AD5" i="16"/>
  <c r="AC5" i="16"/>
  <c r="AD22" i="16"/>
  <c r="AD23" i="16" s="1"/>
  <c r="AF21" i="16"/>
  <c r="AF18" i="16"/>
  <c r="AD19" i="16"/>
  <c r="AD20" i="16" s="1"/>
  <c r="AK6" i="16"/>
  <c r="AI6" i="16"/>
  <c r="AH6" i="16"/>
  <c r="AF6" i="16"/>
  <c r="AD6" i="16"/>
  <c r="AC6" i="16"/>
  <c r="AK25" i="15"/>
  <c r="BB15" i="15"/>
  <c r="N11" i="15"/>
  <c r="N12" i="15" s="1"/>
  <c r="M14" i="15" s="1"/>
  <c r="AL5" i="15"/>
  <c r="AG5" i="15"/>
  <c r="AE5" i="15"/>
  <c r="AD5" i="15"/>
  <c r="AC5" i="15"/>
  <c r="AF8" i="15"/>
  <c r="AD8" i="15"/>
  <c r="AC8" i="15"/>
  <c r="AH6" i="15"/>
  <c r="AL7" i="15"/>
  <c r="AE7" i="15"/>
  <c r="AD7" i="15"/>
  <c r="AC7" i="15"/>
  <c r="AE4" i="15"/>
  <c r="AF11" i="15"/>
  <c r="AD11" i="15"/>
  <c r="AK11" i="15"/>
  <c r="AJ9" i="15"/>
  <c r="AI19" i="15"/>
  <c r="AK20" i="15"/>
  <c r="BB9" i="15"/>
  <c r="BB8" i="15"/>
  <c r="AL10" i="15"/>
  <c r="AD10" i="15"/>
  <c r="AC10" i="15"/>
  <c r="AG10" i="15"/>
  <c r="AE10" i="15"/>
  <c r="AD22" i="15"/>
  <c r="AD23" i="15" s="1"/>
  <c r="AF21" i="15"/>
  <c r="AJ32" i="15"/>
  <c r="AJ24" i="15"/>
  <c r="AJ33" i="15" s="1"/>
  <c r="AF27" i="15"/>
  <c r="AE28" i="15"/>
  <c r="AE29" i="15" s="1"/>
  <c r="AF18" i="15"/>
  <c r="AD19" i="15"/>
  <c r="AD20" i="15" s="1"/>
  <c r="AT37" i="15"/>
  <c r="AT38" i="15" s="1"/>
  <c r="BC11" i="15"/>
  <c r="AT31" i="14"/>
  <c r="AT32" i="14" s="1"/>
  <c r="AF18" i="14"/>
  <c r="AD19" i="14"/>
  <c r="AD20" i="14" s="1"/>
  <c r="BC11" i="14"/>
  <c r="BD11" i="14" s="1"/>
  <c r="BD12" i="14" s="1"/>
  <c r="AD6" i="14"/>
  <c r="AD22" i="14"/>
  <c r="AD23" i="14" s="1"/>
  <c r="AK8" i="14"/>
  <c r="AH8" i="14"/>
  <c r="AF8" i="14"/>
  <c r="AD8" i="14"/>
  <c r="AC8" i="14"/>
  <c r="AY13" i="14"/>
  <c r="BA13" i="14" s="1"/>
  <c r="AY10" i="14"/>
  <c r="BA10" i="14" s="1"/>
  <c r="AK20" i="14"/>
  <c r="AI19" i="14"/>
  <c r="BB14" i="13"/>
  <c r="BB15" i="13"/>
  <c r="AD22" i="13"/>
  <c r="AD23" i="13" s="1"/>
  <c r="AE9" i="13"/>
  <c r="AB23" i="13" s="1"/>
  <c r="Q5" i="13" s="1"/>
  <c r="AK18" i="13" s="1"/>
  <c r="AJ32" i="13"/>
  <c r="AJ24" i="13"/>
  <c r="AJ33" i="13" s="1"/>
  <c r="AC10" i="13"/>
  <c r="AL10" i="13"/>
  <c r="AD10" i="13"/>
  <c r="AG10" i="13"/>
  <c r="AE10" i="13"/>
  <c r="BB9" i="13"/>
  <c r="BB8" i="13"/>
  <c r="AF18" i="13"/>
  <c r="AD19" i="13"/>
  <c r="AD20" i="13" s="1"/>
  <c r="AD12" i="13"/>
  <c r="AL12" i="13"/>
  <c r="AC12" i="13"/>
  <c r="AI19" i="13"/>
  <c r="AK20" i="13"/>
  <c r="AT37" i="13"/>
  <c r="AT38" i="13" s="1"/>
  <c r="BC11" i="13"/>
  <c r="AE26" i="13"/>
  <c r="AS34" i="13"/>
  <c r="AS35" i="13" s="1"/>
  <c r="AF6" i="13"/>
  <c r="AE28" i="13"/>
  <c r="AE29" i="13" s="1"/>
  <c r="BB14" i="12"/>
  <c r="BB15" i="12"/>
  <c r="AT37" i="12"/>
  <c r="AT38" i="12" s="1"/>
  <c r="BC11" i="12"/>
  <c r="AJ32" i="12"/>
  <c r="AJ24" i="12"/>
  <c r="AJ33" i="12" s="1"/>
  <c r="BB9" i="12"/>
  <c r="BB8" i="12"/>
  <c r="AK20" i="12"/>
  <c r="AI19" i="12"/>
  <c r="AE26" i="12"/>
  <c r="AL5" i="12"/>
  <c r="AB30" i="12" s="1"/>
  <c r="Q14" i="12" s="1"/>
  <c r="AK25" i="12" s="1"/>
  <c r="AG5" i="12"/>
  <c r="AB25" i="12" s="1"/>
  <c r="Q7" i="12" s="1"/>
  <c r="AF21" i="12" s="1"/>
  <c r="AE5" i="12"/>
  <c r="AB23" i="12" s="1"/>
  <c r="Q5" i="12" s="1"/>
  <c r="AK18" i="12" s="1"/>
  <c r="AD5" i="12"/>
  <c r="AB22" i="12" s="1"/>
  <c r="N11" i="12" s="1"/>
  <c r="N12" i="12" s="1"/>
  <c r="M14" i="12" s="1"/>
  <c r="AF18" i="12"/>
  <c r="AD19" i="12"/>
  <c r="AD20" i="12" s="1"/>
  <c r="AF6" i="12"/>
  <c r="AS34" i="12"/>
  <c r="AS35" i="12" s="1"/>
  <c r="AL7" i="12"/>
  <c r="AG7" i="12"/>
  <c r="AE7" i="12"/>
  <c r="AD7" i="12"/>
  <c r="AC7" i="12"/>
  <c r="AD22" i="12"/>
  <c r="AD23" i="12" s="1"/>
  <c r="AD4" i="12"/>
  <c r="AT31" i="12"/>
  <c r="AT32" i="12" s="1"/>
  <c r="AB20" i="12"/>
  <c r="AF27" i="12"/>
  <c r="AE28" i="12"/>
  <c r="AE29" i="12" s="1"/>
  <c r="AC11" i="12"/>
  <c r="AK11" i="12"/>
  <c r="BB14" i="11"/>
  <c r="BB15" i="11"/>
  <c r="AT37" i="11"/>
  <c r="AT38" i="11" s="1"/>
  <c r="BC11" i="11"/>
  <c r="AL7" i="11"/>
  <c r="AG7" i="11"/>
  <c r="AE7" i="11"/>
  <c r="AD7" i="11"/>
  <c r="AC7" i="11"/>
  <c r="AI6" i="11"/>
  <c r="AH6" i="11"/>
  <c r="AF6" i="11"/>
  <c r="AI19" i="11"/>
  <c r="AK20" i="11"/>
  <c r="AH8" i="11"/>
  <c r="AF18" i="11"/>
  <c r="AD19" i="11"/>
  <c r="AD20" i="11" s="1"/>
  <c r="AJ4" i="11"/>
  <c r="AE4" i="11"/>
  <c r="AD4" i="11"/>
  <c r="AC4" i="11"/>
  <c r="AH11" i="11"/>
  <c r="AF11" i="11"/>
  <c r="AD11" i="11"/>
  <c r="AC11" i="11"/>
  <c r="AK11" i="11"/>
  <c r="AC9" i="11"/>
  <c r="AE9" i="11"/>
  <c r="AL9" i="11"/>
  <c r="AG9" i="11"/>
  <c r="AJ9" i="11"/>
  <c r="AD9" i="11"/>
  <c r="BB9" i="11"/>
  <c r="BB8" i="11"/>
  <c r="AL10" i="11"/>
  <c r="AD10" i="11"/>
  <c r="AG10" i="11"/>
  <c r="AE28" i="11"/>
  <c r="AE29" i="11" s="1"/>
  <c r="AL12" i="11"/>
  <c r="AD12" i="11"/>
  <c r="AG12" i="11"/>
  <c r="AE12" i="11"/>
  <c r="AC12" i="11"/>
  <c r="AD22" i="11"/>
  <c r="AD23" i="11" s="1"/>
  <c r="AS34" i="11"/>
  <c r="AS35" i="11" s="1"/>
  <c r="AT31" i="11"/>
  <c r="AT32" i="11" s="1"/>
  <c r="AE26" i="11"/>
  <c r="AJ32" i="11"/>
  <c r="AJ24" i="11"/>
  <c r="AJ33" i="11" s="1"/>
  <c r="AB11" i="10"/>
  <c r="AD11" i="10" s="1"/>
  <c r="AB7" i="10"/>
  <c r="AC7" i="10" s="1"/>
  <c r="AB9" i="10"/>
  <c r="AB20" i="10" s="1"/>
  <c r="BC11" i="10"/>
  <c r="BD11" i="10" s="1"/>
  <c r="BD12" i="10" s="1"/>
  <c r="AB10" i="10"/>
  <c r="AD10" i="10" s="1"/>
  <c r="AB12" i="10"/>
  <c r="AG12" i="10" s="1"/>
  <c r="AE26" i="10"/>
  <c r="AB6" i="10"/>
  <c r="AK6" i="10" s="1"/>
  <c r="AF18" i="10"/>
  <c r="AD19" i="10"/>
  <c r="AD20" i="10" s="1"/>
  <c r="AB8" i="10"/>
  <c r="AH8" i="10" s="1"/>
  <c r="AB5" i="10"/>
  <c r="AL5" i="10" s="1"/>
  <c r="BB14" i="10"/>
  <c r="BB15" i="10"/>
  <c r="AY10" i="10"/>
  <c r="BA10" i="10" s="1"/>
  <c r="AK20" i="10"/>
  <c r="AI19" i="10"/>
  <c r="AJ4" i="10"/>
  <c r="AE4" i="10"/>
  <c r="AD4" i="10"/>
  <c r="AC4" i="10"/>
  <c r="AS34" i="10"/>
  <c r="AS35" i="10" s="1"/>
  <c r="AE28" i="10"/>
  <c r="AE29" i="10" s="1"/>
  <c r="AD22" i="10"/>
  <c r="AD23" i="10" s="1"/>
  <c r="AT31" i="10"/>
  <c r="AT32" i="10" s="1"/>
  <c r="BB15" i="9"/>
  <c r="BB14" i="9"/>
  <c r="AB5" i="9"/>
  <c r="AJ5" i="9" s="1"/>
  <c r="AS34" i="9"/>
  <c r="AS35" i="9" s="1"/>
  <c r="AB8" i="9"/>
  <c r="AK8" i="9" s="1"/>
  <c r="AB7" i="9"/>
  <c r="AG7" i="9" s="1"/>
  <c r="AY10" i="9"/>
  <c r="BA10" i="9" s="1"/>
  <c r="BB9" i="9" s="1"/>
  <c r="AB6" i="9"/>
  <c r="AK6" i="9" s="1"/>
  <c r="AJ24" i="9"/>
  <c r="AJ33" i="9" s="1"/>
  <c r="AB9" i="9"/>
  <c r="AC9" i="9" s="1"/>
  <c r="AB12" i="9"/>
  <c r="AE12" i="9" s="1"/>
  <c r="AE28" i="9"/>
  <c r="AE29" i="9" s="1"/>
  <c r="AF27" i="9"/>
  <c r="AB10" i="9"/>
  <c r="AE10" i="9" s="1"/>
  <c r="AE26" i="9"/>
  <c r="AF18" i="9"/>
  <c r="AD19" i="9"/>
  <c r="AD20" i="9" s="1"/>
  <c r="AD22" i="9"/>
  <c r="AD23" i="9" s="1"/>
  <c r="AI19" i="9"/>
  <c r="AK20" i="9"/>
  <c r="AH11" i="9"/>
  <c r="AF11" i="9"/>
  <c r="AD11" i="9"/>
  <c r="AC11" i="9"/>
  <c r="AK11" i="9"/>
  <c r="BD11" i="9"/>
  <c r="BD12" i="9" s="1"/>
  <c r="BC12" i="9"/>
  <c r="AF18" i="8"/>
  <c r="AD19" i="8"/>
  <c r="AD20" i="8" s="1"/>
  <c r="AT37" i="8"/>
  <c r="AT38" i="8" s="1"/>
  <c r="BC11" i="8"/>
  <c r="BB9" i="8"/>
  <c r="BB8" i="8"/>
  <c r="AH11" i="8"/>
  <c r="AE26" i="8"/>
  <c r="AY13" i="8"/>
  <c r="BA13" i="8" s="1"/>
  <c r="AT31" i="8"/>
  <c r="AT32" i="8" s="1"/>
  <c r="AJ9" i="8"/>
  <c r="AS28" i="8"/>
  <c r="AS29" i="8" s="1"/>
  <c r="AF8" i="8"/>
  <c r="AD8" i="8"/>
  <c r="AC8" i="8"/>
  <c r="AB20" i="8"/>
  <c r="AF27" i="8"/>
  <c r="AE28" i="8"/>
  <c r="AE29" i="8" s="1"/>
  <c r="AL7" i="8"/>
  <c r="AG7" i="8"/>
  <c r="AE7" i="8"/>
  <c r="AD7" i="8"/>
  <c r="AC7" i="8"/>
  <c r="AI19" i="8"/>
  <c r="AK20" i="8"/>
  <c r="AJ24" i="7"/>
  <c r="AJ33" i="7" s="1"/>
  <c r="AI19" i="7"/>
  <c r="AK20" i="7"/>
  <c r="AE7" i="7"/>
  <c r="AC5" i="7"/>
  <c r="AB21" i="7" s="1"/>
  <c r="AT31" i="7"/>
  <c r="AT32" i="7" s="1"/>
  <c r="AF18" i="7"/>
  <c r="AD19" i="7"/>
  <c r="AD20" i="7" s="1"/>
  <c r="AC9" i="7"/>
  <c r="AE9" i="7"/>
  <c r="AT37" i="7"/>
  <c r="AT38" i="7" s="1"/>
  <c r="BC11" i="7"/>
  <c r="AE26" i="7"/>
  <c r="AG7" i="7"/>
  <c r="AD7" i="7"/>
  <c r="BB15" i="7"/>
  <c r="AH12" i="7"/>
  <c r="AK12" i="7"/>
  <c r="AF12" i="7"/>
  <c r="AJ4" i="7"/>
  <c r="AE4" i="7"/>
  <c r="AC4" i="7"/>
  <c r="AD4" i="7"/>
  <c r="AC11" i="7"/>
  <c r="AF11" i="7"/>
  <c r="AD11" i="7"/>
  <c r="AK11" i="7"/>
  <c r="AH11" i="7"/>
  <c r="AD10" i="7"/>
  <c r="AL10" i="7"/>
  <c r="AE10" i="7"/>
  <c r="AG10" i="7"/>
  <c r="AC10" i="7"/>
  <c r="AS28" i="5"/>
  <c r="AS29" i="5" s="1"/>
  <c r="BB14" i="6"/>
  <c r="BB15" i="6"/>
  <c r="AE26" i="6"/>
  <c r="AH8" i="6"/>
  <c r="AL12" i="6"/>
  <c r="AG12" i="6"/>
  <c r="AE12" i="6"/>
  <c r="AD12" i="6"/>
  <c r="AC12" i="6"/>
  <c r="AF27" i="6"/>
  <c r="AE28" i="6"/>
  <c r="AE29" i="6" s="1"/>
  <c r="AS34" i="6"/>
  <c r="AS35" i="6" s="1"/>
  <c r="AD22" i="6"/>
  <c r="AD23" i="6" s="1"/>
  <c r="AJ32" i="6"/>
  <c r="AJ24" i="6"/>
  <c r="AJ33" i="6" s="1"/>
  <c r="AJ5" i="6"/>
  <c r="AB28" i="6" s="1"/>
  <c r="Q12" i="6" s="1"/>
  <c r="AK31" i="6" s="1"/>
  <c r="AF18" i="6"/>
  <c r="AD19" i="6"/>
  <c r="AD20" i="6" s="1"/>
  <c r="AT37" i="6"/>
  <c r="AT38" i="6" s="1"/>
  <c r="BC11" i="6"/>
  <c r="AC7" i="6"/>
  <c r="AT31" i="6"/>
  <c r="AT32" i="6" s="1"/>
  <c r="BB9" i="6"/>
  <c r="BB8" i="6"/>
  <c r="AK20" i="6"/>
  <c r="AI19" i="6"/>
  <c r="AL9" i="6"/>
  <c r="BB14" i="5"/>
  <c r="BB15" i="5"/>
  <c r="AE9" i="5"/>
  <c r="AD10" i="5"/>
  <c r="AG10" i="5"/>
  <c r="AI19" i="5"/>
  <c r="AK20" i="5"/>
  <c r="BB10" i="5"/>
  <c r="BB11" i="5"/>
  <c r="AL12" i="5"/>
  <c r="AJ32" i="5"/>
  <c r="AJ24" i="5"/>
  <c r="AJ33" i="5" s="1"/>
  <c r="AT37" i="5"/>
  <c r="AT38" i="5" s="1"/>
  <c r="BC11" i="5"/>
  <c r="BB9" i="5"/>
  <c r="BB8" i="5"/>
  <c r="AS34" i="5"/>
  <c r="AS35" i="5" s="1"/>
  <c r="AE26" i="5"/>
  <c r="AF18" i="5"/>
  <c r="AD19" i="5"/>
  <c r="AD20" i="5" s="1"/>
  <c r="AF27" i="5"/>
  <c r="AE28" i="5"/>
  <c r="AE29" i="5" s="1"/>
  <c r="AD22" i="5"/>
  <c r="AD23" i="5" s="1"/>
  <c r="AF21" i="5"/>
  <c r="AT31" i="5"/>
  <c r="AT32" i="5" s="1"/>
  <c r="AF18" i="4"/>
  <c r="AD19" i="4"/>
  <c r="AD20" i="4" s="1"/>
  <c r="AT31" i="4"/>
  <c r="AT32" i="4" s="1"/>
  <c r="AE28" i="4"/>
  <c r="AE29" i="4" s="1"/>
  <c r="AJ24" i="4"/>
  <c r="AJ33" i="4" s="1"/>
  <c r="BC11" i="4"/>
  <c r="BC12" i="4" s="1"/>
  <c r="AK8" i="4"/>
  <c r="AH8" i="4"/>
  <c r="AF8" i="4"/>
  <c r="AD8" i="4"/>
  <c r="AC8" i="4"/>
  <c r="AL5" i="4"/>
  <c r="AB30" i="4" s="1"/>
  <c r="Q14" i="4" s="1"/>
  <c r="AK25" i="4" s="1"/>
  <c r="AJ5" i="4"/>
  <c r="AB28" i="4" s="1"/>
  <c r="Q12" i="4" s="1"/>
  <c r="AK31" i="4" s="1"/>
  <c r="AG5" i="4"/>
  <c r="AB25" i="4" s="1"/>
  <c r="Q7" i="4" s="1"/>
  <c r="AF21" i="4" s="1"/>
  <c r="AB20" i="4"/>
  <c r="AE5" i="4"/>
  <c r="AB23" i="4" s="1"/>
  <c r="Q5" i="4" s="1"/>
  <c r="AK18" i="4" s="1"/>
  <c r="AC5" i="4"/>
  <c r="AD5" i="4"/>
  <c r="AB22" i="4" s="1"/>
  <c r="N11" i="4" s="1"/>
  <c r="N12" i="4" s="1"/>
  <c r="M14" i="4" s="1"/>
  <c r="AI19" i="4"/>
  <c r="AK20" i="4"/>
  <c r="AG7" i="4"/>
  <c r="AL7" i="4"/>
  <c r="AE7" i="4"/>
  <c r="AD7" i="4"/>
  <c r="AC7" i="4"/>
  <c r="AH11" i="4"/>
  <c r="AF11" i="4"/>
  <c r="AD11" i="4"/>
  <c r="AC11" i="4"/>
  <c r="AK11" i="4"/>
  <c r="AK6" i="4"/>
  <c r="AF6" i="4"/>
  <c r="AD6" i="4"/>
  <c r="AC6" i="4"/>
  <c r="AI6" i="4"/>
  <c r="AH6" i="4"/>
  <c r="AJ4" i="4"/>
  <c r="AE4" i="4"/>
  <c r="AD4" i="4"/>
  <c r="AC4" i="4"/>
  <c r="AL9" i="4"/>
  <c r="AJ9" i="4"/>
  <c r="AG9" i="4"/>
  <c r="AE9" i="4"/>
  <c r="AD9" i="4"/>
  <c r="AC9" i="4"/>
  <c r="AE26" i="4"/>
  <c r="BB9" i="4"/>
  <c r="AL10" i="4"/>
  <c r="AD10" i="4"/>
  <c r="AG10" i="4"/>
  <c r="AE10" i="4"/>
  <c r="AC10" i="4"/>
  <c r="AG12" i="4"/>
  <c r="AD12" i="4"/>
  <c r="AE12" i="4"/>
  <c r="AC12" i="4"/>
  <c r="AL12" i="4"/>
  <c r="AE26" i="3"/>
  <c r="AS34" i="3"/>
  <c r="AS35" i="3" s="1"/>
  <c r="AF18" i="3"/>
  <c r="AD19" i="3"/>
  <c r="AD20" i="3" s="1"/>
  <c r="BB14" i="3"/>
  <c r="BB15" i="3"/>
  <c r="BB9" i="3"/>
  <c r="BB8" i="3"/>
  <c r="AH11" i="3"/>
  <c r="AF11" i="3"/>
  <c r="AK11" i="3"/>
  <c r="AD11" i="3"/>
  <c r="AC11" i="3"/>
  <c r="AT31" i="3"/>
  <c r="AT32" i="3" s="1"/>
  <c r="BD11" i="3"/>
  <c r="BD12" i="3" s="1"/>
  <c r="BC12" i="3"/>
  <c r="AD7" i="3"/>
  <c r="AL7" i="3"/>
  <c r="AG7" i="3"/>
  <c r="AC7" i="3"/>
  <c r="AE7" i="3"/>
  <c r="AK8" i="3"/>
  <c r="AH8" i="3"/>
  <c r="AD8" i="3"/>
  <c r="AC8" i="3"/>
  <c r="AF8" i="3"/>
  <c r="AS28" i="3"/>
  <c r="AS29" i="3" s="1"/>
  <c r="AK6" i="3"/>
  <c r="AI6" i="3"/>
  <c r="AF6" i="3"/>
  <c r="AD6" i="3"/>
  <c r="AH6" i="3"/>
  <c r="AC6" i="3"/>
  <c r="AD22" i="3"/>
  <c r="AD23" i="3" s="1"/>
  <c r="AD5" i="3"/>
  <c r="AL5" i="3"/>
  <c r="AJ5" i="3"/>
  <c r="AC5" i="3"/>
  <c r="AG5" i="3"/>
  <c r="AE5" i="3"/>
  <c r="AJ4" i="3"/>
  <c r="AE4" i="3"/>
  <c r="AD4" i="3"/>
  <c r="AC4" i="3"/>
  <c r="AE28" i="3"/>
  <c r="AE29" i="3" s="1"/>
  <c r="AC9" i="3"/>
  <c r="AE9" i="3"/>
  <c r="AL9" i="3"/>
  <c r="AB30" i="3" s="1"/>
  <c r="Q14" i="3" s="1"/>
  <c r="AK25" i="3" s="1"/>
  <c r="AG9" i="3"/>
  <c r="AJ9" i="3"/>
  <c r="AD9" i="3"/>
  <c r="AL10" i="3"/>
  <c r="AE10" i="3"/>
  <c r="AD10" i="3"/>
  <c r="AC10" i="3"/>
  <c r="AG10" i="3"/>
  <c r="AD12" i="3"/>
  <c r="AE12" i="3"/>
  <c r="AL12" i="3"/>
  <c r="AG12" i="3"/>
  <c r="AC12" i="3"/>
  <c r="AK20" i="3"/>
  <c r="AI19" i="3"/>
  <c r="J6" i="1"/>
  <c r="AK11" i="19" l="1"/>
  <c r="AD11" i="19"/>
  <c r="AE7" i="19"/>
  <c r="AD9" i="19"/>
  <c r="AE9" i="19"/>
  <c r="AC12" i="19"/>
  <c r="AF12" i="19" s="1"/>
  <c r="AJ9" i="19"/>
  <c r="AL5" i="16"/>
  <c r="AK8" i="16"/>
  <c r="AD11" i="16"/>
  <c r="AD12" i="16"/>
  <c r="AH11" i="16"/>
  <c r="AG5" i="16"/>
  <c r="AF8" i="16"/>
  <c r="AH11" i="15"/>
  <c r="AH8" i="15"/>
  <c r="AD4" i="15"/>
  <c r="AD11" i="14"/>
  <c r="AC6" i="14"/>
  <c r="AF6" i="14"/>
  <c r="AH6" i="14"/>
  <c r="AI6" i="14"/>
  <c r="AC5" i="12"/>
  <c r="AD12" i="8"/>
  <c r="AC4" i="8"/>
  <c r="AJ9" i="5"/>
  <c r="AD8" i="21"/>
  <c r="AF6" i="19"/>
  <c r="AF8" i="17"/>
  <c r="AG5" i="11"/>
  <c r="AL5" i="11"/>
  <c r="AC5" i="11"/>
  <c r="AE10" i="8"/>
  <c r="AB20" i="11"/>
  <c r="AD5" i="11"/>
  <c r="AE5" i="11"/>
  <c r="AB23" i="11" s="1"/>
  <c r="Q5" i="11" s="1"/>
  <c r="AK18" i="11" s="1"/>
  <c r="AC12" i="14"/>
  <c r="AK12" i="14" s="1"/>
  <c r="AG12" i="14"/>
  <c r="AG12" i="15"/>
  <c r="AE9" i="17"/>
  <c r="AD5" i="21"/>
  <c r="AC11" i="14"/>
  <c r="AE11" i="14" s="1"/>
  <c r="AF6" i="15"/>
  <c r="AL9" i="20"/>
  <c r="AL10" i="21"/>
  <c r="AC8" i="21"/>
  <c r="AC10" i="6"/>
  <c r="AE4" i="8"/>
  <c r="AC10" i="20"/>
  <c r="AK10" i="20" s="1"/>
  <c r="AC7" i="19"/>
  <c r="AG10" i="20"/>
  <c r="AI6" i="15"/>
  <c r="AH8" i="17"/>
  <c r="AC8" i="11"/>
  <c r="AD10" i="20"/>
  <c r="AC4" i="5"/>
  <c r="AD8" i="11"/>
  <c r="AH11" i="14"/>
  <c r="AF6" i="5"/>
  <c r="AD4" i="5"/>
  <c r="AK6" i="5"/>
  <c r="AF8" i="11"/>
  <c r="AD4" i="8"/>
  <c r="AK6" i="19"/>
  <c r="AE4" i="5"/>
  <c r="AL7" i="13"/>
  <c r="AE9" i="20"/>
  <c r="AD10" i="21"/>
  <c r="AC6" i="15"/>
  <c r="AJ6" i="15" s="1"/>
  <c r="AD9" i="20"/>
  <c r="AC10" i="21"/>
  <c r="AK11" i="14"/>
  <c r="AD6" i="15"/>
  <c r="AE10" i="21"/>
  <c r="AD4" i="6"/>
  <c r="AE6" i="7"/>
  <c r="AK6" i="12"/>
  <c r="AD5" i="13"/>
  <c r="AG9" i="15"/>
  <c r="AF11" i="19"/>
  <c r="AE10" i="5"/>
  <c r="AE4" i="6"/>
  <c r="AD9" i="15"/>
  <c r="AJ4" i="6"/>
  <c r="AE9" i="15"/>
  <c r="AL9" i="15"/>
  <c r="AL10" i="20"/>
  <c r="AK8" i="21"/>
  <c r="AG9" i="8"/>
  <c r="AC6" i="12"/>
  <c r="AE6" i="12" s="1"/>
  <c r="AE4" i="17"/>
  <c r="AD12" i="21"/>
  <c r="AC4" i="12"/>
  <c r="AI4" i="12" s="1"/>
  <c r="AD6" i="12"/>
  <c r="AG7" i="13"/>
  <c r="AC10" i="5"/>
  <c r="AK10" i="5" s="1"/>
  <c r="AH6" i="12"/>
  <c r="AE4" i="12"/>
  <c r="AH8" i="9"/>
  <c r="AC5" i="13"/>
  <c r="AI5" i="13" s="1"/>
  <c r="AD12" i="5"/>
  <c r="AC11" i="8"/>
  <c r="AK11" i="8"/>
  <c r="AD11" i="8"/>
  <c r="AK8" i="6"/>
  <c r="AC8" i="6"/>
  <c r="AG12" i="5"/>
  <c r="AD8" i="6"/>
  <c r="AC7" i="21"/>
  <c r="AF7" i="21" s="1"/>
  <c r="BB15" i="4"/>
  <c r="AE12" i="5"/>
  <c r="AD7" i="21"/>
  <c r="AE7" i="21"/>
  <c r="AD11" i="5"/>
  <c r="AD11" i="18"/>
  <c r="AG7" i="21"/>
  <c r="AF11" i="18"/>
  <c r="AL5" i="13"/>
  <c r="AE7" i="13"/>
  <c r="AJ4" i="15"/>
  <c r="AC5" i="17"/>
  <c r="AF5" i="17" s="1"/>
  <c r="AE12" i="19"/>
  <c r="AD7" i="19"/>
  <c r="AC10" i="8"/>
  <c r="AF10" i="8" s="1"/>
  <c r="AD9" i="6"/>
  <c r="AD10" i="8"/>
  <c r="AG7" i="14"/>
  <c r="AC5" i="18"/>
  <c r="AD5" i="5"/>
  <c r="AB22" i="5" s="1"/>
  <c r="N11" i="5" s="1"/>
  <c r="N12" i="5" s="1"/>
  <c r="M14" i="5" s="1"/>
  <c r="AG10" i="8"/>
  <c r="AL5" i="18"/>
  <c r="AC5" i="5"/>
  <c r="AF5" i="5" s="1"/>
  <c r="AB24" i="5" s="1"/>
  <c r="Q6" i="5" s="1"/>
  <c r="AK22" i="5" s="1"/>
  <c r="AE5" i="5"/>
  <c r="AB23" i="5" s="1"/>
  <c r="Q5" i="5" s="1"/>
  <c r="AK18" i="5" s="1"/>
  <c r="AG5" i="8"/>
  <c r="AB25" i="8" s="1"/>
  <c r="Q7" i="8" s="1"/>
  <c r="AF21" i="8" s="1"/>
  <c r="AG5" i="5"/>
  <c r="AB25" i="5" s="1"/>
  <c r="Q7" i="5" s="1"/>
  <c r="AJ5" i="5"/>
  <c r="AB28" i="5" s="1"/>
  <c r="Q12" i="5" s="1"/>
  <c r="AK31" i="5" s="1"/>
  <c r="AC12" i="8"/>
  <c r="AE12" i="8"/>
  <c r="AC4" i="9"/>
  <c r="AD4" i="9"/>
  <c r="AE7" i="5"/>
  <c r="AL7" i="5"/>
  <c r="AG12" i="8"/>
  <c r="AC10" i="14"/>
  <c r="AI10" i="14" s="1"/>
  <c r="AD10" i="14"/>
  <c r="AC6" i="11"/>
  <c r="AE10" i="14"/>
  <c r="AD4" i="18"/>
  <c r="AK11" i="5"/>
  <c r="AD6" i="11"/>
  <c r="AG10" i="14"/>
  <c r="AC12" i="21"/>
  <c r="AC11" i="5"/>
  <c r="AC5" i="21"/>
  <c r="AI5" i="21" s="1"/>
  <c r="AE12" i="21"/>
  <c r="AE5" i="21"/>
  <c r="AL12" i="21"/>
  <c r="AF11" i="5"/>
  <c r="AC10" i="11"/>
  <c r="AI10" i="11" s="1"/>
  <c r="AD12" i="12"/>
  <c r="AL5" i="21"/>
  <c r="AG9" i="18"/>
  <c r="AD6" i="5"/>
  <c r="AG5" i="6"/>
  <c r="AB25" i="6" s="1"/>
  <c r="Q7" i="6" s="1"/>
  <c r="AF21" i="6" s="1"/>
  <c r="AK8" i="13"/>
  <c r="AH6" i="5"/>
  <c r="AL5" i="6"/>
  <c r="AB30" i="6" s="1"/>
  <c r="Q14" i="6" s="1"/>
  <c r="AK25" i="6" s="1"/>
  <c r="AJ8" i="7"/>
  <c r="AD5" i="17"/>
  <c r="AI6" i="5"/>
  <c r="AE5" i="17"/>
  <c r="AE7" i="18"/>
  <c r="AG5" i="17"/>
  <c r="AG7" i="18"/>
  <c r="AF6" i="8"/>
  <c r="AG9" i="12"/>
  <c r="AJ5" i="17"/>
  <c r="AD10" i="6"/>
  <c r="AC8" i="13"/>
  <c r="AJ8" i="13" s="1"/>
  <c r="AE10" i="6"/>
  <c r="AD8" i="13"/>
  <c r="AC5" i="6"/>
  <c r="AI5" i="6" s="1"/>
  <c r="AB27" i="6" s="1"/>
  <c r="Q11" i="6" s="1"/>
  <c r="AD5" i="6"/>
  <c r="AB22" i="6" s="1"/>
  <c r="N11" i="6" s="1"/>
  <c r="N12" i="6" s="1"/>
  <c r="M14" i="6" s="1"/>
  <c r="AG10" i="6"/>
  <c r="AF8" i="13"/>
  <c r="AE5" i="6"/>
  <c r="AB23" i="6" s="1"/>
  <c r="Q5" i="6" s="1"/>
  <c r="AK18" i="6" s="1"/>
  <c r="AK11" i="21"/>
  <c r="AE5" i="20"/>
  <c r="AG5" i="20"/>
  <c r="AJ5" i="20"/>
  <c r="AC4" i="18"/>
  <c r="AI4" i="18" s="1"/>
  <c r="AL5" i="20"/>
  <c r="AC6" i="13"/>
  <c r="AE6" i="13" s="1"/>
  <c r="AC11" i="13"/>
  <c r="AJ11" i="13" s="1"/>
  <c r="AC8" i="18"/>
  <c r="AE8" i="18" s="1"/>
  <c r="AJ4" i="19"/>
  <c r="AK8" i="8"/>
  <c r="AD9" i="10"/>
  <c r="AB22" i="10" s="1"/>
  <c r="N11" i="10" s="1"/>
  <c r="N12" i="10" s="1"/>
  <c r="M14" i="10" s="1"/>
  <c r="AE10" i="12"/>
  <c r="AD6" i="13"/>
  <c r="AF11" i="13"/>
  <c r="AE9" i="14"/>
  <c r="AB23" i="14" s="1"/>
  <c r="Q5" i="14" s="1"/>
  <c r="AK18" i="14" s="1"/>
  <c r="AH8" i="18"/>
  <c r="AH11" i="13"/>
  <c r="AC6" i="18"/>
  <c r="AE6" i="18" s="1"/>
  <c r="AK8" i="18"/>
  <c r="AK6" i="20"/>
  <c r="AB29" i="20" s="1"/>
  <c r="Q13" i="20" s="1"/>
  <c r="AK34" i="20" s="1"/>
  <c r="AG10" i="12"/>
  <c r="AH6" i="13"/>
  <c r="AK11" i="13"/>
  <c r="AD6" i="18"/>
  <c r="AD9" i="18"/>
  <c r="AI6" i="13"/>
  <c r="AF6" i="18"/>
  <c r="AD4" i="20"/>
  <c r="AK6" i="18"/>
  <c r="AL9" i="18"/>
  <c r="AC5" i="20"/>
  <c r="AI5" i="20" s="1"/>
  <c r="AK6" i="6"/>
  <c r="AL5" i="14"/>
  <c r="AD6" i="10"/>
  <c r="AD5" i="19"/>
  <c r="AC6" i="10"/>
  <c r="AJ6" i="10" s="1"/>
  <c r="AD7" i="18"/>
  <c r="AE5" i="19"/>
  <c r="AD11" i="21"/>
  <c r="AE7" i="6"/>
  <c r="AG5" i="19"/>
  <c r="AF11" i="21"/>
  <c r="AH11" i="21"/>
  <c r="AK11" i="6"/>
  <c r="AC11" i="6"/>
  <c r="AE11" i="6" s="1"/>
  <c r="AL7" i="18"/>
  <c r="AD11" i="6"/>
  <c r="AC5" i="14"/>
  <c r="AI5" i="14" s="1"/>
  <c r="AL7" i="6"/>
  <c r="AF11" i="6"/>
  <c r="AC6" i="6"/>
  <c r="AE6" i="6" s="1"/>
  <c r="AC8" i="12"/>
  <c r="AJ8" i="12" s="1"/>
  <c r="AD5" i="14"/>
  <c r="AJ4" i="20"/>
  <c r="AH6" i="6"/>
  <c r="AE5" i="14"/>
  <c r="AG5" i="18"/>
  <c r="AE7" i="20"/>
  <c r="AC8" i="5"/>
  <c r="AJ8" i="5" s="1"/>
  <c r="AG7" i="5"/>
  <c r="AC8" i="19"/>
  <c r="AE8" i="19" s="1"/>
  <c r="AJ9" i="6"/>
  <c r="AE7" i="14"/>
  <c r="AE5" i="18"/>
  <c r="AD11" i="20"/>
  <c r="AE9" i="12"/>
  <c r="AG5" i="14"/>
  <c r="AH6" i="18"/>
  <c r="AD8" i="18"/>
  <c r="AC6" i="19"/>
  <c r="AE6" i="19" s="1"/>
  <c r="AJ5" i="19"/>
  <c r="AG7" i="19"/>
  <c r="AG5" i="21"/>
  <c r="AG9" i="6"/>
  <c r="AL10" i="10"/>
  <c r="AD6" i="19"/>
  <c r="AL5" i="19"/>
  <c r="AE9" i="6"/>
  <c r="AC11" i="20"/>
  <c r="AG11" i="20" s="1"/>
  <c r="AC7" i="5"/>
  <c r="AI7" i="5" s="1"/>
  <c r="AI6" i="8"/>
  <c r="AC8" i="17"/>
  <c r="AJ8" i="17" s="1"/>
  <c r="AH8" i="19"/>
  <c r="AH11" i="20"/>
  <c r="AF8" i="21"/>
  <c r="AL10" i="12"/>
  <c r="AD4" i="13"/>
  <c r="AD8" i="17"/>
  <c r="AF8" i="19"/>
  <c r="AG9" i="20"/>
  <c r="AC4" i="20"/>
  <c r="AI4" i="20" s="1"/>
  <c r="AI5" i="7"/>
  <c r="AB27" i="7" s="1"/>
  <c r="Q11" i="7" s="1"/>
  <c r="AK34" i="7" s="1"/>
  <c r="AK8" i="19"/>
  <c r="AF6" i="20"/>
  <c r="AB24" i="20" s="1"/>
  <c r="Q6" i="20" s="1"/>
  <c r="AK22" i="20" s="1"/>
  <c r="AI6" i="10"/>
  <c r="AD7" i="20"/>
  <c r="AF8" i="12"/>
  <c r="AF6" i="6"/>
  <c r="AI7" i="7"/>
  <c r="AL9" i="12"/>
  <c r="AK8" i="12"/>
  <c r="AG9" i="13"/>
  <c r="AB25" i="13" s="1"/>
  <c r="Q7" i="13" s="1"/>
  <c r="AF21" i="13" s="1"/>
  <c r="AE12" i="14"/>
  <c r="AD12" i="15"/>
  <c r="AC9" i="17"/>
  <c r="AK9" i="17" s="1"/>
  <c r="AG10" i="18"/>
  <c r="AB25" i="18" s="1"/>
  <c r="Q7" i="18" s="1"/>
  <c r="AF21" i="18" s="1"/>
  <c r="AI6" i="6"/>
  <c r="AC9" i="12"/>
  <c r="AF9" i="12" s="1"/>
  <c r="AJ9" i="13"/>
  <c r="AB28" i="13" s="1"/>
  <c r="Q12" i="13" s="1"/>
  <c r="AK31" i="13" s="1"/>
  <c r="AL12" i="15"/>
  <c r="AL10" i="18"/>
  <c r="AB30" i="18" s="1"/>
  <c r="Q14" i="18" s="1"/>
  <c r="AK25" i="18" s="1"/>
  <c r="AC9" i="13"/>
  <c r="AB21" i="13" s="1"/>
  <c r="AC12" i="15"/>
  <c r="AK12" i="15" s="1"/>
  <c r="AD7" i="6"/>
  <c r="AC6" i="8"/>
  <c r="AE6" i="8" s="1"/>
  <c r="AG9" i="10"/>
  <c r="AB25" i="10" s="1"/>
  <c r="Q7" i="10" s="1"/>
  <c r="AF21" i="10" s="1"/>
  <c r="AD11" i="17"/>
  <c r="AD8" i="5"/>
  <c r="AD6" i="8"/>
  <c r="AF11" i="17"/>
  <c r="AF8" i="5"/>
  <c r="AH11" i="17"/>
  <c r="AD9" i="17"/>
  <c r="AC12" i="20"/>
  <c r="AF12" i="20" s="1"/>
  <c r="AC4" i="21"/>
  <c r="AI4" i="21" s="1"/>
  <c r="AH8" i="5"/>
  <c r="AH6" i="8"/>
  <c r="AD12" i="10"/>
  <c r="AD9" i="12"/>
  <c r="AD8" i="12"/>
  <c r="AG9" i="17"/>
  <c r="AD12" i="20"/>
  <c r="AD4" i="21"/>
  <c r="AE12" i="20"/>
  <c r="AE4" i="21"/>
  <c r="AF11" i="10"/>
  <c r="BC12" i="10"/>
  <c r="AD9" i="13"/>
  <c r="AB22" i="13" s="1"/>
  <c r="N11" i="13" s="1"/>
  <c r="N12" i="13" s="1"/>
  <c r="M14" i="13" s="1"/>
  <c r="AD12" i="14"/>
  <c r="AJ9" i="17"/>
  <c r="AL12" i="20"/>
  <c r="AJ4" i="18"/>
  <c r="BB8" i="9"/>
  <c r="AE9" i="18"/>
  <c r="AG7" i="20"/>
  <c r="AC8" i="9"/>
  <c r="AJ8" i="9" s="1"/>
  <c r="AI20" i="9"/>
  <c r="AE9" i="10"/>
  <c r="AB23" i="10" s="1"/>
  <c r="Q5" i="10" s="1"/>
  <c r="AK18" i="10" s="1"/>
  <c r="AJ9" i="18"/>
  <c r="AL7" i="20"/>
  <c r="AI20" i="6"/>
  <c r="AF8" i="9"/>
  <c r="AD10" i="9"/>
  <c r="AD8" i="9"/>
  <c r="AL9" i="10"/>
  <c r="AB30" i="10" s="1"/>
  <c r="Q14" i="10" s="1"/>
  <c r="AK25" i="10" s="1"/>
  <c r="AF6" i="10"/>
  <c r="AL9" i="13"/>
  <c r="AB30" i="13" s="1"/>
  <c r="Q14" i="13" s="1"/>
  <c r="AK25" i="13" s="1"/>
  <c r="AK11" i="18"/>
  <c r="AI20" i="19"/>
  <c r="AF11" i="20"/>
  <c r="AB23" i="3"/>
  <c r="Q5" i="3" s="1"/>
  <c r="AK18" i="3" s="1"/>
  <c r="AH6" i="10"/>
  <c r="AL5" i="9"/>
  <c r="AB30" i="11"/>
  <c r="Q14" i="11" s="1"/>
  <c r="AK25" i="11" s="1"/>
  <c r="AD10" i="18"/>
  <c r="AB22" i="18" s="1"/>
  <c r="N11" i="18" s="1"/>
  <c r="N12" i="18" s="1"/>
  <c r="M14" i="18" s="1"/>
  <c r="BB8" i="19"/>
  <c r="AD5" i="9"/>
  <c r="AC9" i="10"/>
  <c r="AB21" i="10" s="1"/>
  <c r="AB28" i="3"/>
  <c r="Q12" i="3" s="1"/>
  <c r="AK31" i="3" s="1"/>
  <c r="AL12" i="10"/>
  <c r="AI20" i="21"/>
  <c r="AC6" i="9"/>
  <c r="AE6" i="9" s="1"/>
  <c r="AD7" i="10"/>
  <c r="AD5" i="10"/>
  <c r="AC10" i="10"/>
  <c r="AK10" i="10" s="1"/>
  <c r="AF6" i="9"/>
  <c r="AG7" i="10"/>
  <c r="AE5" i="10"/>
  <c r="AG10" i="10"/>
  <c r="BC12" i="20"/>
  <c r="AJ5" i="10"/>
  <c r="AD6" i="9"/>
  <c r="AL7" i="10"/>
  <c r="AL7" i="9"/>
  <c r="AC5" i="10"/>
  <c r="AI5" i="10" s="1"/>
  <c r="AK11" i="17"/>
  <c r="AC10" i="18"/>
  <c r="AI10" i="18" s="1"/>
  <c r="AB27" i="18" s="1"/>
  <c r="Q11" i="18" s="1"/>
  <c r="AK34" i="18" s="1"/>
  <c r="AH6" i="19"/>
  <c r="BD11" i="4"/>
  <c r="BD12" i="4" s="1"/>
  <c r="AC11" i="10"/>
  <c r="AE11" i="10" s="1"/>
  <c r="BC12" i="14"/>
  <c r="AF5" i="7"/>
  <c r="AB24" i="7" s="1"/>
  <c r="Q6" i="7" s="1"/>
  <c r="AK22" i="7" s="1"/>
  <c r="AJ5" i="8"/>
  <c r="AB28" i="8" s="1"/>
  <c r="Q12" i="8" s="1"/>
  <c r="AK31" i="8" s="1"/>
  <c r="AL9" i="8"/>
  <c r="AE5" i="9"/>
  <c r="AG10" i="9"/>
  <c r="AE7" i="10"/>
  <c r="AC10" i="12"/>
  <c r="AI10" i="12" s="1"/>
  <c r="AC7" i="13"/>
  <c r="AF7" i="13" s="1"/>
  <c r="AE12" i="13"/>
  <c r="AJ4" i="13"/>
  <c r="AL9" i="14"/>
  <c r="AB30" i="14" s="1"/>
  <c r="Q14" i="14" s="1"/>
  <c r="AK25" i="14" s="1"/>
  <c r="AC7" i="14"/>
  <c r="AI7" i="14" s="1"/>
  <c r="AH6" i="20"/>
  <c r="AB26" i="20" s="1"/>
  <c r="Q8" i="20" s="1"/>
  <c r="AF24" i="20" s="1"/>
  <c r="AJ4" i="14"/>
  <c r="AL5" i="8"/>
  <c r="AB30" i="8" s="1"/>
  <c r="Q14" i="8" s="1"/>
  <c r="AK25" i="8" s="1"/>
  <c r="AC9" i="8"/>
  <c r="AK9" i="8" s="1"/>
  <c r="AC5" i="9"/>
  <c r="AI5" i="9" s="1"/>
  <c r="AL10" i="9"/>
  <c r="AI20" i="10"/>
  <c r="AC9" i="14"/>
  <c r="AI9" i="14" s="1"/>
  <c r="AB27" i="14" s="1"/>
  <c r="Q11" i="14" s="1"/>
  <c r="AK34" i="14" s="1"/>
  <c r="AD7" i="14"/>
  <c r="AI6" i="20"/>
  <c r="AB27" i="20" s="1"/>
  <c r="Q11" i="20" s="1"/>
  <c r="AK28" i="20" s="1"/>
  <c r="AB22" i="21"/>
  <c r="N11" i="21" s="1"/>
  <c r="N12" i="21" s="1"/>
  <c r="M14" i="21" s="1"/>
  <c r="AG12" i="9"/>
  <c r="AE4" i="9"/>
  <c r="AB28" i="11"/>
  <c r="Q12" i="11" s="1"/>
  <c r="AK31" i="11" s="1"/>
  <c r="AG9" i="5"/>
  <c r="AD12" i="9"/>
  <c r="AC7" i="9"/>
  <c r="AI7" i="9" s="1"/>
  <c r="AJ9" i="10"/>
  <c r="AB28" i="10" s="1"/>
  <c r="Q12" i="10" s="1"/>
  <c r="AK31" i="10" s="1"/>
  <c r="AK11" i="10"/>
  <c r="AG5" i="10"/>
  <c r="AE10" i="10"/>
  <c r="AI20" i="12"/>
  <c r="AC12" i="12"/>
  <c r="AF12" i="12" s="1"/>
  <c r="AI20" i="14"/>
  <c r="AC12" i="9"/>
  <c r="AF12" i="9" s="1"/>
  <c r="AK25" i="16"/>
  <c r="AK31" i="16"/>
  <c r="AL12" i="9"/>
  <c r="AL9" i="5"/>
  <c r="AD9" i="5"/>
  <c r="AD5" i="8"/>
  <c r="AB22" i="8" s="1"/>
  <c r="N11" i="8" s="1"/>
  <c r="N12" i="8" s="1"/>
  <c r="M14" i="8" s="1"/>
  <c r="AD9" i="8"/>
  <c r="AG9" i="9"/>
  <c r="AH11" i="10"/>
  <c r="AD11" i="12"/>
  <c r="AG12" i="12"/>
  <c r="AE5" i="13"/>
  <c r="AD9" i="14"/>
  <c r="AB22" i="14" s="1"/>
  <c r="N11" i="14" s="1"/>
  <c r="N12" i="14" s="1"/>
  <c r="M14" i="14" s="1"/>
  <c r="AC4" i="14"/>
  <c r="AF4" i="14" s="1"/>
  <c r="AC5" i="8"/>
  <c r="AI5" i="8" s="1"/>
  <c r="AB27" i="8" s="1"/>
  <c r="Q11" i="8" s="1"/>
  <c r="AE12" i="12"/>
  <c r="AK8" i="10"/>
  <c r="AF11" i="12"/>
  <c r="AG5" i="13"/>
  <c r="AC4" i="13"/>
  <c r="AF4" i="13" s="1"/>
  <c r="AG9" i="14"/>
  <c r="AB25" i="14" s="1"/>
  <c r="Q7" i="14" s="1"/>
  <c r="AF21" i="14" s="1"/>
  <c r="AD4" i="14"/>
  <c r="AC6" i="20"/>
  <c r="AB21" i="20" s="1"/>
  <c r="AI20" i="3"/>
  <c r="AB22" i="3"/>
  <c r="N11" i="3" s="1"/>
  <c r="N12" i="3" s="1"/>
  <c r="M14" i="3" s="1"/>
  <c r="AC10" i="9"/>
  <c r="AF10" i="9" s="1"/>
  <c r="AJ9" i="14"/>
  <c r="AB28" i="14" s="1"/>
  <c r="Q12" i="14" s="1"/>
  <c r="AK31" i="14" s="1"/>
  <c r="AD6" i="20"/>
  <c r="AB22" i="20" s="1"/>
  <c r="N11" i="20" s="1"/>
  <c r="N12" i="20" s="1"/>
  <c r="M14" i="20" s="1"/>
  <c r="AI7" i="21"/>
  <c r="BB9" i="21"/>
  <c r="BB8" i="21"/>
  <c r="AK12" i="21"/>
  <c r="AH12" i="21"/>
  <c r="AF12" i="21"/>
  <c r="AF5" i="21"/>
  <c r="AJ11" i="21"/>
  <c r="AG11" i="21"/>
  <c r="AL11" i="21"/>
  <c r="AE11" i="21"/>
  <c r="AK10" i="21"/>
  <c r="AI10" i="21"/>
  <c r="AH10" i="21"/>
  <c r="AF10" i="21"/>
  <c r="AJ6" i="21"/>
  <c r="AB28" i="21" s="1"/>
  <c r="Q12" i="21" s="1"/>
  <c r="AE6" i="21"/>
  <c r="AB23" i="21" s="1"/>
  <c r="Q5" i="21" s="1"/>
  <c r="AK18" i="21" s="1"/>
  <c r="AB21" i="21"/>
  <c r="AJ8" i="21"/>
  <c r="AE8" i="21"/>
  <c r="BD11" i="21"/>
  <c r="BD12" i="21" s="1"/>
  <c r="BC12" i="21"/>
  <c r="AK9" i="21"/>
  <c r="AB29" i="21" s="1"/>
  <c r="Q13" i="21" s="1"/>
  <c r="AI9" i="21"/>
  <c r="AB27" i="21" s="1"/>
  <c r="Q11" i="21" s="1"/>
  <c r="AH9" i="21"/>
  <c r="AB26" i="21" s="1"/>
  <c r="Q8" i="21" s="1"/>
  <c r="AF27" i="21" s="1"/>
  <c r="AF9" i="21"/>
  <c r="AB24" i="21" s="1"/>
  <c r="Q6" i="21" s="1"/>
  <c r="AK22" i="21" s="1"/>
  <c r="AI20" i="20"/>
  <c r="AI7" i="20"/>
  <c r="AF7" i="20"/>
  <c r="AK9" i="20"/>
  <c r="AI9" i="20"/>
  <c r="AH9" i="20"/>
  <c r="AF9" i="20"/>
  <c r="AJ8" i="20"/>
  <c r="AE8" i="20"/>
  <c r="AK25" i="19"/>
  <c r="AK12" i="19"/>
  <c r="AH12" i="19"/>
  <c r="AI7" i="19"/>
  <c r="AF7" i="19"/>
  <c r="AK9" i="19"/>
  <c r="AI9" i="19"/>
  <c r="AH9" i="19"/>
  <c r="AF9" i="19"/>
  <c r="AI4" i="19"/>
  <c r="AF4" i="19"/>
  <c r="BD11" i="19"/>
  <c r="BD12" i="19" s="1"/>
  <c r="BC12" i="19"/>
  <c r="AK10" i="19"/>
  <c r="AH10" i="19"/>
  <c r="AF10" i="19"/>
  <c r="AI10" i="19"/>
  <c r="AJ6" i="19"/>
  <c r="AJ11" i="19"/>
  <c r="AG11" i="19"/>
  <c r="AE11" i="19"/>
  <c r="AL11" i="19"/>
  <c r="AI5" i="19"/>
  <c r="AF5" i="19"/>
  <c r="AI20" i="18"/>
  <c r="AK9" i="18"/>
  <c r="AI9" i="18"/>
  <c r="AH9" i="18"/>
  <c r="AF9" i="18"/>
  <c r="AF18" i="18"/>
  <c r="AB21" i="18"/>
  <c r="AJ11" i="18"/>
  <c r="AG11" i="18"/>
  <c r="AE11" i="18"/>
  <c r="AL11" i="18"/>
  <c r="AK31" i="18"/>
  <c r="AI7" i="18"/>
  <c r="AF7" i="18"/>
  <c r="AK12" i="18"/>
  <c r="AH12" i="18"/>
  <c r="AF12" i="18"/>
  <c r="AI5" i="18"/>
  <c r="AF5" i="18"/>
  <c r="BD11" i="18"/>
  <c r="BD12" i="18" s="1"/>
  <c r="BC12" i="18"/>
  <c r="AF18" i="17"/>
  <c r="AK31" i="17"/>
  <c r="AK12" i="17"/>
  <c r="AH12" i="17"/>
  <c r="AF12" i="17"/>
  <c r="BD11" i="17"/>
  <c r="BD12" i="17" s="1"/>
  <c r="BC12" i="17"/>
  <c r="AK10" i="17"/>
  <c r="AB29" i="17" s="1"/>
  <c r="Q13" i="17" s="1"/>
  <c r="AK28" i="17" s="1"/>
  <c r="AI10" i="17"/>
  <c r="AB27" i="17" s="1"/>
  <c r="Q11" i="17" s="1"/>
  <c r="AK34" i="17" s="1"/>
  <c r="AH10" i="17"/>
  <c r="AB26" i="17" s="1"/>
  <c r="Q8" i="17" s="1"/>
  <c r="AF27" i="17" s="1"/>
  <c r="AF10" i="17"/>
  <c r="AB24" i="17" s="1"/>
  <c r="Q6" i="17" s="1"/>
  <c r="AK22" i="17" s="1"/>
  <c r="AI4" i="17"/>
  <c r="AF4" i="17"/>
  <c r="AJ6" i="17"/>
  <c r="AE6" i="17"/>
  <c r="AJ11" i="17"/>
  <c r="AG11" i="17"/>
  <c r="AE11" i="17"/>
  <c r="AL11" i="17"/>
  <c r="AI7" i="17"/>
  <c r="AF7" i="17"/>
  <c r="AI20" i="17"/>
  <c r="AE8" i="17"/>
  <c r="AK12" i="16"/>
  <c r="AH12" i="16"/>
  <c r="AF12" i="16"/>
  <c r="BB9" i="16"/>
  <c r="BB8" i="16"/>
  <c r="AI4" i="16"/>
  <c r="AF4" i="16"/>
  <c r="AI5" i="16"/>
  <c r="AF5" i="16"/>
  <c r="AK9" i="16"/>
  <c r="AI9" i="16"/>
  <c r="AH9" i="16"/>
  <c r="AF9" i="16"/>
  <c r="AI20" i="16"/>
  <c r="AJ8" i="16"/>
  <c r="AE8" i="16"/>
  <c r="AI7" i="16"/>
  <c r="AF7" i="16"/>
  <c r="AJ6" i="16"/>
  <c r="AE6" i="16"/>
  <c r="AK10" i="16"/>
  <c r="AI10" i="16"/>
  <c r="AH10" i="16"/>
  <c r="AF10" i="16"/>
  <c r="BD11" i="16"/>
  <c r="BD12" i="16" s="1"/>
  <c r="BC12" i="16"/>
  <c r="AJ11" i="16"/>
  <c r="AG11" i="16"/>
  <c r="AE11" i="16"/>
  <c r="AL11" i="16"/>
  <c r="AI20" i="15"/>
  <c r="AJ8" i="15"/>
  <c r="AE8" i="15"/>
  <c r="AI7" i="15"/>
  <c r="AF7" i="15"/>
  <c r="AK10" i="15"/>
  <c r="AI10" i="15"/>
  <c r="AH10" i="15"/>
  <c r="AF10" i="15"/>
  <c r="AK9" i="15"/>
  <c r="AI9" i="15"/>
  <c r="AH9" i="15"/>
  <c r="AF9" i="15"/>
  <c r="AE6" i="15"/>
  <c r="AI5" i="15"/>
  <c r="AF5" i="15"/>
  <c r="AJ11" i="15"/>
  <c r="AG11" i="15"/>
  <c r="AE11" i="15"/>
  <c r="AL11" i="15"/>
  <c r="AI4" i="15"/>
  <c r="AF4" i="15"/>
  <c r="BD11" i="15"/>
  <c r="BD12" i="15" s="1"/>
  <c r="BC12" i="15"/>
  <c r="BB14" i="14"/>
  <c r="BB15" i="14"/>
  <c r="AB21" i="14"/>
  <c r="AJ8" i="14"/>
  <c r="AE8" i="14"/>
  <c r="AJ6" i="14"/>
  <c r="AE6" i="14"/>
  <c r="BB9" i="14"/>
  <c r="BB8" i="14"/>
  <c r="AJ11" i="14"/>
  <c r="AG11" i="14"/>
  <c r="AI20" i="13"/>
  <c r="AK12" i="13"/>
  <c r="AH12" i="13"/>
  <c r="AF12" i="13"/>
  <c r="AL11" i="13"/>
  <c r="AK10" i="13"/>
  <c r="AI10" i="13"/>
  <c r="AH10" i="13"/>
  <c r="AF10" i="13"/>
  <c r="BC12" i="13"/>
  <c r="BD11" i="13"/>
  <c r="BD12" i="13" s="1"/>
  <c r="AK9" i="12"/>
  <c r="AJ11" i="12"/>
  <c r="AL11" i="12"/>
  <c r="AG11" i="12"/>
  <c r="AE11" i="12"/>
  <c r="AI7" i="12"/>
  <c r="AF7" i="12"/>
  <c r="AJ6" i="12"/>
  <c r="AB21" i="12"/>
  <c r="AI5" i="12"/>
  <c r="AB27" i="12" s="1"/>
  <c r="Q11" i="12" s="1"/>
  <c r="AF5" i="12"/>
  <c r="AB24" i="12" s="1"/>
  <c r="Q6" i="12" s="1"/>
  <c r="AK22" i="12" s="1"/>
  <c r="AE8" i="12"/>
  <c r="BD11" i="12"/>
  <c r="BD12" i="12" s="1"/>
  <c r="BC12" i="12"/>
  <c r="AI20" i="11"/>
  <c r="AB22" i="11"/>
  <c r="N11" i="11" s="1"/>
  <c r="N12" i="11" s="1"/>
  <c r="M14" i="11" s="1"/>
  <c r="AB25" i="11"/>
  <c r="Q7" i="11" s="1"/>
  <c r="AF21" i="11" s="1"/>
  <c r="AI7" i="11"/>
  <c r="AF7" i="11"/>
  <c r="AJ11" i="11"/>
  <c r="AL11" i="11"/>
  <c r="AG11" i="11"/>
  <c r="AE11" i="11"/>
  <c r="AK9" i="11"/>
  <c r="AB29" i="11" s="1"/>
  <c r="Q13" i="11" s="1"/>
  <c r="AI9" i="11"/>
  <c r="AH9" i="11"/>
  <c r="AB26" i="11" s="1"/>
  <c r="Q8" i="11" s="1"/>
  <c r="AF27" i="11" s="1"/>
  <c r="AF9" i="11"/>
  <c r="AB21" i="11"/>
  <c r="AJ8" i="11"/>
  <c r="AE8" i="11"/>
  <c r="AK12" i="11"/>
  <c r="AH12" i="11"/>
  <c r="AF12" i="11"/>
  <c r="AJ6" i="11"/>
  <c r="AE6" i="11"/>
  <c r="AF10" i="11"/>
  <c r="AK10" i="11"/>
  <c r="AI5" i="11"/>
  <c r="AF5" i="11"/>
  <c r="AI4" i="11"/>
  <c r="AF4" i="11"/>
  <c r="BD11" i="11"/>
  <c r="BD12" i="11" s="1"/>
  <c r="BC12" i="11"/>
  <c r="AF8" i="10"/>
  <c r="AC12" i="10"/>
  <c r="AK12" i="10" s="1"/>
  <c r="AD8" i="10"/>
  <c r="AC8" i="10"/>
  <c r="AJ8" i="10" s="1"/>
  <c r="AE12" i="10"/>
  <c r="AI4" i="10"/>
  <c r="AF4" i="10"/>
  <c r="BB9" i="10"/>
  <c r="BB8" i="10"/>
  <c r="AH9" i="10"/>
  <c r="AB26" i="10" s="1"/>
  <c r="Q8" i="10" s="1"/>
  <c r="AF27" i="10" s="1"/>
  <c r="AI7" i="10"/>
  <c r="AF7" i="10"/>
  <c r="AD9" i="9"/>
  <c r="AH6" i="9"/>
  <c r="AI6" i="9"/>
  <c r="AL9" i="9"/>
  <c r="AJ9" i="9"/>
  <c r="AE9" i="9"/>
  <c r="AE7" i="9"/>
  <c r="AD7" i="9"/>
  <c r="AG5" i="9"/>
  <c r="AI4" i="9"/>
  <c r="AF4" i="9"/>
  <c r="AG11" i="9"/>
  <c r="AE11" i="9"/>
  <c r="AL11" i="9"/>
  <c r="AJ11" i="9"/>
  <c r="AF5" i="9"/>
  <c r="AF9" i="9"/>
  <c r="AK9" i="9"/>
  <c r="AI9" i="9"/>
  <c r="AH9" i="9"/>
  <c r="BD11" i="8"/>
  <c r="BD12" i="8" s="1"/>
  <c r="BC12" i="8"/>
  <c r="AJ8" i="8"/>
  <c r="AE8" i="8"/>
  <c r="AI20" i="8"/>
  <c r="AJ11" i="8"/>
  <c r="AG11" i="8"/>
  <c r="AE11" i="8"/>
  <c r="AL11" i="8"/>
  <c r="AI7" i="8"/>
  <c r="AF7" i="8"/>
  <c r="AK10" i="8"/>
  <c r="BB14" i="8"/>
  <c r="BB15" i="8"/>
  <c r="AI4" i="8"/>
  <c r="AF4" i="8"/>
  <c r="AB21" i="8"/>
  <c r="AH12" i="8"/>
  <c r="AK12" i="8"/>
  <c r="AF12" i="8"/>
  <c r="BD11" i="7"/>
  <c r="BD12" i="7" s="1"/>
  <c r="BC12" i="7"/>
  <c r="AI9" i="7"/>
  <c r="AK9" i="7"/>
  <c r="AH9" i="7"/>
  <c r="AF9" i="7"/>
  <c r="AI20" i="7"/>
  <c r="AI4" i="7"/>
  <c r="AF4" i="7"/>
  <c r="AJ11" i="7"/>
  <c r="AG11" i="7"/>
  <c r="AL11" i="7"/>
  <c r="AE11" i="7"/>
  <c r="AH10" i="7"/>
  <c r="AK10" i="7"/>
  <c r="AI10" i="7"/>
  <c r="AF10" i="7"/>
  <c r="AK12" i="6"/>
  <c r="AH12" i="6"/>
  <c r="AF12" i="6"/>
  <c r="AK10" i="6"/>
  <c r="AI10" i="6"/>
  <c r="AH10" i="6"/>
  <c r="AF10" i="6"/>
  <c r="AF5" i="6"/>
  <c r="AB24" i="6" s="1"/>
  <c r="Q6" i="6" s="1"/>
  <c r="AK22" i="6" s="1"/>
  <c r="AJ8" i="6"/>
  <c r="AE8" i="6"/>
  <c r="AI7" i="6"/>
  <c r="AF7" i="6"/>
  <c r="BD11" i="6"/>
  <c r="BD12" i="6" s="1"/>
  <c r="BC12" i="6"/>
  <c r="AI4" i="6"/>
  <c r="AF4" i="6"/>
  <c r="AJ6" i="6"/>
  <c r="AK9" i="6"/>
  <c r="AI9" i="6"/>
  <c r="AH9" i="6"/>
  <c r="AF9" i="6"/>
  <c r="AJ11" i="5"/>
  <c r="AG11" i="5"/>
  <c r="AE11" i="5"/>
  <c r="AL11" i="5"/>
  <c r="AJ6" i="5"/>
  <c r="AE6" i="5"/>
  <c r="AK12" i="5"/>
  <c r="AH12" i="5"/>
  <c r="AF12" i="5"/>
  <c r="AB21" i="5"/>
  <c r="AI4" i="5"/>
  <c r="AF4" i="5"/>
  <c r="BC12" i="5"/>
  <c r="BD11" i="5"/>
  <c r="BD12" i="5" s="1"/>
  <c r="AI20" i="5"/>
  <c r="AK9" i="5"/>
  <c r="AF9" i="5"/>
  <c r="AI9" i="5"/>
  <c r="AH9" i="5"/>
  <c r="AI5" i="4"/>
  <c r="AB27" i="4" s="1"/>
  <c r="Q11" i="4" s="1"/>
  <c r="AF5" i="4"/>
  <c r="AB24" i="4" s="1"/>
  <c r="Q6" i="4" s="1"/>
  <c r="AK22" i="4" s="1"/>
  <c r="AB21" i="4"/>
  <c r="AG11" i="4"/>
  <c r="AL11" i="4"/>
  <c r="AJ11" i="4"/>
  <c r="AE11" i="4"/>
  <c r="AI4" i="4"/>
  <c r="AF4" i="4"/>
  <c r="AI7" i="4"/>
  <c r="AF7" i="4"/>
  <c r="AJ6" i="4"/>
  <c r="AE6" i="4"/>
  <c r="AK12" i="4"/>
  <c r="AH12" i="4"/>
  <c r="AF12" i="4"/>
  <c r="AJ8" i="4"/>
  <c r="AE8" i="4"/>
  <c r="AH9" i="4"/>
  <c r="AI9" i="4"/>
  <c r="AF9" i="4"/>
  <c r="AK9" i="4"/>
  <c r="AK10" i="4"/>
  <c r="AI10" i="4"/>
  <c r="AH10" i="4"/>
  <c r="AF10" i="4"/>
  <c r="AI20" i="4"/>
  <c r="AB25" i="3"/>
  <c r="Q7" i="3" s="1"/>
  <c r="AF21" i="3" s="1"/>
  <c r="AJ11" i="3"/>
  <c r="AG11" i="3"/>
  <c r="AE11" i="3"/>
  <c r="AL11" i="3"/>
  <c r="AK12" i="3"/>
  <c r="AF12" i="3"/>
  <c r="AH12" i="3"/>
  <c r="AI5" i="3"/>
  <c r="AF5" i="3"/>
  <c r="AJ8" i="3"/>
  <c r="AE8" i="3"/>
  <c r="AB21" i="3"/>
  <c r="AF9" i="3"/>
  <c r="AK9" i="3"/>
  <c r="AB29" i="3" s="1"/>
  <c r="Q13" i="3" s="1"/>
  <c r="AI9" i="3"/>
  <c r="AH9" i="3"/>
  <c r="AB26" i="3" s="1"/>
  <c r="Q8" i="3" s="1"/>
  <c r="AF27" i="3" s="1"/>
  <c r="AI10" i="3"/>
  <c r="AF10" i="3"/>
  <c r="AK10" i="3"/>
  <c r="AH10" i="3"/>
  <c r="AI4" i="3"/>
  <c r="AF4" i="3"/>
  <c r="AJ6" i="3"/>
  <c r="AE6" i="3"/>
  <c r="AI7" i="3"/>
  <c r="AF7" i="3"/>
  <c r="N13" i="1"/>
  <c r="AL11" i="14" l="1"/>
  <c r="AF4" i="12"/>
  <c r="AE8" i="9"/>
  <c r="AI10" i="5"/>
  <c r="AF10" i="5"/>
  <c r="AF12" i="14"/>
  <c r="AH10" i="14"/>
  <c r="AI5" i="5"/>
  <c r="AB27" i="5" s="1"/>
  <c r="Q11" i="5" s="1"/>
  <c r="AH10" i="5"/>
  <c r="AH12" i="14"/>
  <c r="AK10" i="14"/>
  <c r="AF10" i="20"/>
  <c r="AI10" i="20"/>
  <c r="AH10" i="20"/>
  <c r="AJ6" i="13"/>
  <c r="AI5" i="17"/>
  <c r="AJ6" i="18"/>
  <c r="AI7" i="13"/>
  <c r="AK9" i="10"/>
  <c r="AB29" i="10" s="1"/>
  <c r="Q13" i="10" s="1"/>
  <c r="AK28" i="10" s="1"/>
  <c r="AE6" i="10"/>
  <c r="AF4" i="18"/>
  <c r="AI9" i="12"/>
  <c r="AF7" i="5"/>
  <c r="AF9" i="10"/>
  <c r="AB24" i="10" s="1"/>
  <c r="Q6" i="10" s="1"/>
  <c r="AK22" i="10" s="1"/>
  <c r="AH9" i="12"/>
  <c r="AJ11" i="6"/>
  <c r="AG11" i="6"/>
  <c r="AF5" i="13"/>
  <c r="AH10" i="11"/>
  <c r="AF5" i="14"/>
  <c r="AH10" i="8"/>
  <c r="AI10" i="8"/>
  <c r="AI9" i="10"/>
  <c r="AB27" i="10" s="1"/>
  <c r="Q11" i="10" s="1"/>
  <c r="AK34" i="10" s="1"/>
  <c r="AF7" i="14"/>
  <c r="AK9" i="13"/>
  <c r="AB29" i="13" s="1"/>
  <c r="Q13" i="13" s="1"/>
  <c r="AK28" i="13" s="1"/>
  <c r="AF10" i="14"/>
  <c r="AL11" i="6"/>
  <c r="AF9" i="17"/>
  <c r="AK25" i="5"/>
  <c r="AH12" i="12"/>
  <c r="AE8" i="5"/>
  <c r="AK28" i="7"/>
  <c r="AK12" i="12"/>
  <c r="AI4" i="14"/>
  <c r="AH9" i="8"/>
  <c r="AF12" i="15"/>
  <c r="AG11" i="13"/>
  <c r="AH12" i="15"/>
  <c r="AE11" i="13"/>
  <c r="AH10" i="10"/>
  <c r="AF7" i="9"/>
  <c r="AF4" i="20"/>
  <c r="AF4" i="21"/>
  <c r="AF5" i="10"/>
  <c r="AB21" i="6"/>
  <c r="AJ6" i="8"/>
  <c r="AF10" i="12"/>
  <c r="AH12" i="20"/>
  <c r="AL11" i="10"/>
  <c r="AH9" i="13"/>
  <c r="AB26" i="13" s="1"/>
  <c r="Q8" i="13" s="1"/>
  <c r="AF27" i="13" s="1"/>
  <c r="AJ6" i="9"/>
  <c r="AF9" i="13"/>
  <c r="AB24" i="13" s="1"/>
  <c r="Q6" i="13" s="1"/>
  <c r="AK22" i="13" s="1"/>
  <c r="AK10" i="9"/>
  <c r="AH12" i="9"/>
  <c r="AI9" i="13"/>
  <c r="AB27" i="13" s="1"/>
  <c r="Q11" i="13" s="1"/>
  <c r="AK34" i="13" s="1"/>
  <c r="AE8" i="13"/>
  <c r="AJ8" i="19"/>
  <c r="AJ8" i="18"/>
  <c r="AG11" i="10"/>
  <c r="AJ11" i="10"/>
  <c r="AF5" i="8"/>
  <c r="AB24" i="8" s="1"/>
  <c r="Q6" i="8" s="1"/>
  <c r="AK22" i="8" s="1"/>
  <c r="AI10" i="10"/>
  <c r="AF5" i="20"/>
  <c r="AL11" i="20"/>
  <c r="AH10" i="9"/>
  <c r="AF9" i="8"/>
  <c r="AI10" i="9"/>
  <c r="AI9" i="8"/>
  <c r="AK12" i="20"/>
  <c r="AF10" i="10"/>
  <c r="AI4" i="13"/>
  <c r="AK10" i="18"/>
  <c r="AB29" i="18" s="1"/>
  <c r="Q13" i="18" s="1"/>
  <c r="AK28" i="18" s="1"/>
  <c r="AE11" i="20"/>
  <c r="AJ11" i="20"/>
  <c r="AK12" i="9"/>
  <c r="AK10" i="12"/>
  <c r="AH10" i="12"/>
  <c r="AF10" i="18"/>
  <c r="AB24" i="18" s="1"/>
  <c r="Q6" i="18" s="1"/>
  <c r="AK22" i="18" s="1"/>
  <c r="AE6" i="20"/>
  <c r="AB23" i="20" s="1"/>
  <c r="Q5" i="20" s="1"/>
  <c r="AK18" i="20" s="1"/>
  <c r="AH9" i="17"/>
  <c r="AI9" i="17"/>
  <c r="AF9" i="14"/>
  <c r="AB24" i="14" s="1"/>
  <c r="Q6" i="14" s="1"/>
  <c r="AK22" i="14" s="1"/>
  <c r="AH9" i="14"/>
  <c r="AB26" i="14" s="1"/>
  <c r="Q8" i="14" s="1"/>
  <c r="AF27" i="14" s="1"/>
  <c r="AK9" i="14"/>
  <c r="AB29" i="14" s="1"/>
  <c r="Q13" i="14" s="1"/>
  <c r="AK28" i="14" s="1"/>
  <c r="AH10" i="18"/>
  <c r="AB26" i="18" s="1"/>
  <c r="Q8" i="18" s="1"/>
  <c r="AF27" i="18" s="1"/>
  <c r="AE8" i="10"/>
  <c r="AJ6" i="20"/>
  <c r="AB28" i="20" s="1"/>
  <c r="Q12" i="20" s="1"/>
  <c r="AK31" i="20" s="1"/>
  <c r="AK28" i="21"/>
  <c r="AB27" i="11"/>
  <c r="Q11" i="11" s="1"/>
  <c r="AK34" i="11" s="1"/>
  <c r="AK34" i="21"/>
  <c r="AF12" i="10"/>
  <c r="AH12" i="10"/>
  <c r="AB24" i="3"/>
  <c r="Q6" i="3" s="1"/>
  <c r="AK22" i="3" s="1"/>
  <c r="AK25" i="21"/>
  <c r="AK31" i="21"/>
  <c r="AK34" i="12"/>
  <c r="AK28" i="12"/>
  <c r="AB24" i="11"/>
  <c r="Q6" i="11" s="1"/>
  <c r="AK22" i="11" s="1"/>
  <c r="AK28" i="8"/>
  <c r="AK34" i="8"/>
  <c r="AK34" i="6"/>
  <c r="AK28" i="6"/>
  <c r="AK34" i="5"/>
  <c r="AK28" i="5"/>
  <c r="AK34" i="4"/>
  <c r="AK28" i="4"/>
  <c r="AB27" i="3"/>
  <c r="Q11" i="3" s="1"/>
  <c r="AK34" i="3" s="1"/>
  <c r="AF33" i="1"/>
  <c r="AT15" i="1"/>
  <c r="AT14" i="1"/>
  <c r="AT13" i="1"/>
  <c r="AT12" i="1"/>
  <c r="AK23" i="1"/>
  <c r="AF28" i="1"/>
  <c r="AF29" i="1"/>
  <c r="AF26" i="1"/>
  <c r="AF25" i="1"/>
  <c r="AF23" i="1"/>
  <c r="AF22" i="1"/>
  <c r="AF20" i="1"/>
  <c r="AF19" i="1"/>
  <c r="AK25" i="20" l="1"/>
  <c r="AK28" i="11"/>
  <c r="AK28" i="3"/>
  <c r="AB18" i="1"/>
  <c r="AB6" i="1" s="1"/>
  <c r="AK6" i="1" l="1"/>
  <c r="AI6" i="1"/>
  <c r="AD6" i="1"/>
  <c r="AB11" i="1"/>
  <c r="AB8" i="1"/>
  <c r="AC6" i="1"/>
  <c r="AB7" i="1"/>
  <c r="AL7" i="1" s="1"/>
  <c r="AF6" i="1"/>
  <c r="AH6" i="1"/>
  <c r="AJ6" i="1" l="1"/>
  <c r="AE6" i="1"/>
  <c r="AH11" i="1"/>
  <c r="AF11" i="1"/>
  <c r="AD11" i="1"/>
  <c r="AC11" i="1"/>
  <c r="AK11" i="1"/>
  <c r="AF8" i="1"/>
  <c r="AK8" i="1"/>
  <c r="AH8" i="1"/>
  <c r="AD8" i="1"/>
  <c r="AC8" i="1"/>
  <c r="AE7" i="1"/>
  <c r="AD7" i="1"/>
  <c r="AG11" i="1" l="1"/>
  <c r="AE11" i="1"/>
  <c r="AJ11" i="1"/>
  <c r="AL11" i="1"/>
  <c r="AJ8" i="1"/>
  <c r="AE8" i="1"/>
  <c r="AK19" i="1" l="1"/>
  <c r="AI19" i="1" s="1"/>
  <c r="AK20" i="1" l="1"/>
  <c r="AI20" i="1" s="1"/>
  <c r="AJ23" i="1"/>
  <c r="AJ24" i="1" s="1"/>
  <c r="AF37" i="1" l="1"/>
  <c r="AE37" i="1" s="1"/>
  <c r="AD37" i="1"/>
  <c r="AD36" i="1"/>
  <c r="AJ35" i="1"/>
  <c r="AJ36" i="1" s="1"/>
  <c r="AE34" i="1"/>
  <c r="AE35" i="1" s="1"/>
  <c r="AI33" i="1"/>
  <c r="AD33" i="1"/>
  <c r="AD35" i="1" s="1"/>
  <c r="AJ32" i="1"/>
  <c r="AI32" i="1"/>
  <c r="AI30" i="1"/>
  <c r="AI36" i="1" s="1"/>
  <c r="AI29" i="1"/>
  <c r="AI35" i="1" s="1"/>
  <c r="AE28" i="1"/>
  <c r="AE29" i="1" s="1"/>
  <c r="AJ27" i="1"/>
  <c r="AJ26" i="1"/>
  <c r="AE25" i="1"/>
  <c r="AD25" i="1"/>
  <c r="AD28" i="1" s="1"/>
  <c r="AT24" i="1"/>
  <c r="AT25" i="1" s="1"/>
  <c r="AT29" i="1" s="1"/>
  <c r="AT30" i="1" s="1"/>
  <c r="AT33" i="1" s="1"/>
  <c r="AT34" i="1" s="1"/>
  <c r="AS24" i="1"/>
  <c r="AS32" i="1" s="1"/>
  <c r="AS33" i="1" s="1"/>
  <c r="AS36" i="1" s="1"/>
  <c r="AS37" i="1" s="1"/>
  <c r="AJ33" i="1"/>
  <c r="AS23" i="1"/>
  <c r="AI23" i="1"/>
  <c r="AI24" i="1" s="1"/>
  <c r="AD22" i="1"/>
  <c r="AD23" i="1" s="1"/>
  <c r="AJ19" i="1"/>
  <c r="AJ20" i="1" s="1"/>
  <c r="AD19" i="1"/>
  <c r="AE19" i="1"/>
  <c r="AE22" i="1" s="1"/>
  <c r="AY16" i="1"/>
  <c r="AY15" i="1"/>
  <c r="BE14" i="1"/>
  <c r="BE13" i="1"/>
  <c r="AG16" i="1"/>
  <c r="AD16" i="1"/>
  <c r="AY12" i="1"/>
  <c r="AL15" i="1"/>
  <c r="AG15" i="1"/>
  <c r="AE15" i="1"/>
  <c r="AD15" i="1"/>
  <c r="AT11" i="1"/>
  <c r="AY10" i="1" s="1"/>
  <c r="AL14" i="1"/>
  <c r="AJ14" i="1"/>
  <c r="AG14" i="1"/>
  <c r="AE14" i="1"/>
  <c r="AD14" i="1"/>
  <c r="AJ13" i="1"/>
  <c r="AE13" i="1"/>
  <c r="AD13" i="1"/>
  <c r="BE9" i="1"/>
  <c r="BE10" i="1" s="1"/>
  <c r="N6" i="1"/>
  <c r="N5" i="1"/>
  <c r="J5" i="1"/>
  <c r="BA11" i="1" l="1"/>
  <c r="BB10" i="1" s="1"/>
  <c r="AE20" i="1"/>
  <c r="AE23" i="1" s="1"/>
  <c r="N7" i="1"/>
  <c r="N8" i="1" s="1"/>
  <c r="BA12" i="1"/>
  <c r="BB12" i="1" s="1"/>
  <c r="BE11" i="1"/>
  <c r="BE12" i="1" s="1"/>
  <c r="AD26" i="1"/>
  <c r="AD29" i="1" s="1"/>
  <c r="AS34" i="1"/>
  <c r="AS35" i="1" s="1"/>
  <c r="BB11" i="1"/>
  <c r="AT37" i="1"/>
  <c r="AT38" i="1" s="1"/>
  <c r="AS28" i="1"/>
  <c r="AS29" i="1" s="1"/>
  <c r="AB12" i="1"/>
  <c r="AB4" i="1"/>
  <c r="AE4" i="1" s="1"/>
  <c r="AB10" i="1"/>
  <c r="AG10" i="1" s="1"/>
  <c r="AB9" i="1"/>
  <c r="AJ9" i="1" s="1"/>
  <c r="AB5" i="1"/>
  <c r="AD5" i="1" s="1"/>
  <c r="BC11" i="1"/>
  <c r="BC12" i="1" s="1"/>
  <c r="BA10" i="1"/>
  <c r="BB8" i="1" s="1"/>
  <c r="AD20" i="1"/>
  <c r="AT31" i="1"/>
  <c r="AT32" i="1" s="1"/>
  <c r="AE26" i="1"/>
  <c r="AY13" i="1"/>
  <c r="BA13" i="1" s="1"/>
  <c r="AC5" i="1" l="1"/>
  <c r="AI5" i="1" s="1"/>
  <c r="AE5" i="1"/>
  <c r="AL5" i="1"/>
  <c r="AB20" i="1"/>
  <c r="AG9" i="1"/>
  <c r="BB13" i="1"/>
  <c r="AC4" i="1"/>
  <c r="AI4" i="1" s="1"/>
  <c r="AG7" i="1"/>
  <c r="AC7" i="1"/>
  <c r="AI7" i="1" s="1"/>
  <c r="AD10" i="1"/>
  <c r="AD4" i="1"/>
  <c r="AE10" i="1"/>
  <c r="AL10" i="1"/>
  <c r="AC10" i="1"/>
  <c r="AK10" i="1" s="1"/>
  <c r="AG12" i="1"/>
  <c r="AE12" i="1"/>
  <c r="AD12" i="1"/>
  <c r="AJ4" i="1"/>
  <c r="AG5" i="1"/>
  <c r="AJ5" i="1"/>
  <c r="AB28" i="1" s="1"/>
  <c r="Q12" i="1" s="1"/>
  <c r="AC9" i="1"/>
  <c r="AL9" i="1"/>
  <c r="AE9" i="1"/>
  <c r="AD9" i="1"/>
  <c r="BD11" i="1"/>
  <c r="BD12" i="1" s="1"/>
  <c r="AC12" i="1"/>
  <c r="AL12" i="1"/>
  <c r="BB9" i="1"/>
  <c r="BB14" i="1"/>
  <c r="BB15" i="1"/>
  <c r="AB22" i="1" l="1"/>
  <c r="N11" i="1" s="1"/>
  <c r="N12" i="1" s="1"/>
  <c r="M14" i="1" s="1"/>
  <c r="AB23" i="1"/>
  <c r="Q5" i="1" s="1"/>
  <c r="AK18" i="1" s="1"/>
  <c r="AB25" i="1"/>
  <c r="Q7" i="1" s="1"/>
  <c r="AB30" i="1"/>
  <c r="Q14" i="1" s="1"/>
  <c r="AK31" i="1" s="1"/>
  <c r="AF7" i="1"/>
  <c r="AF5" i="1"/>
  <c r="AF4" i="1"/>
  <c r="AB21" i="1"/>
  <c r="AI10" i="1"/>
  <c r="AH10" i="1"/>
  <c r="AH12" i="1"/>
  <c r="AF12" i="1"/>
  <c r="AF10" i="1"/>
  <c r="AK9" i="1"/>
  <c r="AB29" i="1" s="1"/>
  <c r="AI9" i="1"/>
  <c r="AH9" i="1"/>
  <c r="AF9" i="1"/>
  <c r="AK12" i="1"/>
  <c r="AB27" i="1" l="1"/>
  <c r="Q11" i="1" s="1"/>
  <c r="AK25" i="1"/>
  <c r="AF21" i="1"/>
  <c r="AF18" i="1"/>
  <c r="AB26" i="1"/>
  <c r="Q8" i="1" s="1"/>
  <c r="AB24" i="1"/>
  <c r="Q6" i="1" s="1"/>
  <c r="AK22" i="1" s="1"/>
  <c r="Q13" i="1"/>
  <c r="AK34" i="1" l="1"/>
  <c r="AK28" i="1"/>
  <c r="AF24" i="1"/>
  <c r="AF27" i="1"/>
</calcChain>
</file>

<file path=xl/sharedStrings.xml><?xml version="1.0" encoding="utf-8"?>
<sst xmlns="http://schemas.openxmlformats.org/spreadsheetml/2006/main" count="1888" uniqueCount="102">
  <si>
    <t>min</t>
  </si>
  <si>
    <t>max</t>
  </si>
  <si>
    <t>lx</t>
  </si>
  <si>
    <t>ly</t>
  </si>
  <si>
    <t>x</t>
  </si>
  <si>
    <t>y</t>
  </si>
  <si>
    <t>eng</t>
  </si>
  <si>
    <t>a</t>
  </si>
  <si>
    <t>b</t>
  </si>
  <si>
    <t>c</t>
  </si>
  <si>
    <t>d</t>
  </si>
  <si>
    <t>aa</t>
  </si>
  <si>
    <t>bb</t>
  </si>
  <si>
    <t>cc</t>
  </si>
  <si>
    <t>λ</t>
  </si>
  <si>
    <t>kx</t>
  </si>
  <si>
    <t>ky</t>
  </si>
  <si>
    <t>mx</t>
  </si>
  <si>
    <t>my</t>
  </si>
  <si>
    <t>Caso</t>
  </si>
  <si>
    <t>wc</t>
  </si>
  <si>
    <t>mxe</t>
  </si>
  <si>
    <t>mye</t>
  </si>
  <si>
    <t>rx</t>
  </si>
  <si>
    <t>ry</t>
  </si>
  <si>
    <t>rxe</t>
  </si>
  <si>
    <t>rye</t>
  </si>
  <si>
    <t>Ecs</t>
  </si>
  <si>
    <t>fck</t>
  </si>
  <si>
    <t>Eci</t>
  </si>
  <si>
    <t>D</t>
  </si>
  <si>
    <t>h</t>
  </si>
  <si>
    <t>Vãos</t>
  </si>
  <si>
    <t>Carga</t>
  </si>
  <si>
    <t>Vinculação</t>
  </si>
  <si>
    <t>Concreto</t>
  </si>
  <si>
    <t>Espessura</t>
  </si>
  <si>
    <t>Rigidez</t>
  </si>
  <si>
    <t>Fluência</t>
  </si>
  <si>
    <t>φ</t>
  </si>
  <si>
    <t>Flecha</t>
  </si>
  <si>
    <t>W0</t>
  </si>
  <si>
    <t>W∞</t>
  </si>
  <si>
    <t>Wadm</t>
  </si>
  <si>
    <t>Momentos Fletores</t>
  </si>
  <si>
    <t>Reações de Apoio</t>
  </si>
  <si>
    <t>gk</t>
  </si>
  <si>
    <t>qk</t>
  </si>
  <si>
    <t>Cargas</t>
  </si>
  <si>
    <t>fd,ser</t>
  </si>
  <si>
    <t>fd</t>
  </si>
  <si>
    <t>αi</t>
  </si>
  <si>
    <t>Mdx</t>
  </si>
  <si>
    <t>Mdy</t>
  </si>
  <si>
    <t>Mdxe</t>
  </si>
  <si>
    <t>Mdye</t>
  </si>
  <si>
    <t>Rdx</t>
  </si>
  <si>
    <t>Rdy</t>
  </si>
  <si>
    <t>Rdxe</t>
  </si>
  <si>
    <t>Rdye</t>
  </si>
  <si>
    <r>
      <rPr>
        <sz val="11"/>
        <color theme="1"/>
        <rFont val="Arial"/>
        <family val="2"/>
      </rPr>
      <t>ψ</t>
    </r>
    <r>
      <rPr>
        <sz val="11"/>
        <color theme="1"/>
        <rFont val="Calibri"/>
        <family val="2"/>
        <scheme val="minor"/>
      </rPr>
      <t>2</t>
    </r>
  </si>
  <si>
    <t>2A</t>
  </si>
  <si>
    <t>3A</t>
  </si>
  <si>
    <t>5A</t>
  </si>
  <si>
    <t>Pvk</t>
  </si>
  <si>
    <t>Phk</t>
  </si>
  <si>
    <t>H</t>
  </si>
  <si>
    <t>Laje em Balanço</t>
  </si>
  <si>
    <t>αe</t>
  </si>
  <si>
    <t>Resumo</t>
  </si>
  <si>
    <t>Laje</t>
  </si>
  <si>
    <t>Vãos de Cálculo (m)</t>
  </si>
  <si>
    <t>Cargas Características (kN/m²)</t>
  </si>
  <si>
    <t>Classifi- cação</t>
  </si>
  <si>
    <t>Vão Horizontal</t>
  </si>
  <si>
    <t>Vão Vertical</t>
  </si>
  <si>
    <t>Viga Esq.</t>
  </si>
  <si>
    <t>Viga Dir.</t>
  </si>
  <si>
    <t>Vão Int.</t>
  </si>
  <si>
    <t>Viga Inf.</t>
  </si>
  <si>
    <t>Viga Sup.</t>
  </si>
  <si>
    <t>L1</t>
  </si>
  <si>
    <t>L2</t>
  </si>
  <si>
    <t>L3</t>
  </si>
  <si>
    <t>Unidir.</t>
  </si>
  <si>
    <t>L6</t>
  </si>
  <si>
    <t>L7</t>
  </si>
  <si>
    <t>L8</t>
  </si>
  <si>
    <t>L9</t>
  </si>
  <si>
    <t>L13</t>
  </si>
  <si>
    <t>L15</t>
  </si>
  <si>
    <t>L4</t>
  </si>
  <si>
    <t>L5</t>
  </si>
  <si>
    <t>L10</t>
  </si>
  <si>
    <t>L11</t>
  </si>
  <si>
    <t>L12</t>
  </si>
  <si>
    <t>L14</t>
  </si>
  <si>
    <t>L16</t>
  </si>
  <si>
    <t>L17</t>
  </si>
  <si>
    <t>L18</t>
  </si>
  <si>
    <t>L19</t>
  </si>
  <si>
    <t>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</si>
</sst>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##&quot; MPa&quot;"/>
    <numFmt numFmtId="166" formatCode="0.00&quot; m&quot;"/>
    <numFmt numFmtId="167" formatCode="0.00&quot; kN/m²&quot;"/>
    <numFmt numFmtId="168" formatCode="0.0&quot; mm&quot;"/>
    <numFmt numFmtId="169" formatCode="0&quot; MPa&quot;"/>
    <numFmt numFmtId="170" formatCode="0&quot; kNm&quot;"/>
    <numFmt numFmtId="171" formatCode="0.00&quot; kNm/m&quot;"/>
    <numFmt numFmtId="172" formatCode="0.00&quot; kN/m&quot;"/>
    <numFmt numFmtId="173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3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166" fontId="2" fillId="2" borderId="8" xfId="0" applyNumberFormat="1" applyFont="1" applyFill="1" applyBorder="1" applyAlignment="1" applyProtection="1">
      <alignment horizontal="center"/>
      <protection locked="0"/>
    </xf>
    <xf numFmtId="167" fontId="2" fillId="2" borderId="8" xfId="0" applyNumberFormat="1" applyFont="1" applyFill="1" applyBorder="1" applyAlignment="1" applyProtection="1">
      <alignment horizontal="center"/>
      <protection locked="0"/>
    </xf>
    <xf numFmtId="0" fontId="7" fillId="2" borderId="7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165" fontId="2" fillId="2" borderId="8" xfId="0" applyNumberFormat="1" applyFont="1" applyFill="1" applyBorder="1" applyAlignment="1" applyProtection="1">
      <alignment horizontal="center"/>
      <protection locked="0"/>
    </xf>
    <xf numFmtId="164" fontId="2" fillId="2" borderId="8" xfId="0" applyNumberFormat="1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167" fontId="2" fillId="2" borderId="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71" fontId="2" fillId="2" borderId="8" xfId="0" applyNumberFormat="1" applyFont="1" applyFill="1" applyBorder="1" applyAlignment="1">
      <alignment horizontal="center"/>
    </xf>
    <xf numFmtId="169" fontId="2" fillId="2" borderId="8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71" fontId="2" fillId="2" borderId="16" xfId="0" applyNumberFormat="1" applyFont="1" applyFill="1" applyBorder="1" applyAlignment="1">
      <alignment horizontal="center"/>
    </xf>
    <xf numFmtId="170" fontId="2" fillId="2" borderId="8" xfId="0" applyNumberFormat="1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171" fontId="2" fillId="2" borderId="18" xfId="0" applyNumberFormat="1" applyFont="1" applyFill="1" applyBorder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8" fontId="2" fillId="2" borderId="8" xfId="0" applyNumberFormat="1" applyFont="1" applyFill="1" applyBorder="1" applyAlignment="1">
      <alignment horizontal="center"/>
    </xf>
    <xf numFmtId="172" fontId="2" fillId="2" borderId="8" xfId="0" applyNumberFormat="1" applyFont="1" applyFill="1" applyBorder="1" applyAlignment="1">
      <alignment horizontal="center"/>
    </xf>
    <xf numFmtId="172" fontId="2" fillId="2" borderId="16" xfId="0" applyNumberFormat="1" applyFont="1" applyFill="1" applyBorder="1" applyAlignment="1">
      <alignment horizontal="center"/>
    </xf>
    <xf numFmtId="172" fontId="2" fillId="2" borderId="18" xfId="0" applyNumberFormat="1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172" fontId="9" fillId="2" borderId="0" xfId="0" applyNumberFormat="1" applyFont="1" applyFill="1" applyAlignment="1" applyProtection="1">
      <alignment horizontal="center"/>
      <protection locked="0"/>
    </xf>
    <xf numFmtId="166" fontId="9" fillId="2" borderId="0" xfId="0" applyNumberFormat="1" applyFont="1" applyFill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0" xfId="0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2" fontId="0" fillId="2" borderId="32" xfId="0" applyNumberFormat="1" applyFill="1" applyBorder="1" applyAlignment="1">
      <alignment horizontal="center" vertical="center"/>
    </xf>
    <xf numFmtId="173" fontId="0" fillId="2" borderId="32" xfId="0" applyNumberFormat="1" applyFill="1" applyBorder="1" applyAlignment="1">
      <alignment horizontal="center" vertical="center"/>
    </xf>
    <xf numFmtId="173" fontId="0" fillId="2" borderId="33" xfId="0" applyNumberForma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2" fontId="0" fillId="2" borderId="24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2" fontId="0" fillId="2" borderId="25" xfId="0" applyNumberFormat="1" applyFill="1" applyBorder="1" applyAlignment="1">
      <alignment horizontal="center" vertical="center"/>
    </xf>
    <xf numFmtId="2" fontId="0" fillId="2" borderId="33" xfId="0" applyNumberFormat="1" applyFill="1" applyBorder="1" applyAlignment="1">
      <alignment horizontal="center" vertical="center"/>
    </xf>
    <xf numFmtId="0" fontId="4" fillId="3" borderId="3" xfId="0" applyFont="1" applyFill="1" applyBorder="1" applyAlignment="1" applyProtection="1">
      <alignment horizontal="center" vertical="center" textRotation="255"/>
      <protection locked="0"/>
    </xf>
    <xf numFmtId="0" fontId="4" fillId="3" borderId="10" xfId="0" applyFont="1" applyFill="1" applyBorder="1" applyAlignment="1" applyProtection="1">
      <alignment horizontal="center" vertical="center" textRotation="255"/>
      <protection locked="0"/>
    </xf>
    <xf numFmtId="0" fontId="4" fillId="3" borderId="6" xfId="0" applyFont="1" applyFill="1" applyBorder="1" applyAlignment="1" applyProtection="1">
      <alignment horizontal="center" vertical="center" textRotation="255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 vertical="center" textRotation="255"/>
      <protection locked="0"/>
    </xf>
    <xf numFmtId="0" fontId="4" fillId="3" borderId="9" xfId="0" applyFont="1" applyFill="1" applyBorder="1" applyAlignment="1" applyProtection="1">
      <alignment horizontal="center" vertical="center" textRotation="255"/>
      <protection locked="0"/>
    </xf>
    <xf numFmtId="0" fontId="4" fillId="3" borderId="4" xfId="0" applyFont="1" applyFill="1" applyBorder="1" applyAlignment="1" applyProtection="1">
      <alignment horizontal="center" vertical="center" textRotation="255"/>
      <protection locked="0"/>
    </xf>
    <xf numFmtId="0" fontId="5" fillId="3" borderId="11" xfId="0" applyFont="1" applyFill="1" applyBorder="1" applyAlignment="1" applyProtection="1">
      <alignment horizontal="center"/>
      <protection locked="0"/>
    </xf>
    <xf numFmtId="0" fontId="5" fillId="3" borderId="5" xfId="0" applyFont="1" applyFill="1" applyBorder="1" applyAlignment="1" applyProtection="1">
      <alignment horizontal="center"/>
      <protection locked="0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2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2" borderId="7" xfId="0" applyFont="1" applyFill="1" applyBorder="1" applyAlignment="1" applyProtection="1">
      <alignment horizontal="center"/>
      <protection locked="0"/>
    </xf>
    <xf numFmtId="0" fontId="5" fillId="2" borderId="8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2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  <border>
        <right style="thin">
          <color auto="1"/>
        </right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vertical/>
        <horizontal/>
      </border>
    </dxf>
    <dxf>
      <fill>
        <patternFill>
          <bgColor theme="8" tint="0.79998168889431442"/>
        </patternFill>
      </fill>
      <border>
        <right style="thin">
          <color auto="1"/>
        </right>
        <top style="thin">
          <color auto="1"/>
        </top>
        <vertical/>
        <horizontal/>
      </border>
    </dxf>
    <dxf>
      <font>
        <color auto="1"/>
      </font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/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/>
        <right/>
        <top style="thin">
          <color auto="1"/>
        </top>
        <bottom/>
        <vertical/>
        <horizontal/>
      </border>
    </dxf>
    <dxf>
      <fill>
        <patternFill>
          <bgColor theme="8" tint="0.79998168889431442"/>
        </patternFill>
      </fill>
      <border>
        <left/>
        <right style="thin">
          <color auto="1"/>
        </right>
        <top/>
        <bottom/>
      </border>
    </dxf>
    <dxf>
      <font>
        <color theme="8" tint="0.79998168889431442"/>
      </font>
      <fill>
        <patternFill>
          <bgColor theme="8" tint="0.79998168889431442"/>
        </patternFill>
      </fill>
      <border>
        <left/>
        <right/>
        <top style="thin">
          <color auto="1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-0.5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97-4D61-98DC-57BE18109669}"/>
            </c:ext>
          </c:extLst>
        </c:ser>
        <c:ser>
          <c:idx val="3"/>
          <c:order val="3"/>
          <c:tx>
            <c:strRef>
              <c:f>'L1'!$BD$6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</c:v>
                </c:pt>
                <c:pt idx="5">
                  <c:v>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97-4D61-98DC-57BE18109669}"/>
            </c:ext>
          </c:extLst>
        </c:ser>
        <c:ser>
          <c:idx val="4"/>
          <c:order val="4"/>
          <c:tx>
            <c:strRef>
              <c:f>'L1'!$BE$6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97-4D61-98DC-57BE18109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6B-4D5D-8A1C-3DCA381109E8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'L1'!$AK$31</c15:f>
                      <c15:dlblFieldTableCache>
                        <c:ptCount val="1"/>
                        <c:pt idx="0">
                          <c:v>1,32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B6B-4D5D-8A1C-3DCA381109E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6B-4D5D-8A1C-3DCA381109E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6B-4D5D-8A1C-3DCA381109E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6B-4D5D-8A1C-3DCA381109E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7-4D61-98DC-57BE18109669}"/>
            </c:ext>
          </c:extLst>
        </c:ser>
        <c:ser>
          <c:idx val="1"/>
          <c:order val="1"/>
          <c:tx>
            <c:strRef>
              <c:f>'L1'!$AQ$12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-0.5</c:v>
                </c:pt>
                <c:pt idx="11">
                  <c:v>-0.5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97-4D61-98DC-57BE181096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3E-477B-B0A2-0FC427893016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'L1'!$AK$25</c15:f>
                      <c15:dlblFieldTableCache>
                        <c:ptCount val="1"/>
                        <c:pt idx="0">
                          <c:v>2,21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663E-477B-B0A2-0FC4278930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3E-477B-B0A2-0FC427893016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63E-477B-B0A2-0FC4278930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63E-477B-B0A2-0FC4278930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'L1'!$AK$28</c15:f>
                <c15:dlblRangeCache>
                  <c:ptCount val="1"/>
                  <c:pt idx="0">
                    <c:v>8,77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63E-477B-B0A2-0FC427893016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63E-477B-B0A2-0FC4278930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63E-477B-B0A2-0FC4278930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'L1'!$AJ$32:$AJ$33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63E-477B-B0A2-0FC42789301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63E-477B-B0A2-0FC42789301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663E-477B-B0A2-0FC42789301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'L1'!$AK$34</c15:f>
                <c15:dlblRangeCache>
                  <c:ptCount val="1"/>
                  <c:pt idx="0">
                    <c:v>5,26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663E-477B-B0A2-0FC427893016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3-ED13-4A69-B1C0-3CEF77AE5980}"/>
              </c:ext>
            </c:extLst>
          </c:dPt>
          <c:xVal>
            <c:numRef>
              <c:f>'L1'!$AD$32:$AD$33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3-4A69-B1C0-3CEF77AE5980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3-4A69-B1C0-3CEF77AE5980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3-4A69-B1C0-3CEF77AE5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-0.5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B-4583-858C-0DA1210CF807}"/>
            </c:ext>
          </c:extLst>
        </c:ser>
        <c:ser>
          <c:idx val="3"/>
          <c:order val="3"/>
          <c:tx>
            <c:strRef>
              <c:f>'L1'!$BD$6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</c:v>
                </c:pt>
                <c:pt idx="5">
                  <c:v>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B-4583-858C-0DA1210CF807}"/>
            </c:ext>
          </c:extLst>
        </c:ser>
        <c:ser>
          <c:idx val="4"/>
          <c:order val="4"/>
          <c:tx>
            <c:strRef>
              <c:f>'L1'!$BE$6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4B-4583-858C-0DA1210CF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'L1'!$AS$22:$AS$26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4B-4583-858C-0DA1210CF807}"/>
            </c:ext>
          </c:extLst>
        </c:ser>
        <c:ser>
          <c:idx val="1"/>
          <c:order val="1"/>
          <c:tx>
            <c:strRef>
              <c:f>'L1'!$AQ$12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-0.5</c:v>
                </c:pt>
                <c:pt idx="11">
                  <c:v>-0.5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4B-4583-858C-0DA1210CF807}"/>
            </c:ext>
          </c:extLst>
        </c:ser>
        <c:ser>
          <c:idx val="5"/>
          <c:order val="5"/>
          <c:tx>
            <c:strRef>
              <c:f>'L1'!$Q$7</c:f>
              <c:strCache>
                <c:ptCount val="1"/>
                <c:pt idx="0">
                  <c:v>-1,44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35D65A45-5299-412B-B447-92EA6466F800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74B-4583-858C-0DA1210CF807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7-374B-4583-858C-0DA1210CF80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5-374B-4583-858C-0DA1210CF807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98D7F4EB-F231-4AA1-B7D9-B04AF76D5292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74B-4583-858C-0DA1210CF8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4B-4583-858C-0DA1210CF80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'L1'!$AE$22:$AE$23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'L1'!$AF$21</c15:f>
                <c15:dlblRangeCache>
                  <c:ptCount val="1"/>
                  <c:pt idx="0">
                    <c:v>-1,44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374B-4583-858C-0DA1210CF807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355-42A9-AE0A-E6EDA5817C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55-42A9-AE0A-E6EDA5817C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0-3355-42A9-AE0A-E6EDA5817C37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36F-4EA0-8203-9F82D3D0D0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6F-4EA0-8203-9F82D3D0D0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'L1'!$AE$28:$AE$29</c:f>
              <c:numCache>
                <c:formatCode>General</c:formatCode>
                <c:ptCount val="2"/>
                <c:pt idx="0">
                  <c:v>0.59999999999999987</c:v>
                </c:pt>
                <c:pt idx="1">
                  <c:v>-0.59999999999999987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'L1'!$AF$27</c15:f>
                <c15:dlblRangeCache>
                  <c:ptCount val="1"/>
                  <c:pt idx="0">
                    <c:v>-3,60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36F-4EA0-8203-9F82D3D0D01C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36F-4EA0-8203-9F82D3D0D0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6F-4EA0-8203-9F82D3D0D0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'L1'!$AK$18</c15:f>
                <c15:dlblRangeCache>
                  <c:ptCount val="1"/>
                  <c:pt idx="0">
                    <c:v>0,81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A36F-4EA0-8203-9F82D3D0D01C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36F-4EA0-8203-9F82D3D0D0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6F-4EA0-8203-9F82D3D0D0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'L1'!$AI$23:$AI$24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'L1'!$AJ$23:$AJ$24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'L1'!$AK$22</c15:f>
                <c15:dlblRangeCache>
                  <c:ptCount val="1"/>
                  <c:pt idx="0">
                    <c:v>2,03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A36F-4EA0-8203-9F82D3D0D01C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AE-40F5-8BF8-568652475CB0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AE-40F5-8BF8-568652475CB0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AE-40F5-8BF8-568652475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'L2'!$BC$6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4-49CD-8FD4-3BF27E820CDB}"/>
            </c:ext>
          </c:extLst>
        </c:ser>
        <c:ser>
          <c:idx val="3"/>
          <c:order val="3"/>
          <c:tx>
            <c:strRef>
              <c:f>'L2'!$BD$6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B4-49CD-8FD4-3BF27E820CDB}"/>
            </c:ext>
          </c:extLst>
        </c:ser>
        <c:ser>
          <c:idx val="4"/>
          <c:order val="4"/>
          <c:tx>
            <c:strRef>
              <c:f>'L2'!$BE$6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B4-49CD-8FD4-3BF27E820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B4-49CD-8FD4-3BF27E820CDB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'L2'!$AK$31</c15:f>
                      <c15:dlblFieldTableCache>
                        <c:ptCount val="1"/>
                        <c:pt idx="0">
                          <c:v>1,17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A9B4-49CD-8FD4-3BF27E820CD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B4-49CD-8FD4-3BF27E820C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B4-49CD-8FD4-3BF27E820CD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B4-49CD-8FD4-3BF27E820CD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'L2'!$AT$22:$AT$26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B4-49CD-8FD4-3BF27E820CDB}"/>
            </c:ext>
          </c:extLst>
        </c:ser>
        <c:ser>
          <c:idx val="1"/>
          <c:order val="1"/>
          <c:tx>
            <c:strRef>
              <c:f>'L2'!$AQ$12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'L2'!$AS$27:$AS$39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9B4-49CD-8FD4-3BF27E820C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B4-49CD-8FD4-3BF27E820CDB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'L2'!$AK$25</c15:f>
                      <c15:dlblFieldTableCache>
                        <c:ptCount val="1"/>
                        <c:pt idx="0">
                          <c:v>1,95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A9B4-49CD-8FD4-3BF27E820CD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9B4-49CD-8FD4-3BF27E820CDB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9B4-49CD-8FD4-3BF27E820CD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B4-49CD-8FD4-3BF27E820CD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'L2'!$AJ$29:$AJ$30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'L2'!$AK$28</c15:f>
                <c15:dlblRangeCache>
                  <c:ptCount val="1"/>
                  <c:pt idx="0">
                    <c:v>2,77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A9B4-49CD-8FD4-3BF27E820CDB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B4-49CD-8FD4-3BF27E820CD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B4-49CD-8FD4-3BF27E820CD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'L2'!$AJ$32:$AJ$33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9B4-49CD-8FD4-3BF27E820C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9B4-49CD-8FD4-3BF27E820C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A9B4-49CD-8FD4-3BF27E820CD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'L2'!$AJ$35:$AJ$36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'L2'!$AK$34</c15:f>
                <c15:dlblRangeCache>
                  <c:ptCount val="1"/>
                  <c:pt idx="0">
                    <c:v>2,77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A9B4-49CD-8FD4-3BF27E820CDB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A9B4-49CD-8FD4-3BF27E820CDB}"/>
              </c:ext>
            </c:extLst>
          </c:dPt>
          <c:xVal>
            <c:numRef>
              <c:f>'L2'!$AD$32:$AD$33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9B4-49CD-8FD4-3BF27E820CDB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'L2'!$AD$34:$AD$35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9B4-49CD-8FD4-3BF27E820CDB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'L2'!$AD$36:$AD$37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'L2'!$AE$36:$AE$37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9B4-49CD-8FD4-3BF27E820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'L2'!$BC$6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F-4805-9BEF-394B5EA840B6}"/>
            </c:ext>
          </c:extLst>
        </c:ser>
        <c:ser>
          <c:idx val="3"/>
          <c:order val="3"/>
          <c:tx>
            <c:strRef>
              <c:f>'L2'!$BD$6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6F-4805-9BEF-394B5EA840B6}"/>
            </c:ext>
          </c:extLst>
        </c:ser>
        <c:ser>
          <c:idx val="4"/>
          <c:order val="4"/>
          <c:tx>
            <c:strRef>
              <c:f>'L2'!$BE$6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6F-4805-9BEF-394B5EA84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'L2'!$AS$22:$AS$26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'L2'!$AT$22:$AT$26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6F-4805-9BEF-394B5EA840B6}"/>
            </c:ext>
          </c:extLst>
        </c:ser>
        <c:ser>
          <c:idx val="1"/>
          <c:order val="1"/>
          <c:tx>
            <c:strRef>
              <c:f>'L2'!$AQ$12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'L2'!$AS$27:$AS$39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6F-4805-9BEF-394B5EA840B6}"/>
            </c:ext>
          </c:extLst>
        </c:ser>
        <c:ser>
          <c:idx val="5"/>
          <c:order val="5"/>
          <c:tx>
            <c:strRef>
              <c:f>'L2'!$Q$7</c:f>
              <c:strCache>
                <c:ptCount val="1"/>
                <c:pt idx="0">
                  <c:v>-0,60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69C18199-E8F6-4561-8886-4CAA7F2588F6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06F-4805-9BEF-394B5EA840B6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B06F-4805-9BEF-394B5EA840B6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'L2'!$AD$19:$AD$20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B06F-4805-9BEF-394B5EA840B6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3A1A68E8-0AD7-40F9-872F-F589B395A79E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06F-4805-9BEF-394B5EA840B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6F-4805-9BEF-394B5EA840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'L2'!$AD$22:$AD$23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'L2'!$AE$22:$AE$23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'L2'!$AF$21</c15:f>
                <c15:dlblRangeCache>
                  <c:ptCount val="1"/>
                  <c:pt idx="0">
                    <c:v>-0,60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06F-4805-9BEF-394B5EA840B6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06F-4805-9BEF-394B5EA840B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06F-4805-9BEF-394B5EA840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'L2'!$AD$25:$AD$26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'L2'!$AE$25:$AE$26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B06F-4805-9BEF-394B5EA840B6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B06F-4805-9BEF-394B5EA840B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06F-4805-9BEF-394B5EA840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'L2'!$AD$28:$AD$29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'L2'!$AE$28:$AE$29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B06F-4805-9BEF-394B5EA840B6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B06F-4805-9BEF-394B5EA840B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06F-4805-9BEF-394B5EA840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'L2'!$AJ$19:$AJ$20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'L2'!$AK$18</c15:f>
                <c15:dlblRangeCache>
                  <c:ptCount val="1"/>
                  <c:pt idx="0">
                    <c:v>0,34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B06F-4805-9BEF-394B5EA840B6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B06F-4805-9BEF-394B5EA840B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06F-4805-9BEF-394B5EA840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'L2'!$AI$23:$AI$24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'L2'!$AJ$23:$AJ$24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'L2'!$AK$22</c15:f>
                <c15:dlblRangeCache>
                  <c:ptCount val="1"/>
                  <c:pt idx="0">
                    <c:v>0,65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B06F-4805-9BEF-394B5EA840B6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'L2'!$AD$32:$AD$33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B06F-4805-9BEF-394B5EA840B6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'L2'!$AD$34:$AD$35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06F-4805-9BEF-394B5EA840B6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'L2'!$AD$36:$AD$37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'L2'!$AE$36:$AE$37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06F-4805-9BEF-394B5EA84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'L3'!$BC$6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'L3'!$BC$7:$BC$16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6-4AE5-9E03-368106F80C05}"/>
            </c:ext>
          </c:extLst>
        </c:ser>
        <c:ser>
          <c:idx val="3"/>
          <c:order val="3"/>
          <c:tx>
            <c:strRef>
              <c:f>'L3'!$BD$6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'L3'!$BD$7:$BD$16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6-4AE5-9E03-368106F80C05}"/>
            </c:ext>
          </c:extLst>
        </c:ser>
        <c:ser>
          <c:idx val="4"/>
          <c:order val="4"/>
          <c:tx>
            <c:strRef>
              <c:f>'L3'!$BE$6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'L3'!$BE$7:$BE$16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36-4AE5-9E03-368106F80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36-4AE5-9E03-368106F80C05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'L3'!$AK$31</c15:f>
                      <c15:dlblFieldTableCache>
                        <c:ptCount val="1"/>
                        <c:pt idx="0">
                          <c:v>3,06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236-4AE5-9E03-368106F80C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36-4AE5-9E03-368106F80C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236-4AE5-9E03-368106F80C0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36-4AE5-9E03-368106F80C0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'L3'!$AS$22:$AS$26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'L3'!$AT$22:$AT$26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36-4AE5-9E03-368106F80C05}"/>
            </c:ext>
          </c:extLst>
        </c:ser>
        <c:ser>
          <c:idx val="1"/>
          <c:order val="1"/>
          <c:tx>
            <c:strRef>
              <c:f>'L3'!$AQ$12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'L3'!$AS$27:$AS$39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'L3'!$AT$27:$AT$39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236-4AE5-9E03-368106F80C0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236-4AE5-9E03-368106F80C05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'L3'!$AK$25</c15:f>
                      <c15:dlblFieldTableCache>
                        <c:ptCount val="1"/>
                        <c:pt idx="0">
                          <c:v>5,10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236-4AE5-9E03-368106F80C0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'L3'!$AI$26:$AI$27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'L3'!$AJ$26:$AJ$27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236-4AE5-9E03-368106F80C05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236-4AE5-9E03-368106F80C0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236-4AE5-9E03-368106F80C0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'L3'!$AI$29:$AI$30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'L3'!$AJ$29:$AJ$30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'L3'!$AK$28</c15:f>
                <c15:dlblRangeCache>
                  <c:ptCount val="1"/>
                  <c:pt idx="0">
                    <c:v>3,02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9236-4AE5-9E03-368106F80C05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236-4AE5-9E03-368106F80C0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236-4AE5-9E03-368106F80C0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'L3'!$AI$32:$AI$33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'L3'!$AJ$32:$AJ$33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236-4AE5-9E03-368106F80C0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236-4AE5-9E03-368106F80C0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236-4AE5-9E03-368106F80C0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'L3'!$AI$35:$AI$36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'L3'!$AJ$35:$AJ$36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'L3'!$AK$34</c15:f>
                <c15:dlblRangeCache>
                  <c:ptCount val="1"/>
                  <c:pt idx="0">
                    <c:v>3,02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9236-4AE5-9E03-368106F80C05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9236-4AE5-9E03-368106F80C05}"/>
              </c:ext>
            </c:extLst>
          </c:dPt>
          <c:xVal>
            <c:numRef>
              <c:f>'L3'!$AD$32:$AD$33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'L3'!$AE$32:$AE$33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236-4AE5-9E03-368106F80C05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'L3'!$AD$34:$AD$35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'L3'!$AE$34:$AE$35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236-4AE5-9E03-368106F80C05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'L3'!$AD$36:$AD$37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'L3'!$AE$36:$AE$37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236-4AE5-9E03-368106F80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'L3'!$BC$6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'L3'!$BC$7:$BC$16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0-4CCC-895A-4FC4B4817FD8}"/>
            </c:ext>
          </c:extLst>
        </c:ser>
        <c:ser>
          <c:idx val="3"/>
          <c:order val="3"/>
          <c:tx>
            <c:strRef>
              <c:f>'L3'!$BD$6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'L3'!$BD$7:$BD$16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D0-4CCC-895A-4FC4B4817FD8}"/>
            </c:ext>
          </c:extLst>
        </c:ser>
        <c:ser>
          <c:idx val="4"/>
          <c:order val="4"/>
          <c:tx>
            <c:strRef>
              <c:f>'L3'!$BE$6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'L3'!$BE$7:$BE$16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D0-4CCC-895A-4FC4B4817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'L3'!$AS$22:$AS$26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'L3'!$AT$22:$AT$26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D0-4CCC-895A-4FC4B4817FD8}"/>
            </c:ext>
          </c:extLst>
        </c:ser>
        <c:ser>
          <c:idx val="1"/>
          <c:order val="1"/>
          <c:tx>
            <c:strRef>
              <c:f>'L3'!$AQ$12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'L3'!$AS$27:$AS$39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'L3'!$AT$27:$AT$39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D0-4CCC-895A-4FC4B4817FD8}"/>
            </c:ext>
          </c:extLst>
        </c:ser>
        <c:ser>
          <c:idx val="5"/>
          <c:order val="5"/>
          <c:tx>
            <c:strRef>
              <c:f>'L3'!$Q$7</c:f>
              <c:strCache>
                <c:ptCount val="1"/>
                <c:pt idx="0">
                  <c:v>-2,20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C2F8E12B-9688-4506-9A97-A9BBB5E76E79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9D0-4CCC-895A-4FC4B4817FD8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19D0-4CCC-895A-4FC4B4817FD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'L3'!$AD$19:$AD$20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'L3'!$AE$19:$AE$20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'L3'!$AF$18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19D0-4CCC-895A-4FC4B4817FD8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C16FC1ED-B34A-42DF-BA56-A599BBB7628D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9D0-4CCC-895A-4FC4B4817F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9D0-4CCC-895A-4FC4B4817FD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'L3'!$AD$22:$AD$23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'L3'!$AE$22:$AE$23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'L3'!$AF$21</c15:f>
                <c15:dlblRangeCache>
                  <c:ptCount val="1"/>
                  <c:pt idx="0">
                    <c:v>-2,20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19D0-4CCC-895A-4FC4B4817FD8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9D0-4CCC-895A-4FC4B4817F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9D0-4CCC-895A-4FC4B4817F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'L3'!$AD$25:$AD$26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'L3'!$AE$25:$AE$26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'L3'!$AF$24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19D0-4CCC-895A-4FC4B4817FD8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9D0-4CCC-895A-4FC4B4817F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9D0-4CCC-895A-4FC4B4817FD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'L3'!$AD$28:$AD$29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'L3'!$AE$28:$AE$29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'L3'!$AF$27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19D0-4CCC-895A-4FC4B4817FD8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9D0-4CCC-895A-4FC4B4817F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9D0-4CCC-895A-4FC4B4817FD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'L3'!$AI$19:$AI$20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'L3'!$AJ$19:$AJ$20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'L3'!$AK$18</c15:f>
                <c15:dlblRangeCache>
                  <c:ptCount val="1"/>
                  <c:pt idx="0">
                    <c:v>1,24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19D0-4CCC-895A-4FC4B4817FD8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9D0-4CCC-895A-4FC4B4817FD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9D0-4CCC-895A-4FC4B4817FD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'L3'!$AI$23:$AI$24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'L3'!$AJ$23:$AJ$24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'L3'!$AK$22</c15:f>
                <c15:dlblRangeCache>
                  <c:ptCount val="1"/>
                  <c:pt idx="0">
                    <c:v>1,33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19D0-4CCC-895A-4FC4B4817FD8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'L3'!$AD$32:$AD$33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'L3'!$AE$32:$AE$33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9D0-4CCC-895A-4FC4B4817FD8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'L3'!$AD$34:$AD$35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'L3'!$AE$34:$AE$35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9D0-4CCC-895A-4FC4B4817FD8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'L3'!$AD$36:$AD$37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'L3'!$AE$36:$AE$37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9D0-4CCC-895A-4FC4B4817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'L4'!$BC$6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'L4'!$BC$7:$BC$16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E-4206-92D9-D2340F173345}"/>
            </c:ext>
          </c:extLst>
        </c:ser>
        <c:ser>
          <c:idx val="3"/>
          <c:order val="3"/>
          <c:tx>
            <c:strRef>
              <c:f>'L4'!$BD$6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'L4'!$BD$7:$BD$16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E-4206-92D9-D2340F173345}"/>
            </c:ext>
          </c:extLst>
        </c:ser>
        <c:ser>
          <c:idx val="4"/>
          <c:order val="4"/>
          <c:tx>
            <c:strRef>
              <c:f>'L4'!$BE$6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'L4'!$BE$7:$BE$16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5E-4206-92D9-D2340F173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5E-4206-92D9-D2340F173345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'L4'!$AK$31</c15:f>
                      <c15:dlblFieldTableCache>
                        <c:ptCount val="1"/>
                        <c:pt idx="0">
                          <c:v>2,00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A5E-4206-92D9-D2340F17334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5E-4206-92D9-D2340F17334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5E-4206-92D9-D2340F17334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5E-4206-92D9-D2340F17334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'L4'!$AS$22:$AS$26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'L4'!$AT$22:$AT$26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A5E-4206-92D9-D2340F173345}"/>
            </c:ext>
          </c:extLst>
        </c:ser>
        <c:ser>
          <c:idx val="1"/>
          <c:order val="1"/>
          <c:tx>
            <c:strRef>
              <c:f>'L4'!$AQ$12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'L4'!$AS$27:$AS$39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'L4'!$AT$27:$AT$39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A5E-4206-92D9-D2340F17334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A5E-4206-92D9-D2340F173345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'L4'!$AK$25</c15:f>
                      <c15:dlblFieldTableCache>
                        <c:ptCount val="1"/>
                        <c:pt idx="0">
                          <c:v>2,00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A5E-4206-92D9-D2340F17334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'L4'!$AI$26:$AI$27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'L4'!$AJ$26:$AJ$27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A5E-4206-92D9-D2340F173345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A5E-4206-92D9-D2340F17334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A5E-4206-92D9-D2340F17334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'L4'!$AI$29:$AI$30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'L4'!$AJ$29:$AJ$30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'L4'!$AK$28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EA5E-4206-92D9-D2340F173345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A5E-4206-92D9-D2340F17334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A5E-4206-92D9-D2340F17334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'L4'!$AI$32:$AI$33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'L4'!$AJ$32:$AJ$33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A5E-4206-92D9-D2340F17334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EA5E-4206-92D9-D2340F17334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A5E-4206-92D9-D2340F17334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'L4'!$AI$35:$AI$36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'L4'!$AJ$35:$AJ$36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'L4'!$AK$34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EA5E-4206-92D9-D2340F173345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EA5E-4206-92D9-D2340F173345}"/>
              </c:ext>
            </c:extLst>
          </c:dPt>
          <c:xVal>
            <c:numRef>
              <c:f>'L4'!$AD$32:$AD$33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'L4'!$AE$32:$AE$33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A5E-4206-92D9-D2340F173345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'L4'!$AD$34:$AD$35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'L4'!$AE$34:$AE$35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A5E-4206-92D9-D2340F173345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'L4'!$AD$36:$AD$37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'L4'!$AE$36:$AE$37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A5E-4206-92D9-D2340F173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'L4'!$BC$6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'L4'!$BC$7:$BC$16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3-4DEC-85A8-437176A37AE5}"/>
            </c:ext>
          </c:extLst>
        </c:ser>
        <c:ser>
          <c:idx val="3"/>
          <c:order val="3"/>
          <c:tx>
            <c:strRef>
              <c:f>'L4'!$BD$6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'L4'!$BD$7:$BD$16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83-4DEC-85A8-437176A37AE5}"/>
            </c:ext>
          </c:extLst>
        </c:ser>
        <c:ser>
          <c:idx val="4"/>
          <c:order val="4"/>
          <c:tx>
            <c:strRef>
              <c:f>'L4'!$BE$6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'L4'!$BE$7:$BE$16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83-4DEC-85A8-437176A37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'L4'!$AS$22:$AS$26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'L4'!$AT$22:$AT$26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83-4DEC-85A8-437176A37AE5}"/>
            </c:ext>
          </c:extLst>
        </c:ser>
        <c:ser>
          <c:idx val="1"/>
          <c:order val="1"/>
          <c:tx>
            <c:strRef>
              <c:f>'L4'!$AQ$12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'L4'!$AS$27:$AS$39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'L4'!$AT$27:$AT$39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83-4DEC-85A8-437176A37AE5}"/>
            </c:ext>
          </c:extLst>
        </c:ser>
        <c:ser>
          <c:idx val="5"/>
          <c:order val="5"/>
          <c:tx>
            <c:strRef>
              <c:f>'L4'!$Q$7</c:f>
              <c:strCache>
                <c:ptCount val="1"/>
                <c:pt idx="0">
                  <c:v>0,00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6C778D18-1AC1-4DA2-8B25-BB9B4B0CF635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B83-4DEC-85A8-437176A37AE5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FB83-4DEC-85A8-437176A37AE5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'L4'!$AD$19:$AD$20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'L4'!$AE$19:$AE$20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'L4'!$AF$18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FB83-4DEC-85A8-437176A37AE5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5023C4E-29D6-4299-AB0A-2695BC8A90FB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B83-4DEC-85A8-437176A37AE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83-4DEC-85A8-437176A37A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'L4'!$AD$22:$AD$23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'L4'!$AE$22:$AE$23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'L4'!$AF$21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A-FB83-4DEC-85A8-437176A37AE5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B83-4DEC-85A8-437176A37AE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B83-4DEC-85A8-437176A37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'L4'!$AD$25:$AD$26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'L4'!$AE$25:$AE$26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'L4'!$AF$24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FB83-4DEC-85A8-437176A37AE5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B83-4DEC-85A8-437176A37AE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B83-4DEC-85A8-437176A37A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'L4'!$AD$28:$AD$29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'L4'!$AE$28:$AE$29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'L4'!$AF$27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FB83-4DEC-85A8-437176A37AE5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FB83-4DEC-85A8-437176A37AE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B83-4DEC-85A8-437176A37A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'L4'!$AI$19:$AI$20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'L4'!$AJ$19:$AJ$20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'L4'!$AK$18</c15:f>
                <c15:dlblRangeCache>
                  <c:ptCount val="1"/>
                  <c:pt idx="0">
                    <c:v>0,25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FB83-4DEC-85A8-437176A37AE5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FB83-4DEC-85A8-437176A37AE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B83-4DEC-85A8-437176A37A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'L4'!$AI$23:$AI$24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'L4'!$AJ$23:$AJ$24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'L4'!$AK$22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6-FB83-4DEC-85A8-437176A37AE5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'L4'!$AD$32:$AD$33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'L4'!$AE$32:$AE$33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B83-4DEC-85A8-437176A37AE5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'L4'!$AD$34:$AD$35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'L4'!$AE$34:$AE$35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B83-4DEC-85A8-437176A37AE5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'L4'!$AD$36:$AD$37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'L4'!$AE$36:$AE$37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B83-4DEC-85A8-437176A37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'L5'!$BC$6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'L5'!$BC$7:$BC$16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8-47AB-BC8F-99C7E270A46B}"/>
            </c:ext>
          </c:extLst>
        </c:ser>
        <c:ser>
          <c:idx val="3"/>
          <c:order val="3"/>
          <c:tx>
            <c:strRef>
              <c:f>'L5'!$BD$6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'L5'!$BD$7:$BD$16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A8-47AB-BC8F-99C7E270A46B}"/>
            </c:ext>
          </c:extLst>
        </c:ser>
        <c:ser>
          <c:idx val="4"/>
          <c:order val="4"/>
          <c:tx>
            <c:strRef>
              <c:f>'L5'!$BE$6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'L5'!$BE$7:$BE$16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A8-47AB-BC8F-99C7E270A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A8-47AB-BC8F-99C7E270A46B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'L5'!$AK$31</c15:f>
                      <c15:dlblFieldTableCache>
                        <c:ptCount val="1"/>
                        <c:pt idx="0">
                          <c:v>4,21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4A8-47AB-BC8F-99C7E270A46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A8-47AB-BC8F-99C7E270A46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4A8-47AB-BC8F-99C7E270A46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A8-47AB-BC8F-99C7E270A4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'L5'!$AS$22:$AS$26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'L5'!$AT$22:$AT$26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A8-47AB-BC8F-99C7E270A46B}"/>
            </c:ext>
          </c:extLst>
        </c:ser>
        <c:ser>
          <c:idx val="1"/>
          <c:order val="1"/>
          <c:tx>
            <c:strRef>
              <c:f>'L5'!$AQ$12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'L5'!$AS$27:$AS$39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'L5'!$AT$27:$AT$39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A8-47AB-BC8F-99C7E270A46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4A8-47AB-BC8F-99C7E270A46B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'L5'!$AK$25</c15:f>
                      <c15:dlblFieldTableCache>
                        <c:ptCount val="1"/>
                        <c:pt idx="0">
                          <c:v>7,02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4A8-47AB-BC8F-99C7E270A4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'L5'!$AI$26:$AI$27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'L5'!$AJ$26:$AJ$27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A8-47AB-BC8F-99C7E270A46B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4A8-47AB-BC8F-99C7E270A46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4A8-47AB-BC8F-99C7E270A4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'L5'!$AI$29:$AI$30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'L5'!$AJ$29:$AJ$30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'L5'!$AK$28</c15:f>
                <c15:dlblRangeCache>
                  <c:ptCount val="1"/>
                  <c:pt idx="0">
                    <c:v>0,72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94A8-47AB-BC8F-99C7E270A46B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4A8-47AB-BC8F-99C7E270A46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4A8-47AB-BC8F-99C7E270A4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'L5'!$AI$32:$AI$33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'L5'!$AJ$32:$AJ$33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4A8-47AB-BC8F-99C7E270A46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4A8-47AB-BC8F-99C7E270A46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4A8-47AB-BC8F-99C7E270A4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'L5'!$AI$35:$AI$36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'L5'!$AJ$35:$AJ$36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'L5'!$AK$34</c15:f>
                <c15:dlblRangeCache>
                  <c:ptCount val="1"/>
                  <c:pt idx="0">
                    <c:v>0,72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94A8-47AB-BC8F-99C7E270A46B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94A8-47AB-BC8F-99C7E270A46B}"/>
              </c:ext>
            </c:extLst>
          </c:dPt>
          <c:xVal>
            <c:numRef>
              <c:f>'L5'!$AD$32:$AD$33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'L5'!$AE$32:$AE$33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4A8-47AB-BC8F-99C7E270A46B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'L5'!$AD$34:$AD$35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'L5'!$AE$34:$AE$35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4A8-47AB-BC8F-99C7E270A46B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'L5'!$AD$36:$AD$37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'L5'!$AE$36:$AE$37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4A8-47AB-BC8F-99C7E270A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'L5'!$BC$6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'L5'!$BC$7:$BC$16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3-42CA-8F9A-AFA1E19C81E4}"/>
            </c:ext>
          </c:extLst>
        </c:ser>
        <c:ser>
          <c:idx val="3"/>
          <c:order val="3"/>
          <c:tx>
            <c:strRef>
              <c:f>'L5'!$BD$6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'L5'!$BD$7:$BD$16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3-42CA-8F9A-AFA1E19C81E4}"/>
            </c:ext>
          </c:extLst>
        </c:ser>
        <c:ser>
          <c:idx val="4"/>
          <c:order val="4"/>
          <c:tx>
            <c:strRef>
              <c:f>'L5'!$BE$6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'L5'!$BE$7:$BE$16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63-42CA-8F9A-AFA1E19C8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'L5'!$AS$22:$AS$26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'L5'!$AT$22:$AT$26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63-42CA-8F9A-AFA1E19C81E4}"/>
            </c:ext>
          </c:extLst>
        </c:ser>
        <c:ser>
          <c:idx val="1"/>
          <c:order val="1"/>
          <c:tx>
            <c:strRef>
              <c:f>'L5'!$AQ$12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'L5'!$AS$27:$AS$39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'L5'!$AT$27:$AT$39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63-42CA-8F9A-AFA1E19C81E4}"/>
            </c:ext>
          </c:extLst>
        </c:ser>
        <c:ser>
          <c:idx val="5"/>
          <c:order val="5"/>
          <c:tx>
            <c:strRef>
              <c:f>'L5'!$Q$7</c:f>
              <c:strCache>
                <c:ptCount val="1"/>
                <c:pt idx="0">
                  <c:v>-2,17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98FC902A-86BE-42E1-BCB3-8AF639CCE542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A63-42CA-8F9A-AFA1E19C81E4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9A63-42CA-8F9A-AFA1E19C81E4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'L5'!$AD$19:$AD$20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'L5'!$AE$19:$AE$20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'L5'!$AF$18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9A63-42CA-8F9A-AFA1E19C81E4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C2A82FCF-1B74-4509-8A15-48A7855D8BF0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A63-42CA-8F9A-AFA1E19C81E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63-42CA-8F9A-AFA1E19C8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'L5'!$AD$22:$AD$23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'L5'!$AE$22:$AE$23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'L5'!$AF$21</c15:f>
                <c15:dlblRangeCache>
                  <c:ptCount val="1"/>
                  <c:pt idx="0">
                    <c:v>-2,17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9A63-42CA-8F9A-AFA1E19C81E4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A63-42CA-8F9A-AFA1E19C81E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63-42CA-8F9A-AFA1E19C81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'L5'!$AD$25:$AD$26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'L5'!$AE$25:$AE$26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'L5'!$AF$24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9A63-42CA-8F9A-AFA1E19C81E4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A63-42CA-8F9A-AFA1E19C81E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A63-42CA-8F9A-AFA1E19C8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'L5'!$AD$28:$AD$29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'L5'!$AE$28:$AE$29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'L5'!$AF$27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9A63-42CA-8F9A-AFA1E19C81E4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A63-42CA-8F9A-AFA1E19C81E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A63-42CA-8F9A-AFA1E19C8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'L5'!$AI$19:$AI$20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'L5'!$AJ$19:$AJ$20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'L5'!$AK$18</c15:f>
                <c15:dlblRangeCache>
                  <c:ptCount val="1"/>
                  <c:pt idx="0">
                    <c:v>1,22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9A63-42CA-8F9A-AFA1E19C81E4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9A63-42CA-8F9A-AFA1E19C81E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A63-42CA-8F9A-AFA1E19C8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'L5'!$AI$23:$AI$24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'L5'!$AJ$23:$AJ$24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'L5'!$AK$22</c15:f>
                <c15:dlblRangeCache>
                  <c:ptCount val="1"/>
                  <c:pt idx="0">
                    <c:v>0,41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9A63-42CA-8F9A-AFA1E19C81E4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'L5'!$AD$32:$AD$33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'L5'!$AE$32:$AE$33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A63-42CA-8F9A-AFA1E19C81E4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'L5'!$AD$34:$AD$35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'L5'!$AE$34:$AE$35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A63-42CA-8F9A-AFA1E19C81E4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'L5'!$AD$36:$AD$37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'L5'!$AE$36:$AE$37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A63-42CA-8F9A-AFA1E19C8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'L6'!$BC$6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'L6'!$BC$7:$BC$16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5-4371-BA70-07C9B0D657C9}"/>
            </c:ext>
          </c:extLst>
        </c:ser>
        <c:ser>
          <c:idx val="3"/>
          <c:order val="3"/>
          <c:tx>
            <c:strRef>
              <c:f>'L6'!$BD$6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'L6'!$BD$7:$BD$16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5-4371-BA70-07C9B0D657C9}"/>
            </c:ext>
          </c:extLst>
        </c:ser>
        <c:ser>
          <c:idx val="4"/>
          <c:order val="4"/>
          <c:tx>
            <c:strRef>
              <c:f>'L6'!$BE$6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'L6'!$BE$7:$BE$16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5-4371-BA70-07C9B0D65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C5-4371-BA70-07C9B0D657C9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'L6'!$AK$31</c15:f>
                      <c15:dlblFieldTableCache>
                        <c:ptCount val="1"/>
                        <c:pt idx="0">
                          <c:v>4,74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5C5-4371-BA70-07C9B0D657C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C5-4371-BA70-07C9B0D657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C5-4371-BA70-07C9B0D657C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C5-4371-BA70-07C9B0D657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'L6'!$AS$22:$AS$26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'L6'!$AT$22:$AT$26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5C5-4371-BA70-07C9B0D657C9}"/>
            </c:ext>
          </c:extLst>
        </c:ser>
        <c:ser>
          <c:idx val="1"/>
          <c:order val="1"/>
          <c:tx>
            <c:strRef>
              <c:f>'L6'!$AQ$12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'L6'!$AS$27:$AS$39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'L6'!$AT$27:$AT$39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5C5-4371-BA70-07C9B0D657C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5C5-4371-BA70-07C9B0D657C9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'L6'!$AK$25</c15:f>
                      <c15:dlblFieldTableCache>
                        <c:ptCount val="1"/>
                        <c:pt idx="0">
                          <c:v>7,90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5C5-4371-BA70-07C9B0D657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'L6'!$AI$26:$AI$27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'L6'!$AJ$26:$AJ$27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5C5-4371-BA70-07C9B0D657C9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5C5-4371-BA70-07C9B0D657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5C5-4371-BA70-07C9B0D657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'L6'!$AI$29:$AI$30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'L6'!$AJ$29:$AJ$30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'L6'!$AK$28</c15:f>
                <c15:dlblRangeCache>
                  <c:ptCount val="1"/>
                  <c:pt idx="0">
                    <c:v>1,65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B5C5-4371-BA70-07C9B0D657C9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5C5-4371-BA70-07C9B0D657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5C5-4371-BA70-07C9B0D657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'L6'!$AI$32:$AI$33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'L6'!$AJ$32:$AJ$33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B5C5-4371-BA70-07C9B0D657C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B5C5-4371-BA70-07C9B0D657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B5C5-4371-BA70-07C9B0D657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'L6'!$AI$35:$AI$36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'L6'!$AJ$35:$AJ$36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'L6'!$AK$34</c15:f>
                <c15:dlblRangeCache>
                  <c:ptCount val="1"/>
                  <c:pt idx="0">
                    <c:v>1,65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B5C5-4371-BA70-07C9B0D657C9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B5C5-4371-BA70-07C9B0D657C9}"/>
              </c:ext>
            </c:extLst>
          </c:dPt>
          <c:xVal>
            <c:numRef>
              <c:f>'L6'!$AD$32:$AD$33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'L6'!$AE$32:$AE$33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B5C5-4371-BA70-07C9B0D657C9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'L6'!$AD$34:$AD$35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'L6'!$AE$34:$AE$35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B5C5-4371-BA70-07C9B0D657C9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'L6'!$AD$36:$AD$37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'L6'!$AE$36:$AE$37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B5C5-4371-BA70-07C9B0D65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'L6'!$BC$6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'L6'!$BC$7:$BC$16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A-4815-8B66-E094B66EE3C9}"/>
            </c:ext>
          </c:extLst>
        </c:ser>
        <c:ser>
          <c:idx val="3"/>
          <c:order val="3"/>
          <c:tx>
            <c:strRef>
              <c:f>'L6'!$BD$6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'L6'!$BD$7:$BD$16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A-4815-8B66-E094B66EE3C9}"/>
            </c:ext>
          </c:extLst>
        </c:ser>
        <c:ser>
          <c:idx val="4"/>
          <c:order val="4"/>
          <c:tx>
            <c:strRef>
              <c:f>'L6'!$BE$6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'L6'!$BE$7:$BE$16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A-4815-8B66-E094B66EE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'L6'!$AS$22:$AS$26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'L6'!$AT$22:$AT$26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9A-4815-8B66-E094B66EE3C9}"/>
            </c:ext>
          </c:extLst>
        </c:ser>
        <c:ser>
          <c:idx val="1"/>
          <c:order val="1"/>
          <c:tx>
            <c:strRef>
              <c:f>'L6'!$AQ$12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'L6'!$AS$27:$AS$39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'L6'!$AT$27:$AT$39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9A-4815-8B66-E094B66EE3C9}"/>
            </c:ext>
          </c:extLst>
        </c:ser>
        <c:ser>
          <c:idx val="5"/>
          <c:order val="5"/>
          <c:tx>
            <c:strRef>
              <c:f>'L6'!$Q$7</c:f>
              <c:strCache>
                <c:ptCount val="1"/>
                <c:pt idx="0">
                  <c:v>-3,10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51AA4C3B-80A6-42CA-88FE-BBE8262E6D33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89A-4815-8B66-E094B66EE3C9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889A-4815-8B66-E094B66EE3C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'L6'!$AD$19:$AD$20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'L6'!$AE$19:$AE$20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'L6'!$AF$18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889A-4815-8B66-E094B66EE3C9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B7304B0B-A7D6-46DB-AB80-9963FCC04D1E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89A-4815-8B66-E094B66EE3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9A-4815-8B66-E094B66EE3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'L6'!$AD$22:$AD$23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'L6'!$AE$22:$AE$23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'L6'!$AF$21</c15:f>
                <c15:dlblRangeCache>
                  <c:ptCount val="1"/>
                  <c:pt idx="0">
                    <c:v>-3,10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889A-4815-8B66-E094B66EE3C9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89A-4815-8B66-E094B66EE3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89A-4815-8B66-E094B66EE3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'L6'!$AD$25:$AD$26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'L6'!$AE$25:$AE$26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'L6'!$AF$24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889A-4815-8B66-E094B66EE3C9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89A-4815-8B66-E094B66EE3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89A-4815-8B66-E094B66EE3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'L6'!$AD$28:$AD$29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'L6'!$AE$28:$AE$29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'L6'!$AF$27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889A-4815-8B66-E094B66EE3C9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889A-4815-8B66-E094B66EE3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89A-4815-8B66-E094B66EE3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'L6'!$AI$19:$AI$20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'L6'!$AJ$19:$AJ$20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'L6'!$AK$18</c15:f>
                <c15:dlblRangeCache>
                  <c:ptCount val="1"/>
                  <c:pt idx="0">
                    <c:v>1,74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889A-4815-8B66-E094B66EE3C9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889A-4815-8B66-E094B66EE3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89A-4815-8B66-E094B66EE3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'L6'!$AI$23:$AI$24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'L6'!$AJ$23:$AJ$24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'L6'!$AK$22</c15:f>
                <c15:dlblRangeCache>
                  <c:ptCount val="1"/>
                  <c:pt idx="0">
                    <c:v>0,93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889A-4815-8B66-E094B66EE3C9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'L6'!$AD$32:$AD$33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'L6'!$AE$32:$AE$33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89A-4815-8B66-E094B66EE3C9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'L6'!$AD$34:$AD$35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'L6'!$AE$34:$AE$35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89A-4815-8B66-E094B66EE3C9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'L6'!$AD$36:$AD$37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'L6'!$AE$36:$AE$37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89A-4815-8B66-E094B66EE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'L7'!$BC$6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'L7'!$BC$7:$BC$16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5-41ED-AF45-1842AC9A7868}"/>
            </c:ext>
          </c:extLst>
        </c:ser>
        <c:ser>
          <c:idx val="3"/>
          <c:order val="3"/>
          <c:tx>
            <c:strRef>
              <c:f>'L7'!$BD$6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'L7'!$BD$7:$BD$16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55-41ED-AF45-1842AC9A7868}"/>
            </c:ext>
          </c:extLst>
        </c:ser>
        <c:ser>
          <c:idx val="4"/>
          <c:order val="4"/>
          <c:tx>
            <c:strRef>
              <c:f>'L7'!$BE$6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'L7'!$BE$7:$BE$16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55-41ED-AF45-1842AC9A7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55-41ED-AF45-1842AC9A7868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'L7'!$AK$31</c15:f>
                      <c15:dlblFieldTableCache>
                        <c:ptCount val="1"/>
                        <c:pt idx="0">
                          <c:v>9,55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655-41ED-AF45-1842AC9A78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55-41ED-AF45-1842AC9A78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655-41ED-AF45-1842AC9A78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55-41ED-AF45-1842AC9A786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'L7'!$AS$22:$AS$26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'L7'!$AT$22:$AT$26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55-41ED-AF45-1842AC9A7868}"/>
            </c:ext>
          </c:extLst>
        </c:ser>
        <c:ser>
          <c:idx val="1"/>
          <c:order val="1"/>
          <c:tx>
            <c:strRef>
              <c:f>'L7'!$AQ$12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'L7'!$AS$27:$AS$39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'L7'!$AT$27:$AT$39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655-41ED-AF45-1842AC9A786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655-41ED-AF45-1842AC9A7868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'L7'!$AK$25</c15:f>
                      <c15:dlblFieldTableCache>
                        <c:ptCount val="1"/>
                        <c:pt idx="0">
                          <c:v>15,92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655-41ED-AF45-1842AC9A786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'L7'!$AI$26:$AI$27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'L7'!$AJ$26:$AJ$27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655-41ED-AF45-1842AC9A7868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655-41ED-AF45-1842AC9A7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655-41ED-AF45-1842AC9A786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'L7'!$AI$29:$AI$30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'L7'!$AJ$29:$AJ$30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'L7'!$AK$28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9655-41ED-AF45-1842AC9A7868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655-41ED-AF45-1842AC9A78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655-41ED-AF45-1842AC9A786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'L7'!$AI$32:$AI$33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'L7'!$AJ$32:$AJ$33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655-41ED-AF45-1842AC9A786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655-41ED-AF45-1842AC9A786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655-41ED-AF45-1842AC9A786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'L7'!$AI$35:$AI$36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'L7'!$AJ$35:$AJ$36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'L7'!$AK$34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9655-41ED-AF45-1842AC9A7868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9655-41ED-AF45-1842AC9A7868}"/>
              </c:ext>
            </c:extLst>
          </c:dPt>
          <c:xVal>
            <c:numRef>
              <c:f>'L7'!$AD$32:$AD$33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'L7'!$AE$32:$AE$33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655-41ED-AF45-1842AC9A7868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'L7'!$AD$34:$AD$35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'L7'!$AE$34:$AE$35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655-41ED-AF45-1842AC9A7868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'L7'!$AD$36:$AD$37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'L7'!$AE$36:$AE$37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655-41ED-AF45-1842AC9A7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'L7'!$BC$6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'L7'!$BC$7:$BC$16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A-4DF8-AF64-1617F1CEF34F}"/>
            </c:ext>
          </c:extLst>
        </c:ser>
        <c:ser>
          <c:idx val="3"/>
          <c:order val="3"/>
          <c:tx>
            <c:strRef>
              <c:f>'L7'!$BD$6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'L7'!$BD$7:$BD$16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DA-4DF8-AF64-1617F1CEF34F}"/>
            </c:ext>
          </c:extLst>
        </c:ser>
        <c:ser>
          <c:idx val="4"/>
          <c:order val="4"/>
          <c:tx>
            <c:strRef>
              <c:f>'L7'!$BE$6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'L7'!$BE$7:$BE$16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DA-4DF8-AF64-1617F1CEF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'L7'!$AS$22:$AS$26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'L7'!$AT$22:$AT$26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DA-4DF8-AF64-1617F1CEF34F}"/>
            </c:ext>
          </c:extLst>
        </c:ser>
        <c:ser>
          <c:idx val="1"/>
          <c:order val="1"/>
          <c:tx>
            <c:strRef>
              <c:f>'L7'!$AQ$12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'L7'!$AS$27:$AS$39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'L7'!$AT$27:$AT$39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DA-4DF8-AF64-1617F1CEF34F}"/>
            </c:ext>
          </c:extLst>
        </c:ser>
        <c:ser>
          <c:idx val="5"/>
          <c:order val="5"/>
          <c:tx>
            <c:strRef>
              <c:f>'L7'!$Q$7</c:f>
              <c:strCache>
                <c:ptCount val="1"/>
                <c:pt idx="0">
                  <c:v>-10,25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53AD2986-ED93-4296-BA7A-0D3DE06F8957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ADA-4DF8-AF64-1617F1CEF34F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6ADA-4DF8-AF64-1617F1CEF34F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'L7'!$AD$19:$AD$20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'L7'!$AE$19:$AE$20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'L7'!$AF$18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6ADA-4DF8-AF64-1617F1CEF34F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DBEBBDE5-1CF4-4339-815A-B4BE4714DC64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ADA-4DF8-AF64-1617F1CEF34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DA-4DF8-AF64-1617F1CEF3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'L7'!$AD$22:$AD$23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'L7'!$AE$22:$AE$23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'L7'!$AF$21</c15:f>
                <c15:dlblRangeCache>
                  <c:ptCount val="1"/>
                  <c:pt idx="0">
                    <c:v>-10,25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6ADA-4DF8-AF64-1617F1CEF34F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ADA-4DF8-AF64-1617F1CEF34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ADA-4DF8-AF64-1617F1CEF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'L7'!$AD$25:$AD$26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'L7'!$AE$25:$AE$26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'L7'!$AF$24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6ADA-4DF8-AF64-1617F1CEF34F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ADA-4DF8-AF64-1617F1CEF34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ADA-4DF8-AF64-1617F1CEF3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'L7'!$AD$28:$AD$29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'L7'!$AE$28:$AE$29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'L7'!$AF$27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6ADA-4DF8-AF64-1617F1CEF34F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6ADA-4DF8-AF64-1617F1CEF34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ADA-4DF8-AF64-1617F1CEF3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'L7'!$AI$19:$AI$20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'L7'!$AJ$19:$AJ$20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'L7'!$AK$18</c15:f>
                <c15:dlblRangeCache>
                  <c:ptCount val="1"/>
                  <c:pt idx="0">
                    <c:v>5,77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6ADA-4DF8-AF64-1617F1CEF34F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6ADA-4DF8-AF64-1617F1CEF34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ADA-4DF8-AF64-1617F1CEF34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'L7'!$AI$23:$AI$24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'L7'!$AJ$23:$AJ$24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'L7'!$AK$22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6-6ADA-4DF8-AF64-1617F1CEF34F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'L7'!$AD$32:$AD$33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'L7'!$AE$32:$AE$33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ADA-4DF8-AF64-1617F1CEF34F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'L7'!$AD$34:$AD$35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'L7'!$AE$34:$AE$35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ADA-4DF8-AF64-1617F1CEF34F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'L7'!$AD$36:$AD$37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'L7'!$AE$36:$AE$37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ADA-4DF8-AF64-1617F1CEF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'L8'!$BC$6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'L8'!$BC$7:$BC$16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6-4287-811B-10A4A191710A}"/>
            </c:ext>
          </c:extLst>
        </c:ser>
        <c:ser>
          <c:idx val="3"/>
          <c:order val="3"/>
          <c:tx>
            <c:strRef>
              <c:f>'L8'!$BD$6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'L8'!$BD$7:$BD$16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6-4287-811B-10A4A191710A}"/>
            </c:ext>
          </c:extLst>
        </c:ser>
        <c:ser>
          <c:idx val="4"/>
          <c:order val="4"/>
          <c:tx>
            <c:strRef>
              <c:f>'L8'!$BE$6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'L8'!$BE$7:$BE$16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96-4287-811B-10A4A1917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96-4287-811B-10A4A191710A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'L8'!$AK$31</c15:f>
                      <c15:dlblFieldTableCache>
                        <c:ptCount val="1"/>
                        <c:pt idx="0">
                          <c:v>8,16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0996-4287-811B-10A4A19171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96-4287-811B-10A4A191710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996-4287-811B-10A4A191710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96-4287-811B-10A4A19171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'L8'!$AS$22:$AS$26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'L8'!$AT$22:$AT$26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996-4287-811B-10A4A191710A}"/>
            </c:ext>
          </c:extLst>
        </c:ser>
        <c:ser>
          <c:idx val="1"/>
          <c:order val="1"/>
          <c:tx>
            <c:strRef>
              <c:f>'L8'!$AQ$12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'L8'!$AS$27:$AS$39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'L8'!$AT$27:$AT$39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996-4287-811B-10A4A191710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996-4287-811B-10A4A191710A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'L8'!$AK$25</c15:f>
                      <c15:dlblFieldTableCache>
                        <c:ptCount val="1"/>
                        <c:pt idx="0">
                          <c:v>13,60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996-4287-811B-10A4A19171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'L8'!$AI$26:$AI$27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'L8'!$AJ$26:$AJ$27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96-4287-811B-10A4A191710A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996-4287-811B-10A4A191710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996-4287-811B-10A4A19171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'L8'!$AI$29:$AI$30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'L8'!$AJ$29:$AJ$30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'L8'!$AK$28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0996-4287-811B-10A4A191710A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996-4287-811B-10A4A191710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996-4287-811B-10A4A19171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'L8'!$AI$32:$AI$33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'L8'!$AJ$32:$AJ$33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996-4287-811B-10A4A191710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996-4287-811B-10A4A191710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0996-4287-811B-10A4A191710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'L8'!$AI$35:$AI$36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'L8'!$AJ$35:$AJ$36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'L8'!$AK$34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0996-4287-811B-10A4A191710A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0996-4287-811B-10A4A191710A}"/>
              </c:ext>
            </c:extLst>
          </c:dPt>
          <c:xVal>
            <c:numRef>
              <c:f>'L8'!$AD$32:$AD$33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'L8'!$AE$32:$AE$33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996-4287-811B-10A4A191710A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'L8'!$AD$34:$AD$35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'L8'!$AE$34:$AE$35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996-4287-811B-10A4A191710A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'L8'!$AD$36:$AD$37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'L8'!$AE$36:$AE$37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996-4287-811B-10A4A1917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'L8'!$BC$6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'L8'!$BC$7:$BC$16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0-4B3F-B449-480A2EAF53A2}"/>
            </c:ext>
          </c:extLst>
        </c:ser>
        <c:ser>
          <c:idx val="3"/>
          <c:order val="3"/>
          <c:tx>
            <c:strRef>
              <c:f>'L8'!$BD$6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'L8'!$BD$7:$BD$16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0-4B3F-B449-480A2EAF53A2}"/>
            </c:ext>
          </c:extLst>
        </c:ser>
        <c:ser>
          <c:idx val="4"/>
          <c:order val="4"/>
          <c:tx>
            <c:strRef>
              <c:f>'L8'!$BE$6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'L8'!$BE$7:$BE$16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80-4B3F-B449-480A2EAF5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'L8'!$AS$22:$AS$26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'L8'!$AT$22:$AT$26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80-4B3F-B449-480A2EAF53A2}"/>
            </c:ext>
          </c:extLst>
        </c:ser>
        <c:ser>
          <c:idx val="1"/>
          <c:order val="1"/>
          <c:tx>
            <c:strRef>
              <c:f>'L8'!$AQ$12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'L8'!$AS$27:$AS$39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'L8'!$AT$27:$AT$39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80-4B3F-B449-480A2EAF53A2}"/>
            </c:ext>
          </c:extLst>
        </c:ser>
        <c:ser>
          <c:idx val="5"/>
          <c:order val="5"/>
          <c:tx>
            <c:strRef>
              <c:f>'L8'!$Q$7</c:f>
              <c:strCache>
                <c:ptCount val="1"/>
                <c:pt idx="0">
                  <c:v>-7,48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3418B871-6ED4-4F76-A7D1-F07A3D6CE2D7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880-4B3F-B449-480A2EAF53A2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0880-4B3F-B449-480A2EAF53A2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'L8'!$AD$19:$AD$20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'L8'!$AE$19:$AE$20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'L8'!$AF$18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0880-4B3F-B449-480A2EAF53A2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C2DA227-9AC9-47C1-96D7-2BF73817B73B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880-4B3F-B449-480A2EAF53A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880-4B3F-B449-480A2EAF53A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'L8'!$AD$22:$AD$23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'L8'!$AE$22:$AE$23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'L8'!$AF$21</c15:f>
                <c15:dlblRangeCache>
                  <c:ptCount val="1"/>
                  <c:pt idx="0">
                    <c:v>-7,48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0880-4B3F-B449-480A2EAF53A2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880-4B3F-B449-480A2EAF53A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880-4B3F-B449-480A2EAF53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'L8'!$AD$25:$AD$26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'L8'!$AE$25:$AE$26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'L8'!$AF$24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0880-4B3F-B449-480A2EAF53A2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880-4B3F-B449-480A2EAF53A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880-4B3F-B449-480A2EAF53A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'L8'!$AD$28:$AD$29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'L8'!$AE$28:$AE$29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'L8'!$AF$27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0880-4B3F-B449-480A2EAF53A2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880-4B3F-B449-480A2EAF53A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880-4B3F-B449-480A2EAF53A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'L8'!$AI$19:$AI$20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'L8'!$AJ$19:$AJ$20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'L8'!$AK$18</c15:f>
                <c15:dlblRangeCache>
                  <c:ptCount val="1"/>
                  <c:pt idx="0">
                    <c:v>4,21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0880-4B3F-B449-480A2EAF53A2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880-4B3F-B449-480A2EAF53A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880-4B3F-B449-480A2EAF53A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'L8'!$AI$23:$AI$24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'L8'!$AJ$23:$AJ$24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'L8'!$AK$22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6-0880-4B3F-B449-480A2EAF53A2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'L8'!$AD$32:$AD$33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'L8'!$AE$32:$AE$33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880-4B3F-B449-480A2EAF53A2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'L8'!$AD$34:$AD$35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'L8'!$AE$34:$AE$35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880-4B3F-B449-480A2EAF53A2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'L8'!$AD$36:$AD$37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'L8'!$AE$36:$AE$37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880-4B3F-B449-480A2EAF5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'L9'!$BC$6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'L9'!$BC$7:$BC$16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-0.5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9-4736-8658-948BDA554230}"/>
            </c:ext>
          </c:extLst>
        </c:ser>
        <c:ser>
          <c:idx val="3"/>
          <c:order val="3"/>
          <c:tx>
            <c:strRef>
              <c:f>'L9'!$BD$6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'L9'!$BD$7:$BD$16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</c:v>
                </c:pt>
                <c:pt idx="5">
                  <c:v>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9-4736-8658-948BDA554230}"/>
            </c:ext>
          </c:extLst>
        </c:ser>
        <c:ser>
          <c:idx val="4"/>
          <c:order val="4"/>
          <c:tx>
            <c:strRef>
              <c:f>'L9'!$BE$6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'L9'!$BE$7:$BE$16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99-4736-8658-948BDA55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99-4736-8658-948BDA554230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'L9'!$AK$31</c15:f>
                      <c15:dlblFieldTableCache>
                        <c:ptCount val="1"/>
                        <c:pt idx="0">
                          <c:v>6,16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2499-4736-8658-948BDA55423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99-4736-8658-948BDA55423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99-4736-8658-948BDA55423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99-4736-8658-948BDA55423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'L9'!$AS$22:$AS$26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'L9'!$AT$22:$AT$26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99-4736-8658-948BDA554230}"/>
            </c:ext>
          </c:extLst>
        </c:ser>
        <c:ser>
          <c:idx val="1"/>
          <c:order val="1"/>
          <c:tx>
            <c:strRef>
              <c:f>'L9'!$AQ$12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'L9'!$AS$27:$AS$39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'L9'!$AT$27:$AT$39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-0.5</c:v>
                </c:pt>
                <c:pt idx="11">
                  <c:v>-0.5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99-4736-8658-948BDA55423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499-4736-8658-948BDA554230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'L9'!$AK$25</c15:f>
                      <c15:dlblFieldTableCache>
                        <c:ptCount val="1"/>
                        <c:pt idx="0">
                          <c:v>10,27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2499-4736-8658-948BDA55423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'L9'!$AI$26:$AI$27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'L9'!$AJ$26:$AJ$27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99-4736-8658-948BDA554230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499-4736-8658-948BDA55423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499-4736-8658-948BDA55423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'L9'!$AI$29:$AI$30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'L9'!$AJ$29:$AJ$30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'L9'!$AK$28</c15:f>
                <c15:dlblRangeCache>
                  <c:ptCount val="1"/>
                  <c:pt idx="0">
                    <c:v>6,71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2499-4736-8658-948BDA554230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499-4736-8658-948BDA55423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499-4736-8658-948BDA55423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'L9'!$AI$32:$AI$33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'L9'!$AJ$32:$AJ$33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99-4736-8658-948BDA55423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2499-4736-8658-948BDA5542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2499-4736-8658-948BDA55423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'L9'!$AI$35:$AI$36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'L9'!$AJ$35:$AJ$36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'L9'!$AK$34</c15:f>
                <c15:dlblRangeCache>
                  <c:ptCount val="1"/>
                  <c:pt idx="0">
                    <c:v>4,03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2499-4736-8658-948BDA554230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2499-4736-8658-948BDA554230}"/>
              </c:ext>
            </c:extLst>
          </c:dPt>
          <c:xVal>
            <c:numRef>
              <c:f>'L9'!$AD$32:$AD$33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'L9'!$AE$32:$AE$33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99-4736-8658-948BDA554230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'L9'!$AD$34:$AD$35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'L9'!$AE$34:$AE$35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499-4736-8658-948BDA554230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'L9'!$AD$36:$AD$37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'L9'!$AE$36:$AE$37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499-4736-8658-948BDA55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'L9'!$BC$6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'L9'!$BC$7:$BC$16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-0.5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F-4A45-83D4-623F37B4CA01}"/>
            </c:ext>
          </c:extLst>
        </c:ser>
        <c:ser>
          <c:idx val="3"/>
          <c:order val="3"/>
          <c:tx>
            <c:strRef>
              <c:f>'L9'!$BD$6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'L9'!$BD$7:$BD$16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</c:v>
                </c:pt>
                <c:pt idx="5">
                  <c:v>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F-4A45-83D4-623F37B4CA01}"/>
            </c:ext>
          </c:extLst>
        </c:ser>
        <c:ser>
          <c:idx val="4"/>
          <c:order val="4"/>
          <c:tx>
            <c:strRef>
              <c:f>'L9'!$BE$6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'L9'!$BE$7:$BE$16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F-4A45-83D4-623F37B4C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'L9'!$AS$22:$AS$26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'L9'!$AT$22:$AT$26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CF-4A45-83D4-623F37B4CA01}"/>
            </c:ext>
          </c:extLst>
        </c:ser>
        <c:ser>
          <c:idx val="1"/>
          <c:order val="1"/>
          <c:tx>
            <c:strRef>
              <c:f>'L9'!$AQ$12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'L9'!$AS$27:$AS$39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'L9'!$AT$27:$AT$39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-0.5</c:v>
                </c:pt>
                <c:pt idx="11">
                  <c:v>-0.5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CF-4A45-83D4-623F37B4CA01}"/>
            </c:ext>
          </c:extLst>
        </c:ser>
        <c:ser>
          <c:idx val="5"/>
          <c:order val="5"/>
          <c:tx>
            <c:strRef>
              <c:f>'L9'!$Q$7</c:f>
              <c:strCache>
                <c:ptCount val="1"/>
                <c:pt idx="0">
                  <c:v>-6,68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63F20B3A-DD5E-4069-96C8-3D363DD25AA2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1CF-4A45-83D4-623F37B4CA01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61CF-4A45-83D4-623F37B4CA0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'L9'!$AD$19:$AD$20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'L9'!$AE$19:$AE$20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'L9'!$AF$18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61CF-4A45-83D4-623F37B4CA01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B9911633-8375-4735-A441-0B9C5D546634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1CF-4A45-83D4-623F37B4CA0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CF-4A45-83D4-623F37B4CA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'L9'!$AD$22:$AD$23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'L9'!$AE$22:$AE$23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'L9'!$AF$21</c15:f>
                <c15:dlblRangeCache>
                  <c:ptCount val="1"/>
                  <c:pt idx="0">
                    <c:v>-6,68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61CF-4A45-83D4-623F37B4CA01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1CF-4A45-83D4-623F37B4CA0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1CF-4A45-83D4-623F37B4CA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'L9'!$AD$25:$AD$26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'L9'!$AE$25:$AE$26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'L9'!$AF$24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61CF-4A45-83D4-623F37B4CA01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1CF-4A45-83D4-623F37B4CA0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1CF-4A45-83D4-623F37B4CA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'L9'!$AD$28:$AD$29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'L9'!$AE$28:$AE$29</c:f>
              <c:numCache>
                <c:formatCode>General</c:formatCode>
                <c:ptCount val="2"/>
                <c:pt idx="0">
                  <c:v>0.59999999999999987</c:v>
                </c:pt>
                <c:pt idx="1">
                  <c:v>-0.59999999999999987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'L9'!$AF$27</c15:f>
                <c15:dlblRangeCache>
                  <c:ptCount val="1"/>
                  <c:pt idx="0">
                    <c:v>-5,03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61CF-4A45-83D4-623F37B4CA01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61CF-4A45-83D4-623F37B4CA0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1CF-4A45-83D4-623F37B4CA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'L9'!$AI$19:$AI$20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'L9'!$AJ$19:$AJ$20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'L9'!$AK$18</c15:f>
                <c15:dlblRangeCache>
                  <c:ptCount val="1"/>
                  <c:pt idx="0">
                    <c:v>3,76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61CF-4A45-83D4-623F37B4CA01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61CF-4A45-83D4-623F37B4CA0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1CF-4A45-83D4-623F37B4CA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'L9'!$AI$23:$AI$24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'L9'!$AJ$23:$AJ$24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'L9'!$AK$22</c15:f>
                <c15:dlblRangeCache>
                  <c:ptCount val="1"/>
                  <c:pt idx="0">
                    <c:v>2,83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61CF-4A45-83D4-623F37B4CA01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'L9'!$AD$32:$AD$33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'L9'!$AE$32:$AE$33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1CF-4A45-83D4-623F37B4CA01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'L9'!$AD$34:$AD$35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'L9'!$AE$34:$AE$35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1CF-4A45-83D4-623F37B4CA01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'L9'!$AD$36:$AD$37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'L9'!$AE$36:$AE$37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1CF-4A45-83D4-623F37B4C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'L10'!$BC$6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'L10'!$BC$7:$BC$16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A-403C-8B7E-7F5A575AD67F}"/>
            </c:ext>
          </c:extLst>
        </c:ser>
        <c:ser>
          <c:idx val="3"/>
          <c:order val="3"/>
          <c:tx>
            <c:strRef>
              <c:f>'L10'!$BD$6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'L10'!$BD$7:$BD$16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DA-403C-8B7E-7F5A575AD67F}"/>
            </c:ext>
          </c:extLst>
        </c:ser>
        <c:ser>
          <c:idx val="4"/>
          <c:order val="4"/>
          <c:tx>
            <c:strRef>
              <c:f>'L10'!$BE$6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'L10'!$BE$7:$BE$16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DA-403C-8B7E-7F5A575AD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DA-403C-8B7E-7F5A575AD67F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'L10'!$AK$31</c15:f>
                      <c15:dlblFieldTableCache>
                        <c:ptCount val="1"/>
                        <c:pt idx="0">
                          <c:v>5,70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87DA-403C-8B7E-7F5A575AD67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DA-403C-8B7E-7F5A575AD67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DA-403C-8B7E-7F5A575AD67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DA-403C-8B7E-7F5A575AD6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'L10'!$AS$22:$AS$26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'L10'!$AT$22:$AT$26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7DA-403C-8B7E-7F5A575AD67F}"/>
            </c:ext>
          </c:extLst>
        </c:ser>
        <c:ser>
          <c:idx val="1"/>
          <c:order val="1"/>
          <c:tx>
            <c:strRef>
              <c:f>'L10'!$AQ$12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'L10'!$AS$27:$AS$39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'L10'!$AT$27:$AT$39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DA-403C-8B7E-7F5A575AD67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DA-403C-8B7E-7F5A575AD67F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'L10'!$AK$25</c15:f>
                      <c15:dlblFieldTableCache>
                        <c:ptCount val="1"/>
                        <c:pt idx="0">
                          <c:v>9,50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7DA-403C-8B7E-7F5A575AD6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'L10'!$AI$26:$AI$27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'L10'!$AJ$26:$AJ$27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7DA-403C-8B7E-7F5A575AD67F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7DA-403C-8B7E-7F5A575AD6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7DA-403C-8B7E-7F5A575AD6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'L10'!$AI$29:$AI$30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'L10'!$AJ$29:$AJ$30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'L10'!$AK$28</c15:f>
                <c15:dlblRangeCache>
                  <c:ptCount val="1"/>
                  <c:pt idx="0">
                    <c:v>1,79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87DA-403C-8B7E-7F5A575AD67F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7DA-403C-8B7E-7F5A575AD6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DA-403C-8B7E-7F5A575AD6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'L10'!$AI$32:$AI$33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'L10'!$AJ$32:$AJ$33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7DA-403C-8B7E-7F5A575AD67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87DA-403C-8B7E-7F5A575AD6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7DA-403C-8B7E-7F5A575AD6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'L10'!$AI$35:$AI$36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'L10'!$AJ$35:$AJ$36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'L10'!$AK$34</c15:f>
                <c15:dlblRangeCache>
                  <c:ptCount val="1"/>
                  <c:pt idx="0">
                    <c:v>1,79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7DA-403C-8B7E-7F5A575AD67F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87DA-403C-8B7E-7F5A575AD67F}"/>
              </c:ext>
            </c:extLst>
          </c:dPt>
          <c:xVal>
            <c:numRef>
              <c:f>'L10'!$AD$32:$AD$33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'L10'!$AE$32:$AE$33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7DA-403C-8B7E-7F5A575AD67F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'L10'!$AD$34:$AD$35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'L10'!$AE$34:$AE$35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7DA-403C-8B7E-7F5A575AD67F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'L10'!$AD$36:$AD$37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'L10'!$AE$36:$AE$37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7DA-403C-8B7E-7F5A575AD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'L10'!$BC$6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'L10'!$BC$7:$BC$16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E-4079-8840-1A2DD87B8341}"/>
            </c:ext>
          </c:extLst>
        </c:ser>
        <c:ser>
          <c:idx val="3"/>
          <c:order val="3"/>
          <c:tx>
            <c:strRef>
              <c:f>'L10'!$BD$6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'L10'!$BD$7:$BD$16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E-4079-8840-1A2DD87B8341}"/>
            </c:ext>
          </c:extLst>
        </c:ser>
        <c:ser>
          <c:idx val="4"/>
          <c:order val="4"/>
          <c:tx>
            <c:strRef>
              <c:f>'L10'!$BE$6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'L10'!$BE$7:$BE$16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E-4079-8840-1A2DD87B8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'L10'!$AS$22:$AS$26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'L10'!$AT$22:$AT$26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1E-4079-8840-1A2DD87B8341}"/>
            </c:ext>
          </c:extLst>
        </c:ser>
        <c:ser>
          <c:idx val="1"/>
          <c:order val="1"/>
          <c:tx>
            <c:strRef>
              <c:f>'L10'!$AQ$12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'L10'!$AS$27:$AS$39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'L10'!$AT$27:$AT$39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1E-4079-8840-1A2DD87B8341}"/>
            </c:ext>
          </c:extLst>
        </c:ser>
        <c:ser>
          <c:idx val="5"/>
          <c:order val="5"/>
          <c:tx>
            <c:strRef>
              <c:f>'L10'!$Q$7</c:f>
              <c:strCache>
                <c:ptCount val="1"/>
                <c:pt idx="0">
                  <c:v>-4,37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4B988CBD-7BAC-4EBE-BD60-F6FEF275A8DA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51E-4079-8840-1A2DD87B8341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F51E-4079-8840-1A2DD87B834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'L10'!$AD$19:$AD$20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'L10'!$AE$19:$AE$20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'L10'!$AF$18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F51E-4079-8840-1A2DD87B8341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31AD6AF3-9EB8-4539-9980-45DE980CDE03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51E-4079-8840-1A2DD87B83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51E-4079-8840-1A2DD87B834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'L10'!$AD$22:$AD$23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'L10'!$AE$22:$AE$23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'L10'!$AF$21</c15:f>
                <c15:dlblRangeCache>
                  <c:ptCount val="1"/>
                  <c:pt idx="0">
                    <c:v>-4,37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F51E-4079-8840-1A2DD87B8341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51E-4079-8840-1A2DD87B83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51E-4079-8840-1A2DD87B83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'L10'!$AD$25:$AD$26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'L10'!$AE$25:$AE$26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'L10'!$AF$24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F51E-4079-8840-1A2DD87B8341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51E-4079-8840-1A2DD87B83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51E-4079-8840-1A2DD87B834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'L10'!$AD$28:$AD$29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'L10'!$AE$28:$AE$29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'L10'!$AF$27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F51E-4079-8840-1A2DD87B8341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F51E-4079-8840-1A2DD87B83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51E-4079-8840-1A2DD87B834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'L10'!$AI$19:$AI$20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'L10'!$AJ$19:$AJ$20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'L10'!$AK$18</c15:f>
                <c15:dlblRangeCache>
                  <c:ptCount val="1"/>
                  <c:pt idx="0">
                    <c:v>2,46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F51E-4079-8840-1A2DD87B8341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F51E-4079-8840-1A2DD87B83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1E-4079-8840-1A2DD87B834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'L10'!$AI$23:$AI$24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'L10'!$AJ$23:$AJ$24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'L10'!$AK$22</c15:f>
                <c15:dlblRangeCache>
                  <c:ptCount val="1"/>
                  <c:pt idx="0">
                    <c:v>1,23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F51E-4079-8840-1A2DD87B8341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'L10'!$AD$32:$AD$33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'L10'!$AE$32:$AE$33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51E-4079-8840-1A2DD87B8341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'L10'!$AD$34:$AD$35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'L10'!$AE$34:$AE$35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51E-4079-8840-1A2DD87B8341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'L10'!$AD$36:$AD$37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'L10'!$AE$36:$AE$37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51E-4079-8840-1A2DD87B8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'L11'!$BC$6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'L11'!$BC$7:$BC$16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C-4E23-887E-16DC576743FA}"/>
            </c:ext>
          </c:extLst>
        </c:ser>
        <c:ser>
          <c:idx val="3"/>
          <c:order val="3"/>
          <c:tx>
            <c:strRef>
              <c:f>'L11'!$BD$6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'L11'!$BD$7:$BD$16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0C-4E23-887E-16DC576743FA}"/>
            </c:ext>
          </c:extLst>
        </c:ser>
        <c:ser>
          <c:idx val="4"/>
          <c:order val="4"/>
          <c:tx>
            <c:strRef>
              <c:f>'L11'!$BE$6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'L11'!$BE$7:$BE$16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0C-4E23-887E-16DC57674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0C-4E23-887E-16DC576743FA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'L11'!$AK$31</c15:f>
                      <c15:dlblFieldTableCache>
                        <c:ptCount val="1"/>
                        <c:pt idx="0">
                          <c:v>3,57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300C-4E23-887E-16DC576743F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0C-4E23-887E-16DC576743F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0C-4E23-887E-16DC576743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0C-4E23-887E-16DC576743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'L11'!$AS$22:$AS$26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'L11'!$AT$22:$AT$26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00C-4E23-887E-16DC576743FA}"/>
            </c:ext>
          </c:extLst>
        </c:ser>
        <c:ser>
          <c:idx val="1"/>
          <c:order val="1"/>
          <c:tx>
            <c:strRef>
              <c:f>'L11'!$AQ$12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'L11'!$AS$27:$AS$39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'L11'!$AT$27:$AT$39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00C-4E23-887E-16DC576743F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0C-4E23-887E-16DC576743FA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'L11'!$AK$25</c15:f>
                      <c15:dlblFieldTableCache>
                        <c:ptCount val="1"/>
                        <c:pt idx="0">
                          <c:v>5,96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300C-4E23-887E-16DC576743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'L11'!$AI$26:$AI$27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'L11'!$AJ$26:$AJ$27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00C-4E23-887E-16DC576743FA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00C-4E23-887E-16DC576743F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00C-4E23-887E-16DC576743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'L11'!$AI$29:$AI$30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'L11'!$AJ$29:$AJ$30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'L11'!$AK$28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300C-4E23-887E-16DC576743FA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00C-4E23-887E-16DC576743F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00C-4E23-887E-16DC576743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'L11'!$AI$32:$AI$33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'L11'!$AJ$32:$AJ$33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00C-4E23-887E-16DC576743F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300C-4E23-887E-16DC576743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00C-4E23-887E-16DC576743F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'L11'!$AI$35:$AI$36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'L11'!$AJ$35:$AJ$36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'L11'!$AK$34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300C-4E23-887E-16DC576743FA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300C-4E23-887E-16DC576743FA}"/>
              </c:ext>
            </c:extLst>
          </c:dPt>
          <c:xVal>
            <c:numRef>
              <c:f>'L11'!$AD$32:$AD$33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'L11'!$AE$32:$AE$33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00C-4E23-887E-16DC576743FA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'L11'!$AD$34:$AD$35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'L11'!$AE$34:$AE$35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00C-4E23-887E-16DC576743FA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'L11'!$AD$36:$AD$37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'L11'!$AE$36:$AE$37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00C-4E23-887E-16DC57674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'L11'!$BC$6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'L11'!$BC$7:$BC$16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D-41A4-BCAF-A036CA1C006C}"/>
            </c:ext>
          </c:extLst>
        </c:ser>
        <c:ser>
          <c:idx val="3"/>
          <c:order val="3"/>
          <c:tx>
            <c:strRef>
              <c:f>'L11'!$BD$6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'L11'!$BD$7:$BD$16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D-41A4-BCAF-A036CA1C006C}"/>
            </c:ext>
          </c:extLst>
        </c:ser>
        <c:ser>
          <c:idx val="4"/>
          <c:order val="4"/>
          <c:tx>
            <c:strRef>
              <c:f>'L11'!$BE$6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'L11'!$BB$7:$BB$16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'L11'!$BE$7:$BE$16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D-41A4-BCAF-A036CA1C0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'L11'!$AS$22:$AS$26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'L11'!$AT$22:$AT$26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4D-41A4-BCAF-A036CA1C006C}"/>
            </c:ext>
          </c:extLst>
        </c:ser>
        <c:ser>
          <c:idx val="1"/>
          <c:order val="1"/>
          <c:tx>
            <c:strRef>
              <c:f>'L11'!$AQ$12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'L11'!$AS$27:$AS$39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'L11'!$AT$27:$AT$39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4D-41A4-BCAF-A036CA1C006C}"/>
            </c:ext>
          </c:extLst>
        </c:ser>
        <c:ser>
          <c:idx val="5"/>
          <c:order val="5"/>
          <c:tx>
            <c:strRef>
              <c:f>'L11'!$Q$7</c:f>
              <c:strCache>
                <c:ptCount val="1"/>
                <c:pt idx="0">
                  <c:v>-1,44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E901D442-21B3-4E41-8B90-D3A09831F83A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74D-41A4-BCAF-A036CA1C006C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F74D-41A4-BCAF-A036CA1C006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'L11'!$AD$19:$AD$20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'L11'!$AE$19:$AE$20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'L11'!$AF$18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F74D-41A4-BCAF-A036CA1C006C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2438B265-41E8-46B1-A5AE-6175B444C155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74D-41A4-BCAF-A036CA1C006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4D-41A4-BCAF-A036CA1C006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'L11'!$AD$22:$AD$23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'L11'!$AE$22:$AE$23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'L11'!$AF$21</c15:f>
                <c15:dlblRangeCache>
                  <c:ptCount val="1"/>
                  <c:pt idx="0">
                    <c:v>-1,44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F74D-41A4-BCAF-A036CA1C006C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74D-41A4-BCAF-A036CA1C006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74D-41A4-BCAF-A036CA1C0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'L11'!$AD$25:$AD$26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'L11'!$AE$25:$AE$26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'L11'!$AF$24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F74D-41A4-BCAF-A036CA1C006C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74D-41A4-BCAF-A036CA1C006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74D-41A4-BCAF-A036CA1C006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'L11'!$AD$28:$AD$29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'L11'!$AE$28:$AE$29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'L11'!$AF$27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F74D-41A4-BCAF-A036CA1C006C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F74D-41A4-BCAF-A036CA1C006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74D-41A4-BCAF-A036CA1C006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'L11'!$AI$19:$AI$20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'L11'!$AJ$19:$AJ$20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'L11'!$AK$18</c15:f>
                <c15:dlblRangeCache>
                  <c:ptCount val="1"/>
                  <c:pt idx="0">
                    <c:v>0,81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F74D-41A4-BCAF-A036CA1C006C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F74D-41A4-BCAF-A036CA1C006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4D-41A4-BCAF-A036CA1C006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'L11'!$AI$23:$AI$24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'L11'!$AJ$23:$AJ$24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'L11'!$AK$22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6-F74D-41A4-BCAF-A036CA1C006C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'L11'!$AD$32:$AD$33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'L11'!$AE$32:$AE$33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74D-41A4-BCAF-A036CA1C006C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'L11'!$AD$34:$AD$35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'L11'!$AE$34:$AE$35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74D-41A4-BCAF-A036CA1C006C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'L11'!$AD$36:$AD$37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'L11'!$AE$36:$AE$37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74D-41A4-BCAF-A036CA1C0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'L12'!$BC$6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'L12'!$BC$7:$BC$16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-0.5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0-43C0-B445-2E6593DAAB20}"/>
            </c:ext>
          </c:extLst>
        </c:ser>
        <c:ser>
          <c:idx val="3"/>
          <c:order val="3"/>
          <c:tx>
            <c:strRef>
              <c:f>'L12'!$BD$6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'L12'!$BD$7:$BD$16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</c:v>
                </c:pt>
                <c:pt idx="5">
                  <c:v>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0-43C0-B445-2E6593DAAB20}"/>
            </c:ext>
          </c:extLst>
        </c:ser>
        <c:ser>
          <c:idx val="4"/>
          <c:order val="4"/>
          <c:tx>
            <c:strRef>
              <c:f>'L12'!$BE$6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'L12'!$BE$7:$BE$16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0-43C0-B445-2E6593DAA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70-43C0-B445-2E6593DAAB20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'L12'!$AK$31</c15:f>
                      <c15:dlblFieldTableCache>
                        <c:ptCount val="1"/>
                        <c:pt idx="0">
                          <c:v>2,15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8470-43C0-B445-2E6593DAAB2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70-43C0-B445-2E6593DAAB2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70-43C0-B445-2E6593DAAB2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70-43C0-B445-2E6593DAAB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'L12'!$AS$22:$AS$26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'L12'!$AT$22:$AT$26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70-43C0-B445-2E6593DAAB20}"/>
            </c:ext>
          </c:extLst>
        </c:ser>
        <c:ser>
          <c:idx val="1"/>
          <c:order val="1"/>
          <c:tx>
            <c:strRef>
              <c:f>'L12'!$AQ$12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'L12'!$AS$27:$AS$39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'L12'!$AT$27:$AT$39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-0.5</c:v>
                </c:pt>
                <c:pt idx="11">
                  <c:v>-0.5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70-43C0-B445-2E6593DAAB2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470-43C0-B445-2E6593DAAB20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'L12'!$AK$25</c15:f>
                      <c15:dlblFieldTableCache>
                        <c:ptCount val="1"/>
                        <c:pt idx="0">
                          <c:v>3,59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470-43C0-B445-2E6593DAAB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'L12'!$AI$26:$AI$27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'L12'!$AJ$26:$AJ$27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470-43C0-B445-2E6593DAAB20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470-43C0-B445-2E6593DAAB2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470-43C0-B445-2E6593DAAB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'L12'!$AI$29:$AI$30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'L12'!$AJ$29:$AJ$30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'L12'!$AK$28</c15:f>
                <c15:dlblRangeCache>
                  <c:ptCount val="1"/>
                  <c:pt idx="0">
                    <c:v>12,18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8470-43C0-B445-2E6593DAAB20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470-43C0-B445-2E6593DAAB2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70-43C0-B445-2E6593DAAB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'L12'!$AI$32:$AI$33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'L12'!$AJ$32:$AJ$33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470-43C0-B445-2E6593DAAB2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8470-43C0-B445-2E6593DAAB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470-43C0-B445-2E6593DAAB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'L12'!$AI$35:$AI$36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'L12'!$AJ$35:$AJ$36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'L12'!$AK$34</c15:f>
                <c15:dlblRangeCache>
                  <c:ptCount val="1"/>
                  <c:pt idx="0">
                    <c:v>7,31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470-43C0-B445-2E6593DAAB20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8470-43C0-B445-2E6593DAAB20}"/>
              </c:ext>
            </c:extLst>
          </c:dPt>
          <c:xVal>
            <c:numRef>
              <c:f>'L12'!$AD$32:$AD$33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'L12'!$AE$32:$AE$33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470-43C0-B445-2E6593DAAB20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'L12'!$AD$34:$AD$35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'L12'!$AE$34:$AE$35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470-43C0-B445-2E6593DAAB20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'L12'!$AD$36:$AD$37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'L12'!$AE$36:$AE$37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8470-43C0-B445-2E6593DAA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'L12'!$BC$6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'L12'!$BC$7:$BC$16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-0.5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4-4BB2-81E7-1D8F5D917830}"/>
            </c:ext>
          </c:extLst>
        </c:ser>
        <c:ser>
          <c:idx val="3"/>
          <c:order val="3"/>
          <c:tx>
            <c:strRef>
              <c:f>'L12'!$BD$6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'L12'!$BD$7:$BD$16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</c:v>
                </c:pt>
                <c:pt idx="5">
                  <c:v>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4-4BB2-81E7-1D8F5D917830}"/>
            </c:ext>
          </c:extLst>
        </c:ser>
        <c:ser>
          <c:idx val="4"/>
          <c:order val="4"/>
          <c:tx>
            <c:strRef>
              <c:f>'L12'!$BE$6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'L12'!$BB$7:$BB$16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'L12'!$BE$7:$BE$16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C4-4BB2-81E7-1D8F5D917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'L12'!$AS$22:$AS$26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'L12'!$AT$22:$AT$26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C4-4BB2-81E7-1D8F5D917830}"/>
            </c:ext>
          </c:extLst>
        </c:ser>
        <c:ser>
          <c:idx val="1"/>
          <c:order val="1"/>
          <c:tx>
            <c:strRef>
              <c:f>'L12'!$AQ$12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'L12'!$AS$27:$AS$39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'L12'!$AT$27:$AT$39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-0.5</c:v>
                </c:pt>
                <c:pt idx="11">
                  <c:v>-0.5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C4-4BB2-81E7-1D8F5D917830}"/>
            </c:ext>
          </c:extLst>
        </c:ser>
        <c:ser>
          <c:idx val="5"/>
          <c:order val="5"/>
          <c:tx>
            <c:strRef>
              <c:f>'L12'!$Q$7</c:f>
              <c:strCache>
                <c:ptCount val="1"/>
                <c:pt idx="0">
                  <c:v>-3,95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15F97411-1190-464B-9AFA-7B2C341C1EEE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DC4-4BB2-81E7-1D8F5D917830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8DC4-4BB2-81E7-1D8F5D91783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'L12'!$AD$19:$AD$20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'L12'!$AE$19:$AE$20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'L12'!$AF$18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8DC4-4BB2-81E7-1D8F5D917830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54443DA5-2AC8-4BF8-ABB9-BC286A9CBA43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DC4-4BB2-81E7-1D8F5D91783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DC4-4BB2-81E7-1D8F5D91783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'L12'!$AD$22:$AD$23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'L12'!$AE$22:$AE$23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'L12'!$AF$21</c15:f>
                <c15:dlblRangeCache>
                  <c:ptCount val="1"/>
                  <c:pt idx="0">
                    <c:v>-3,95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8DC4-4BB2-81E7-1D8F5D917830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DC4-4BB2-81E7-1D8F5D91783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C4-4BB2-81E7-1D8F5D9178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'L12'!$AD$25:$AD$26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'L12'!$AE$25:$AE$26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'L12'!$AF$24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8DC4-4BB2-81E7-1D8F5D917830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DC4-4BB2-81E7-1D8F5D91783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DC4-4BB2-81E7-1D8F5D91783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'L12'!$AD$28:$AD$29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'L12'!$AE$28:$AE$29</c:f>
              <c:numCache>
                <c:formatCode>General</c:formatCode>
                <c:ptCount val="2"/>
                <c:pt idx="0">
                  <c:v>0.59999999999999987</c:v>
                </c:pt>
                <c:pt idx="1">
                  <c:v>-0.59999999999999987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'L12'!$AF$27</c15:f>
                <c15:dlblRangeCache>
                  <c:ptCount val="1"/>
                  <c:pt idx="0">
                    <c:v>-8,92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8DC4-4BB2-81E7-1D8F5D917830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8DC4-4BB2-81E7-1D8F5D91783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C4-4BB2-81E7-1D8F5D91783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'L12'!$AI$19:$AI$20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'L12'!$AJ$19:$AJ$20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'L12'!$AK$18</c15:f>
                <c15:dlblRangeCache>
                  <c:ptCount val="1"/>
                  <c:pt idx="0">
                    <c:v>2,22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8DC4-4BB2-81E7-1D8F5D917830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8DC4-4BB2-81E7-1D8F5D91783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DC4-4BB2-81E7-1D8F5D91783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'L12'!$AI$23:$AI$24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'L12'!$AJ$23:$AJ$24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'L12'!$AK$22</c15:f>
                <c15:dlblRangeCache>
                  <c:ptCount val="1"/>
                  <c:pt idx="0">
                    <c:v>5,02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8DC4-4BB2-81E7-1D8F5D917830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'L12'!$AD$32:$AD$33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'L12'!$AE$32:$AE$33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DC4-4BB2-81E7-1D8F5D917830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'L12'!$AD$34:$AD$35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'L12'!$AE$34:$AE$35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DC4-4BB2-81E7-1D8F5D917830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'L12'!$AD$36:$AD$37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'L12'!$AE$36:$AE$37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DC4-4BB2-81E7-1D8F5D917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'L13'!$BC$6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'L13'!$BC$7:$BC$16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5-4A5C-9C9D-822E138E3B23}"/>
            </c:ext>
          </c:extLst>
        </c:ser>
        <c:ser>
          <c:idx val="3"/>
          <c:order val="3"/>
          <c:tx>
            <c:strRef>
              <c:f>'L13'!$BD$6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'L13'!$BD$7:$BD$16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C5-4A5C-9C9D-822E138E3B23}"/>
            </c:ext>
          </c:extLst>
        </c:ser>
        <c:ser>
          <c:idx val="4"/>
          <c:order val="4"/>
          <c:tx>
            <c:strRef>
              <c:f>'L13'!$BE$6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'L13'!$BE$7:$BE$16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C5-4A5C-9C9D-822E138E3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C5-4A5C-9C9D-822E138E3B23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'L13'!$AK$31</c15:f>
                      <c15:dlblFieldTableCache>
                        <c:ptCount val="1"/>
                        <c:pt idx="0">
                          <c:v>2,94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AC5-4A5C-9C9D-822E138E3B2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C5-4A5C-9C9D-822E138E3B2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C5-4A5C-9C9D-822E138E3B2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C5-4A5C-9C9D-822E138E3B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'L13'!$AS$22:$AS$26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'L13'!$AT$22:$AT$26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C5-4A5C-9C9D-822E138E3B23}"/>
            </c:ext>
          </c:extLst>
        </c:ser>
        <c:ser>
          <c:idx val="1"/>
          <c:order val="1"/>
          <c:tx>
            <c:strRef>
              <c:f>'L13'!$AQ$12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'L13'!$AS$27:$AS$39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'L13'!$AT$27:$AT$39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C5-4A5C-9C9D-822E138E3B2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AC5-4A5C-9C9D-822E138E3B23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'L13'!$AK$25</c15:f>
                      <c15:dlblFieldTableCache>
                        <c:ptCount val="1"/>
                        <c:pt idx="0">
                          <c:v>4,89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CAC5-4A5C-9C9D-822E138E3B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'L13'!$AI$26:$AI$27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'L13'!$AJ$26:$AJ$27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C5-4A5C-9C9D-822E138E3B23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AC5-4A5C-9C9D-822E138E3B2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AC5-4A5C-9C9D-822E138E3B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'L13'!$AI$29:$AI$30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'L13'!$AJ$29:$AJ$30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'L13'!$AK$28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CAC5-4A5C-9C9D-822E138E3B23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AC5-4A5C-9C9D-822E138E3B2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AC5-4A5C-9C9D-822E138E3B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'L13'!$AI$32:$AI$33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'L13'!$AJ$32:$AJ$33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AC5-4A5C-9C9D-822E138E3B2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CAC5-4A5C-9C9D-822E138E3B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CAC5-4A5C-9C9D-822E138E3B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'L13'!$AI$35:$AI$36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'L13'!$AJ$35:$AJ$36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'L13'!$AK$34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CAC5-4A5C-9C9D-822E138E3B23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CAC5-4A5C-9C9D-822E138E3B23}"/>
              </c:ext>
            </c:extLst>
          </c:dPt>
          <c:xVal>
            <c:numRef>
              <c:f>'L13'!$AD$32:$AD$33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'L13'!$AE$32:$AE$33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AC5-4A5C-9C9D-822E138E3B23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'L13'!$AD$34:$AD$35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'L13'!$AE$34:$AE$35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AC5-4A5C-9C9D-822E138E3B23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'L13'!$AD$36:$AD$37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'L13'!$AE$36:$AE$37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AC5-4A5C-9C9D-822E138E3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'L13'!$BC$6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'L13'!$BC$7:$BC$16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F-4B43-A78F-07F1A059962B}"/>
            </c:ext>
          </c:extLst>
        </c:ser>
        <c:ser>
          <c:idx val="3"/>
          <c:order val="3"/>
          <c:tx>
            <c:strRef>
              <c:f>'L13'!$BD$6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'L13'!$BD$7:$BD$16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F-4B43-A78F-07F1A059962B}"/>
            </c:ext>
          </c:extLst>
        </c:ser>
        <c:ser>
          <c:idx val="4"/>
          <c:order val="4"/>
          <c:tx>
            <c:strRef>
              <c:f>'L13'!$BE$6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'L13'!$BB$7:$BB$16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'L13'!$BE$7:$BE$16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AF-4B43-A78F-07F1A0599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'L13'!$AS$22:$AS$26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'L13'!$AT$22:$AT$26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AF-4B43-A78F-07F1A059962B}"/>
            </c:ext>
          </c:extLst>
        </c:ser>
        <c:ser>
          <c:idx val="1"/>
          <c:order val="1"/>
          <c:tx>
            <c:strRef>
              <c:f>'L13'!$AQ$12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'L13'!$AS$27:$AS$39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'L13'!$AT$27:$AT$39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AF-4B43-A78F-07F1A059962B}"/>
            </c:ext>
          </c:extLst>
        </c:ser>
        <c:ser>
          <c:idx val="5"/>
          <c:order val="5"/>
          <c:tx>
            <c:strRef>
              <c:f>'L13'!$Q$7</c:f>
              <c:strCache>
                <c:ptCount val="1"/>
                <c:pt idx="0">
                  <c:v>-0,97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24C5F9DF-C490-4068-8C15-A8563915B0B7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7BAF-4B43-A78F-07F1A059962B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7BAF-4B43-A78F-07F1A059962B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'L13'!$AD$19:$AD$20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'L13'!$AE$19:$AE$20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'L13'!$AF$18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7BAF-4B43-A78F-07F1A059962B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4AD8F6-1DC5-4FD0-A373-99C8BE828654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BAF-4B43-A78F-07F1A05996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BAF-4B43-A78F-07F1A05996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'L13'!$AD$22:$AD$23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'L13'!$AE$22:$AE$23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'L13'!$AF$21</c15:f>
                <c15:dlblRangeCache>
                  <c:ptCount val="1"/>
                  <c:pt idx="0">
                    <c:v>-0,97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7BAF-4B43-A78F-07F1A059962B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BAF-4B43-A78F-07F1A05996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BAF-4B43-A78F-07F1A05996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'L13'!$AD$25:$AD$26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'L13'!$AE$25:$AE$26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'L13'!$AF$24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7BAF-4B43-A78F-07F1A059962B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BAF-4B43-A78F-07F1A05996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BAF-4B43-A78F-07F1A05996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'L13'!$AD$28:$AD$29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'L13'!$AE$28:$AE$29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'L13'!$AF$27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7BAF-4B43-A78F-07F1A059962B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7BAF-4B43-A78F-07F1A05996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BAF-4B43-A78F-07F1A05996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'L13'!$AI$19:$AI$20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'L13'!$AJ$19:$AJ$20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'L13'!$AK$18</c15:f>
                <c15:dlblRangeCache>
                  <c:ptCount val="1"/>
                  <c:pt idx="0">
                    <c:v>0,55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7BAF-4B43-A78F-07F1A059962B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7BAF-4B43-A78F-07F1A059962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AF-4B43-A78F-07F1A05996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'L13'!$AI$23:$AI$24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'L13'!$AJ$23:$AJ$24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'L13'!$AK$22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6-7BAF-4B43-A78F-07F1A059962B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'L13'!$AD$32:$AD$33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'L13'!$AE$32:$AE$33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BAF-4B43-A78F-07F1A059962B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'L13'!$AD$34:$AD$35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'L13'!$AE$34:$AE$35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BAF-4B43-A78F-07F1A059962B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'L13'!$AD$36:$AD$37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'L13'!$AE$36:$AE$37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BAF-4B43-A78F-07F1A0599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'L14'!$BC$6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'L14'!$BC$7:$BC$16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3-48F2-84B9-298A78D8C64E}"/>
            </c:ext>
          </c:extLst>
        </c:ser>
        <c:ser>
          <c:idx val="3"/>
          <c:order val="3"/>
          <c:tx>
            <c:strRef>
              <c:f>'L14'!$BD$6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'L14'!$BD$7:$BD$16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3-48F2-84B9-298A78D8C64E}"/>
            </c:ext>
          </c:extLst>
        </c:ser>
        <c:ser>
          <c:idx val="4"/>
          <c:order val="4"/>
          <c:tx>
            <c:strRef>
              <c:f>'L14'!$BE$6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'L14'!$BE$7:$BE$16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53-48F2-84B9-298A78D8C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53-48F2-84B9-298A78D8C64E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'L14'!$AK$31</c15:f>
                      <c15:dlblFieldTableCache>
                        <c:ptCount val="1"/>
                        <c:pt idx="0">
                          <c:v>3,92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2253-48F2-84B9-298A78D8C64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53-48F2-84B9-298A78D8C64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53-48F2-84B9-298A78D8C64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53-48F2-84B9-298A78D8C6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'L14'!$AS$22:$AS$26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'L14'!$AT$22:$AT$26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53-48F2-84B9-298A78D8C64E}"/>
            </c:ext>
          </c:extLst>
        </c:ser>
        <c:ser>
          <c:idx val="1"/>
          <c:order val="1"/>
          <c:tx>
            <c:strRef>
              <c:f>'L14'!$AQ$12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'L14'!$AS$27:$AS$39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'L14'!$AT$27:$AT$39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253-48F2-84B9-298A78D8C64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53-48F2-84B9-298A78D8C64E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'L14'!$AK$25</c15:f>
                      <c15:dlblFieldTableCache>
                        <c:ptCount val="1"/>
                        <c:pt idx="0">
                          <c:v>3,92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2253-48F2-84B9-298A78D8C6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'L14'!$AI$26:$AI$27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'L14'!$AJ$26:$AJ$27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253-48F2-84B9-298A78D8C64E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253-48F2-84B9-298A78D8C64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253-48F2-84B9-298A78D8C6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'L14'!$AI$29:$AI$30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'L14'!$AJ$29:$AJ$30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'L14'!$AK$28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2253-48F2-84B9-298A78D8C64E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253-48F2-84B9-298A78D8C64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253-48F2-84B9-298A78D8C6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'L14'!$AI$32:$AI$33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'L14'!$AJ$32:$AJ$33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253-48F2-84B9-298A78D8C64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2253-48F2-84B9-298A78D8C6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2253-48F2-84B9-298A78D8C6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'L14'!$AI$35:$AI$36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'L14'!$AJ$35:$AJ$36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'L14'!$AK$34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2253-48F2-84B9-298A78D8C64E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2253-48F2-84B9-298A78D8C64E}"/>
              </c:ext>
            </c:extLst>
          </c:dPt>
          <c:xVal>
            <c:numRef>
              <c:f>'L14'!$AD$32:$AD$33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'L14'!$AE$32:$AE$33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253-48F2-84B9-298A78D8C64E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'L14'!$AD$34:$AD$35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'L14'!$AE$34:$AE$35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253-48F2-84B9-298A78D8C64E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'L14'!$AD$36:$AD$37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'L14'!$AE$36:$AE$37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253-48F2-84B9-298A78D8C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'L14'!$BC$6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'L14'!$BC$7:$BC$16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7-49A9-B956-9113E852B220}"/>
            </c:ext>
          </c:extLst>
        </c:ser>
        <c:ser>
          <c:idx val="3"/>
          <c:order val="3"/>
          <c:tx>
            <c:strRef>
              <c:f>'L14'!$BD$6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'L14'!$BD$7:$BD$16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7-49A9-B956-9113E852B220}"/>
            </c:ext>
          </c:extLst>
        </c:ser>
        <c:ser>
          <c:idx val="4"/>
          <c:order val="4"/>
          <c:tx>
            <c:strRef>
              <c:f>'L14'!$BE$6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'L14'!$BB$7:$BB$16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'L14'!$BE$7:$BE$16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77-49A9-B956-9113E852B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'L14'!$AS$22:$AS$26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'L14'!$AT$22:$AT$26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77-49A9-B956-9113E852B220}"/>
            </c:ext>
          </c:extLst>
        </c:ser>
        <c:ser>
          <c:idx val="1"/>
          <c:order val="1"/>
          <c:tx>
            <c:strRef>
              <c:f>'L14'!$AQ$12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'L14'!$AS$27:$AS$39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'L14'!$AT$27:$AT$39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77-49A9-B956-9113E852B220}"/>
            </c:ext>
          </c:extLst>
        </c:ser>
        <c:ser>
          <c:idx val="5"/>
          <c:order val="5"/>
          <c:tx>
            <c:strRef>
              <c:f>'L14'!$Q$7</c:f>
              <c:strCache>
                <c:ptCount val="1"/>
                <c:pt idx="0">
                  <c:v>0,00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EAEB2945-4644-4D26-856D-6EC36AA4B5D0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877-49A9-B956-9113E852B220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2877-49A9-B956-9113E852B22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'L14'!$AD$19:$AD$20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'L14'!$AE$19:$AE$20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'L14'!$AF$18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2877-49A9-B956-9113E852B220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80EFF25-150F-4E72-AAA8-D0E605968ABD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877-49A9-B956-9113E852B22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77-49A9-B956-9113E852B2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'L14'!$AD$22:$AD$23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'L14'!$AE$22:$AE$23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'L14'!$AF$21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A-2877-49A9-B956-9113E852B220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877-49A9-B956-9113E852B22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77-49A9-B956-9113E852B2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'L14'!$AD$25:$AD$26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'L14'!$AE$25:$AE$26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'L14'!$AF$24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2877-49A9-B956-9113E852B220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2877-49A9-B956-9113E852B22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877-49A9-B956-9113E852B2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'L14'!$AD$28:$AD$29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'L14'!$AE$28:$AE$29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'L14'!$AF$27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2877-49A9-B956-9113E852B220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877-49A9-B956-9113E852B22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877-49A9-B956-9113E852B2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'L14'!$AI$19:$AI$20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'L14'!$AJ$19:$AJ$20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'L14'!$AK$18</c15:f>
                <c15:dlblRangeCache>
                  <c:ptCount val="1"/>
                  <c:pt idx="0">
                    <c:v>0,97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2877-49A9-B956-9113E852B220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2877-49A9-B956-9113E852B22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877-49A9-B956-9113E852B22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'L14'!$AI$23:$AI$24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'L14'!$AJ$23:$AJ$24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'L14'!$AK$22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6-2877-49A9-B956-9113E852B220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'L14'!$AD$32:$AD$33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'L14'!$AE$32:$AE$33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77-49A9-B956-9113E852B220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'L14'!$AD$34:$AD$35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'L14'!$AE$34:$AE$35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77-49A9-B956-9113E852B220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'L14'!$AD$36:$AD$37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'L14'!$AE$36:$AE$37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77-49A9-B956-9113E852B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'L15'!$BC$6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'L15'!$BC$7:$BC$16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8-4C65-8626-6F43C98B6B62}"/>
            </c:ext>
          </c:extLst>
        </c:ser>
        <c:ser>
          <c:idx val="3"/>
          <c:order val="3"/>
          <c:tx>
            <c:strRef>
              <c:f>'L15'!$BD$6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'L15'!$BD$7:$BD$16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8-4C65-8626-6F43C98B6B62}"/>
            </c:ext>
          </c:extLst>
        </c:ser>
        <c:ser>
          <c:idx val="4"/>
          <c:order val="4"/>
          <c:tx>
            <c:strRef>
              <c:f>'L15'!$BE$6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'L15'!$BE$7:$BE$16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C8-4C65-8626-6F43C98B6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C8-4C65-8626-6F43C98B6B62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'L15'!$AK$31</c15:f>
                      <c15:dlblFieldTableCache>
                        <c:ptCount val="1"/>
                        <c:pt idx="0">
                          <c:v>1,95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35C8-4C65-8626-6F43C98B6B6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C8-4C65-8626-6F43C98B6B6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5C8-4C65-8626-6F43C98B6B6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C8-4C65-8626-6F43C98B6B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'L15'!$AS$22:$AS$26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'L15'!$AT$22:$AT$26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5C8-4C65-8626-6F43C98B6B62}"/>
            </c:ext>
          </c:extLst>
        </c:ser>
        <c:ser>
          <c:idx val="1"/>
          <c:order val="1"/>
          <c:tx>
            <c:strRef>
              <c:f>'L15'!$AQ$12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'L15'!$AS$27:$AS$39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'L15'!$AT$27:$AT$39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5C8-4C65-8626-6F43C98B6B6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5C8-4C65-8626-6F43C98B6B62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'L15'!$AK$25</c15:f>
                      <c15:dlblFieldTableCache>
                        <c:ptCount val="1"/>
                        <c:pt idx="0">
                          <c:v>1,95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35C8-4C65-8626-6F43C98B6B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'L15'!$AI$26:$AI$27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'L15'!$AJ$26:$AJ$27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5C8-4C65-8626-6F43C98B6B62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5C8-4C65-8626-6F43C98B6B6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5C8-4C65-8626-6F43C98B6B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'L15'!$AI$29:$AI$30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'L15'!$AJ$29:$AJ$30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'L15'!$AK$28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35C8-4C65-8626-6F43C98B6B62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5C8-4C65-8626-6F43C98B6B6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5C8-4C65-8626-6F43C98B6B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'L15'!$AI$32:$AI$33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'L15'!$AJ$32:$AJ$33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5C8-4C65-8626-6F43C98B6B6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35C8-4C65-8626-6F43C98B6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35C8-4C65-8626-6F43C98B6B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'L15'!$AI$35:$AI$36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'L15'!$AJ$35:$AJ$36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'L15'!$AK$34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35C8-4C65-8626-6F43C98B6B62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35C8-4C65-8626-6F43C98B6B62}"/>
              </c:ext>
            </c:extLst>
          </c:dPt>
          <c:xVal>
            <c:numRef>
              <c:f>'L15'!$AD$32:$AD$33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'L15'!$AE$32:$AE$33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5C8-4C65-8626-6F43C98B6B62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'L15'!$AD$34:$AD$35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'L15'!$AE$34:$AE$35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5C8-4C65-8626-6F43C98B6B62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'L15'!$AD$36:$AD$37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'L15'!$AE$36:$AE$37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5C8-4C65-8626-6F43C98B6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'L15'!$BC$6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'L15'!$BC$7:$BC$16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2-4634-A01E-8293F3667C6F}"/>
            </c:ext>
          </c:extLst>
        </c:ser>
        <c:ser>
          <c:idx val="3"/>
          <c:order val="3"/>
          <c:tx>
            <c:strRef>
              <c:f>'L15'!$BD$6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'L15'!$BD$7:$BD$16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2-4634-A01E-8293F3667C6F}"/>
            </c:ext>
          </c:extLst>
        </c:ser>
        <c:ser>
          <c:idx val="4"/>
          <c:order val="4"/>
          <c:tx>
            <c:strRef>
              <c:f>'L15'!$BE$6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'L15'!$BB$7:$BB$16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'L15'!$BE$7:$BE$16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B2-4634-A01E-8293F3667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'L15'!$AS$22:$AS$26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'L15'!$AT$22:$AT$26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B2-4634-A01E-8293F3667C6F}"/>
            </c:ext>
          </c:extLst>
        </c:ser>
        <c:ser>
          <c:idx val="1"/>
          <c:order val="1"/>
          <c:tx>
            <c:strRef>
              <c:f>'L15'!$AQ$12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'L15'!$AS$27:$AS$39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'L15'!$AT$27:$AT$39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B2-4634-A01E-8293F3667C6F}"/>
            </c:ext>
          </c:extLst>
        </c:ser>
        <c:ser>
          <c:idx val="5"/>
          <c:order val="5"/>
          <c:tx>
            <c:strRef>
              <c:f>'L15'!$Q$7</c:f>
              <c:strCache>
                <c:ptCount val="1"/>
                <c:pt idx="0">
                  <c:v>0,00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9D0BAE35-C812-43C5-8E81-B2403018D676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FB2-4634-A01E-8293F3667C6F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8FB2-4634-A01E-8293F3667C6F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'L15'!$AD$19:$AD$20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'L15'!$AE$19:$AE$20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'L15'!$AF$18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8FB2-4634-A01E-8293F3667C6F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A8C73F11-17F7-4220-BA44-2FAB4FA032B6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FB2-4634-A01E-8293F3667C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FB2-4634-A01E-8293F3667C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'L15'!$AD$22:$AD$23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'L15'!$AE$22:$AE$23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'L15'!$AF$21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A-8FB2-4634-A01E-8293F3667C6F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FB2-4634-A01E-8293F3667C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FB2-4634-A01E-8293F3667C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'L15'!$AD$25:$AD$26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'L15'!$AE$25:$AE$26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'L15'!$AF$24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8FB2-4634-A01E-8293F3667C6F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FB2-4634-A01E-8293F3667C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FB2-4634-A01E-8293F3667C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'L15'!$AD$28:$AD$29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'L15'!$AE$28:$AE$29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'L15'!$AF$27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8FB2-4634-A01E-8293F3667C6F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8FB2-4634-A01E-8293F3667C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FB2-4634-A01E-8293F3667C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'L15'!$AI$19:$AI$20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'L15'!$AJ$19:$AJ$20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'L15'!$AK$18</c15:f>
                <c15:dlblRangeCache>
                  <c:ptCount val="1"/>
                  <c:pt idx="0">
                    <c:v>0,26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8FB2-4634-A01E-8293F3667C6F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8FB2-4634-A01E-8293F3667C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FB2-4634-A01E-8293F3667C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'L15'!$AI$23:$AI$24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'L15'!$AJ$23:$AJ$24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'L15'!$AK$22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6-8FB2-4634-A01E-8293F3667C6F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'L15'!$AD$32:$AD$33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'L15'!$AE$32:$AE$33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FB2-4634-A01E-8293F3667C6F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'L15'!$AD$34:$AD$35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'L15'!$AE$34:$AE$35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8FB2-4634-A01E-8293F3667C6F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'L15'!$AD$36:$AD$37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'L15'!$AE$36:$AE$37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8FB2-4634-A01E-8293F3667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'L16'!$BC$6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928.57142857142856</c:v>
                </c:pt>
                <c:pt idx="8">
                  <c:v>928.57142857142856</c:v>
                </c:pt>
                <c:pt idx="9">
                  <c:v>1000</c:v>
                </c:pt>
              </c:numCache>
            </c:numRef>
          </c:cat>
          <c:val>
            <c:numRef>
              <c:f>'L16'!$BC$7:$BC$16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-0.5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6-4D1D-82D7-7EE96FF69B31}"/>
            </c:ext>
          </c:extLst>
        </c:ser>
        <c:ser>
          <c:idx val="3"/>
          <c:order val="3"/>
          <c:tx>
            <c:strRef>
              <c:f>'L16'!$BD$6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928.57142857142856</c:v>
                </c:pt>
                <c:pt idx="8">
                  <c:v>928.57142857142856</c:v>
                </c:pt>
                <c:pt idx="9">
                  <c:v>1000</c:v>
                </c:pt>
              </c:numCache>
            </c:numRef>
          </c:cat>
          <c:val>
            <c:numRef>
              <c:f>'L16'!$BD$7:$BD$16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</c:v>
                </c:pt>
                <c:pt idx="5">
                  <c:v>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96-4D1D-82D7-7EE96FF69B31}"/>
            </c:ext>
          </c:extLst>
        </c:ser>
        <c:ser>
          <c:idx val="4"/>
          <c:order val="4"/>
          <c:tx>
            <c:strRef>
              <c:f>'L16'!$BE$6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928.57142857142856</c:v>
                </c:pt>
                <c:pt idx="8">
                  <c:v>928.57142857142856</c:v>
                </c:pt>
                <c:pt idx="9">
                  <c:v>1000</c:v>
                </c:pt>
              </c:numCache>
            </c:numRef>
          </c:cat>
          <c:val>
            <c:numRef>
              <c:f>'L16'!$BE$7:$BE$16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96-4D1D-82D7-7EE96FF69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96-4D1D-82D7-7EE96FF69B31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'L16'!$AK$31</c15:f>
                      <c15:dlblFieldTableCache>
                        <c:ptCount val="1"/>
                        <c:pt idx="0">
                          <c:v>9,65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9396-4D1D-82D7-7EE96FF69B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96-4D1D-82D7-7EE96FF69B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96-4D1D-82D7-7EE96FF69B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96-4D1D-82D7-7EE96FF69B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'L16'!$AS$22:$AS$26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'L16'!$AT$22:$AT$26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396-4D1D-82D7-7EE96FF69B31}"/>
            </c:ext>
          </c:extLst>
        </c:ser>
        <c:ser>
          <c:idx val="1"/>
          <c:order val="1"/>
          <c:tx>
            <c:strRef>
              <c:f>'L16'!$AQ$12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'L16'!$AS$27:$AS$39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'L16'!$AT$27:$AT$39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-0.5</c:v>
                </c:pt>
                <c:pt idx="11">
                  <c:v>-0.5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396-4D1D-82D7-7EE96FF69B3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396-4D1D-82D7-7EE96FF69B31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'L16'!$AK$25</c15:f>
                      <c15:dlblFieldTableCache>
                        <c:ptCount val="1"/>
                        <c:pt idx="0">
                          <c:v>9,65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9396-4D1D-82D7-7EE96FF69B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'L16'!$AI$26:$AI$27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'L16'!$AJ$26:$AJ$27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396-4D1D-82D7-7EE96FF69B31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396-4D1D-82D7-7EE96FF69B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396-4D1D-82D7-7EE96FF69B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'L16'!$AI$29:$AI$30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'L16'!$AJ$29:$AJ$30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'L16'!$AK$28</c15:f>
                <c15:dlblRangeCache>
                  <c:ptCount val="1"/>
                  <c:pt idx="0">
                    <c:v>6,01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9396-4D1D-82D7-7EE96FF69B31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396-4D1D-82D7-7EE96FF69B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396-4D1D-82D7-7EE96FF69B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'L16'!$AI$32:$AI$33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'L16'!$AJ$32:$AJ$33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396-4D1D-82D7-7EE96FF69B3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396-4D1D-82D7-7EE96FF69B3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396-4D1D-82D7-7EE96FF69B3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'L16'!$AI$35:$AI$36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'L16'!$AJ$35:$AJ$36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'L16'!$AK$34</c15:f>
                <c15:dlblRangeCache>
                  <c:ptCount val="1"/>
                  <c:pt idx="0">
                    <c:v>3,61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9396-4D1D-82D7-7EE96FF69B31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9396-4D1D-82D7-7EE96FF69B31}"/>
              </c:ext>
            </c:extLst>
          </c:dPt>
          <c:xVal>
            <c:numRef>
              <c:f>'L16'!$AD$32:$AD$33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'L16'!$AE$32:$AE$33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396-4D1D-82D7-7EE96FF69B31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'L16'!$AD$34:$AD$35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'L16'!$AE$34:$AE$35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396-4D1D-82D7-7EE96FF69B31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'L16'!$AD$36:$AD$37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'L16'!$AE$36:$AE$37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396-4D1D-82D7-7EE96FF69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'L16'!$BC$6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928.57142857142856</c:v>
                </c:pt>
                <c:pt idx="8">
                  <c:v>928.57142857142856</c:v>
                </c:pt>
                <c:pt idx="9">
                  <c:v>1000</c:v>
                </c:pt>
              </c:numCache>
            </c:numRef>
          </c:cat>
          <c:val>
            <c:numRef>
              <c:f>'L16'!$BC$7:$BC$16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-0.5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9-4706-90B0-EEBE16C7B612}"/>
            </c:ext>
          </c:extLst>
        </c:ser>
        <c:ser>
          <c:idx val="3"/>
          <c:order val="3"/>
          <c:tx>
            <c:strRef>
              <c:f>'L16'!$BD$6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928.57142857142856</c:v>
                </c:pt>
                <c:pt idx="8">
                  <c:v>928.57142857142856</c:v>
                </c:pt>
                <c:pt idx="9">
                  <c:v>1000</c:v>
                </c:pt>
              </c:numCache>
            </c:numRef>
          </c:cat>
          <c:val>
            <c:numRef>
              <c:f>'L16'!$BD$7:$BD$16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</c:v>
                </c:pt>
                <c:pt idx="5">
                  <c:v>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9-4706-90B0-EEBE16C7B612}"/>
            </c:ext>
          </c:extLst>
        </c:ser>
        <c:ser>
          <c:idx val="4"/>
          <c:order val="4"/>
          <c:tx>
            <c:strRef>
              <c:f>'L16'!$BE$6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'L16'!$BB$7:$BB$16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928.57142857142856</c:v>
                </c:pt>
                <c:pt idx="8">
                  <c:v>928.57142857142856</c:v>
                </c:pt>
                <c:pt idx="9">
                  <c:v>1000</c:v>
                </c:pt>
              </c:numCache>
            </c:numRef>
          </c:cat>
          <c:val>
            <c:numRef>
              <c:f>'L16'!$BE$7:$BE$16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39-4706-90B0-EEBE16C7B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'L16'!$AS$22:$AS$26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'L16'!$AT$22:$AT$26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39-4706-90B0-EEBE16C7B612}"/>
            </c:ext>
          </c:extLst>
        </c:ser>
        <c:ser>
          <c:idx val="1"/>
          <c:order val="1"/>
          <c:tx>
            <c:strRef>
              <c:f>'L16'!$AQ$12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'L16'!$AS$27:$AS$39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'L16'!$AT$27:$AT$39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-0.5</c:v>
                </c:pt>
                <c:pt idx="11">
                  <c:v>-0.5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39-4706-90B0-EEBE16C7B612}"/>
            </c:ext>
          </c:extLst>
        </c:ser>
        <c:ser>
          <c:idx val="5"/>
          <c:order val="5"/>
          <c:tx>
            <c:strRef>
              <c:f>'L16'!$Q$7</c:f>
              <c:strCache>
                <c:ptCount val="1"/>
                <c:pt idx="0">
                  <c:v>-5,88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0D3F98A8-0C5F-49C6-B77E-0E80A717CF6A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939-4706-90B0-EEBE16C7B612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0939-4706-90B0-EEBE16C7B612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'L16'!$AD$19:$AD$20</c:f>
              <c:numCache>
                <c:formatCode>General</c:formatCode>
                <c:ptCount val="2"/>
                <c:pt idx="0">
                  <c:v>4.5</c:v>
                </c:pt>
                <c:pt idx="1">
                  <c:v>5.5</c:v>
                </c:pt>
              </c:numCache>
            </c:numRef>
          </c:xVal>
          <c:yVal>
            <c:numRef>
              <c:f>'L16'!$AE$19:$AE$20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'L16'!$AF$18</c15:f>
                <c15:dlblRangeCache>
                  <c:ptCount val="1"/>
                  <c:pt idx="0">
                    <c:v>-5,88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0939-4706-90B0-EEBE16C7B612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15AEDA8F-772F-463D-A0C8-2165754A84D4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939-4706-90B0-EEBE16C7B61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939-4706-90B0-EEBE16C7B61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'L16'!$AD$22:$AD$23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'L16'!$AE$22:$AE$23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'L16'!$AF$21</c15:f>
                <c15:dlblRangeCache>
                  <c:ptCount val="1"/>
                  <c:pt idx="0">
                    <c:v>-5,88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0939-4706-90B0-EEBE16C7B612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939-4706-90B0-EEBE16C7B61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939-4706-90B0-EEBE16C7B6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'L16'!$AD$25:$AD$26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'L16'!$AE$25:$AE$26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'L16'!$AF$24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0939-4706-90B0-EEBE16C7B612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939-4706-90B0-EEBE16C7B61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939-4706-90B0-EEBE16C7B61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'L16'!$AD$28:$AD$29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'L16'!$AE$28:$AE$29</c:f>
              <c:numCache>
                <c:formatCode>General</c:formatCode>
                <c:ptCount val="2"/>
                <c:pt idx="0">
                  <c:v>0.59999999999999987</c:v>
                </c:pt>
                <c:pt idx="1">
                  <c:v>-0.59999999999999987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'L16'!$AF$27</c15:f>
                <c15:dlblRangeCache>
                  <c:ptCount val="1"/>
                  <c:pt idx="0">
                    <c:v>-4,40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0939-4706-90B0-EEBE16C7B612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939-4706-90B0-EEBE16C7B61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939-4706-90B0-EEBE16C7B61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'L16'!$AI$19:$AI$20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'L16'!$AJ$19:$AJ$20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'L16'!$AK$18</c15:f>
                <c15:dlblRangeCache>
                  <c:ptCount val="1"/>
                  <c:pt idx="0">
                    <c:v>2,94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0939-4706-90B0-EEBE16C7B612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939-4706-90B0-EEBE16C7B61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939-4706-90B0-EEBE16C7B61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'L16'!$AI$23:$AI$24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'L16'!$AJ$23:$AJ$24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'L16'!$AK$22</c15:f>
                <c15:dlblRangeCache>
                  <c:ptCount val="1"/>
                  <c:pt idx="0">
                    <c:v>2,47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0939-4706-90B0-EEBE16C7B612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'L16'!$AD$32:$AD$33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'L16'!$AE$32:$AE$33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939-4706-90B0-EEBE16C7B612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'L16'!$AD$34:$AD$35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'L16'!$AE$34:$AE$35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939-4706-90B0-EEBE16C7B612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'L16'!$AD$36:$AD$37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'L16'!$AE$36:$AE$37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939-4706-90B0-EEBE16C7B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'L17'!$BC$6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'L17'!$BC$7:$BC$16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7-4C90-9FB1-FC46BC64CCF6}"/>
            </c:ext>
          </c:extLst>
        </c:ser>
        <c:ser>
          <c:idx val="3"/>
          <c:order val="3"/>
          <c:tx>
            <c:strRef>
              <c:f>'L17'!$BD$6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'L17'!$BD$7:$BD$16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7-4C90-9FB1-FC46BC64CCF6}"/>
            </c:ext>
          </c:extLst>
        </c:ser>
        <c:ser>
          <c:idx val="4"/>
          <c:order val="4"/>
          <c:tx>
            <c:strRef>
              <c:f>'L17'!$BE$6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'L17'!$BE$7:$BE$16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7-4C90-9FB1-FC46BC64C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07-4C90-9FB1-FC46BC64CCF6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'L17'!$AK$31</c15:f>
                      <c15:dlblFieldTableCache>
                        <c:ptCount val="1"/>
                        <c:pt idx="0">
                          <c:v>4,32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E807-4C90-9FB1-FC46BC64CCF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07-4C90-9FB1-FC46BC64CCF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07-4C90-9FB1-FC46BC64CCF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07-4C90-9FB1-FC46BC64CCF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'L17'!$AS$22:$AS$26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'L17'!$AT$22:$AT$26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07-4C90-9FB1-FC46BC64CCF6}"/>
            </c:ext>
          </c:extLst>
        </c:ser>
        <c:ser>
          <c:idx val="1"/>
          <c:order val="1"/>
          <c:tx>
            <c:strRef>
              <c:f>'L17'!$AQ$12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'L17'!$AS$27:$AS$39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'L17'!$AT$27:$AT$39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07-4C90-9FB1-FC46BC64CCF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07-4C90-9FB1-FC46BC64CCF6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'L17'!$AK$25</c15:f>
                      <c15:dlblFieldTableCache>
                        <c:ptCount val="1"/>
                        <c:pt idx="0">
                          <c:v>7,19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E807-4C90-9FB1-FC46BC64CCF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'L17'!$AI$26:$AI$27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'L17'!$AJ$26:$AJ$27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07-4C90-9FB1-FC46BC64CCF6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807-4C90-9FB1-FC46BC64CCF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807-4C90-9FB1-FC46BC64CCF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'L17'!$AI$29:$AI$30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'L17'!$AJ$29:$AJ$30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'L17'!$AK$28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E807-4C90-9FB1-FC46BC64CCF6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807-4C90-9FB1-FC46BC64CCF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807-4C90-9FB1-FC46BC64CCF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'L17'!$AI$32:$AI$33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'L17'!$AJ$32:$AJ$33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807-4C90-9FB1-FC46BC64CCF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E807-4C90-9FB1-FC46BC64CC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807-4C90-9FB1-FC46BC64CCF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'L17'!$AI$35:$AI$36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'L17'!$AJ$35:$AJ$36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'L17'!$AK$34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E807-4C90-9FB1-FC46BC64CCF6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E807-4C90-9FB1-FC46BC64CCF6}"/>
              </c:ext>
            </c:extLst>
          </c:dPt>
          <c:xVal>
            <c:numRef>
              <c:f>'L17'!$AD$32:$AD$33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'L17'!$AE$32:$AE$33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07-4C90-9FB1-FC46BC64CCF6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'L17'!$AD$34:$AD$35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'L17'!$AE$34:$AE$35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807-4C90-9FB1-FC46BC64CCF6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'L17'!$AD$36:$AD$37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'L17'!$AE$36:$AE$37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07-4C90-9FB1-FC46BC64C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'L17'!$BC$6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'L17'!$BC$7:$BC$16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4-4527-97A0-B4C2B2B03655}"/>
            </c:ext>
          </c:extLst>
        </c:ser>
        <c:ser>
          <c:idx val="3"/>
          <c:order val="3"/>
          <c:tx>
            <c:strRef>
              <c:f>'L17'!$BD$6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'L17'!$BD$7:$BD$16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D4-4527-97A0-B4C2B2B03655}"/>
            </c:ext>
          </c:extLst>
        </c:ser>
        <c:ser>
          <c:idx val="4"/>
          <c:order val="4"/>
          <c:tx>
            <c:strRef>
              <c:f>'L17'!$BE$6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'L17'!$BB$7:$BB$16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'L17'!$BE$7:$BE$16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D4-4527-97A0-B4C2B2B03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'L17'!$AS$22:$AS$26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'L17'!$AT$22:$AT$26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D4-4527-97A0-B4C2B2B03655}"/>
            </c:ext>
          </c:extLst>
        </c:ser>
        <c:ser>
          <c:idx val="1"/>
          <c:order val="1"/>
          <c:tx>
            <c:strRef>
              <c:f>'L17'!$AQ$12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'L17'!$AS$27:$AS$39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'L17'!$AT$27:$AT$39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D4-4527-97A0-B4C2B2B03655}"/>
            </c:ext>
          </c:extLst>
        </c:ser>
        <c:ser>
          <c:idx val="5"/>
          <c:order val="5"/>
          <c:tx>
            <c:strRef>
              <c:f>'L17'!$Q$7</c:f>
              <c:strCache>
                <c:ptCount val="1"/>
                <c:pt idx="0">
                  <c:v>-2,09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EDF599CC-6137-4709-B006-63D636C6E62C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DD4-4527-97A0-B4C2B2B03655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9DD4-4527-97A0-B4C2B2B03655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'L17'!$AD$19:$AD$20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'L17'!$AE$19:$AE$20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'L17'!$AF$18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9DD4-4527-97A0-B4C2B2B03655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D7F3AD44-8D9F-46B8-AF8D-9F52B05FFD6F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DD4-4527-97A0-B4C2B2B036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DD4-4527-97A0-B4C2B2B036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'L17'!$AD$22:$AD$23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'L17'!$AE$22:$AE$23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'L17'!$AF$21</c15:f>
                <c15:dlblRangeCache>
                  <c:ptCount val="1"/>
                  <c:pt idx="0">
                    <c:v>-2,09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9DD4-4527-97A0-B4C2B2B03655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DD4-4527-97A0-B4C2B2B036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DD4-4527-97A0-B4C2B2B036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'L17'!$AD$25:$AD$26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'L17'!$AE$25:$AE$26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'L17'!$AF$24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9DD4-4527-97A0-B4C2B2B03655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DD4-4527-97A0-B4C2B2B036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DD4-4527-97A0-B4C2B2B036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'L17'!$AD$28:$AD$29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'L17'!$AE$28:$AE$29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'L17'!$AF$27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9DD4-4527-97A0-B4C2B2B03655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9DD4-4527-97A0-B4C2B2B036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DD4-4527-97A0-B4C2B2B036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'L17'!$AI$19:$AI$20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'L17'!$AJ$19:$AJ$20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'L17'!$AK$18</c15:f>
                <c15:dlblRangeCache>
                  <c:ptCount val="1"/>
                  <c:pt idx="0">
                    <c:v>1,18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9DD4-4527-97A0-B4C2B2B03655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9DD4-4527-97A0-B4C2B2B036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DD4-4527-97A0-B4C2B2B036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'L17'!$AI$23:$AI$24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'L17'!$AJ$23:$AJ$24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'L17'!$AK$22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6-9DD4-4527-97A0-B4C2B2B03655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'L17'!$AD$32:$AD$33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'L17'!$AE$32:$AE$33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DD4-4527-97A0-B4C2B2B03655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'L17'!$AD$34:$AD$35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'L17'!$AE$34:$AE$35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DD4-4527-97A0-B4C2B2B03655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'L17'!$AD$36:$AD$37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'L17'!$AE$36:$AE$37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DD4-4527-97A0-B4C2B2B03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'L18'!$BC$6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'L18'!$BC$7:$BC$16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A-40FE-B37E-7FCECFBDC2D0}"/>
            </c:ext>
          </c:extLst>
        </c:ser>
        <c:ser>
          <c:idx val="3"/>
          <c:order val="3"/>
          <c:tx>
            <c:strRef>
              <c:f>'L18'!$BD$6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'L18'!$BD$7:$BD$16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8A-40FE-B37E-7FCECFBDC2D0}"/>
            </c:ext>
          </c:extLst>
        </c:ser>
        <c:ser>
          <c:idx val="4"/>
          <c:order val="4"/>
          <c:tx>
            <c:strRef>
              <c:f>'L18'!$BE$6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'L18'!$BE$7:$BE$16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8A-40FE-B37E-7FCECFBDC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8A-40FE-B37E-7FCECFBDC2D0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'L18'!$AK$31</c15:f>
                      <c15:dlblFieldTableCache>
                        <c:ptCount val="1"/>
                        <c:pt idx="0">
                          <c:v>3,22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08A-40FE-B37E-7FCECFBDC2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8A-40FE-B37E-7FCECFBDC2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8A-40FE-B37E-7FCECFBDC2D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8A-40FE-B37E-7FCECFBDC2D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'L18'!$AS$22:$AS$26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'L18'!$AT$22:$AT$26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08A-40FE-B37E-7FCECFBDC2D0}"/>
            </c:ext>
          </c:extLst>
        </c:ser>
        <c:ser>
          <c:idx val="1"/>
          <c:order val="1"/>
          <c:tx>
            <c:strRef>
              <c:f>'L18'!$AQ$12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'L18'!$AS$27:$AS$39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'L18'!$AT$27:$AT$39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08A-40FE-B37E-7FCECFBDC2D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8A-40FE-B37E-7FCECFBDC2D0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'L18'!$AK$25</c15:f>
                      <c15:dlblFieldTableCache>
                        <c:ptCount val="1"/>
                        <c:pt idx="0">
                          <c:v>3,22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08A-40FE-B37E-7FCECFBDC2D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'L18'!$AI$26:$AI$27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'L18'!$AJ$26:$AJ$27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08A-40FE-B37E-7FCECFBDC2D0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08A-40FE-B37E-7FCECFBDC2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08A-40FE-B37E-7FCECFBDC2D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'L18'!$AI$29:$AI$30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'L18'!$AJ$29:$AJ$30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'L18'!$AK$28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408A-40FE-B37E-7FCECFBDC2D0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08A-40FE-B37E-7FCECFBDC2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08A-40FE-B37E-7FCECFBDC2D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'L18'!$AI$32:$AI$33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'L18'!$AJ$32:$AJ$33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08A-40FE-B37E-7FCECFBDC2D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08A-40FE-B37E-7FCECFBDC2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408A-40FE-B37E-7FCECFBDC2D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'L18'!$AI$35:$AI$36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'L18'!$AJ$35:$AJ$36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'L18'!$AK$34</c15:f>
                <c15:dlblRangeCache>
                  <c:ptCount val="1"/>
                  <c:pt idx="0">
                    <c:v>0,00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408A-40FE-B37E-7FCECFBDC2D0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408A-40FE-B37E-7FCECFBDC2D0}"/>
              </c:ext>
            </c:extLst>
          </c:dPt>
          <c:xVal>
            <c:numRef>
              <c:f>'L18'!$AD$32:$AD$33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'L18'!$AE$32:$AE$33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08A-40FE-B37E-7FCECFBDC2D0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'L18'!$AD$34:$AD$35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'L18'!$AE$34:$AE$35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08A-40FE-B37E-7FCECFBDC2D0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'L18'!$AD$36:$AD$37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'L18'!$AE$36:$AE$37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408A-40FE-B37E-7FCECFBDC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'L18'!$BC$6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'L18'!$BC$7:$BC$16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3-438D-B2FF-C03CB932BB55}"/>
            </c:ext>
          </c:extLst>
        </c:ser>
        <c:ser>
          <c:idx val="3"/>
          <c:order val="3"/>
          <c:tx>
            <c:strRef>
              <c:f>'L18'!$BD$6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'L18'!$BD$7:$BD$16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3-438D-B2FF-C03CB932BB55}"/>
            </c:ext>
          </c:extLst>
        </c:ser>
        <c:ser>
          <c:idx val="4"/>
          <c:order val="4"/>
          <c:tx>
            <c:strRef>
              <c:f>'L18'!$BE$6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'L18'!$BB$7:$BB$16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'L18'!$BE$7:$BE$16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E3-438D-B2FF-C03CB932B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'L18'!$AS$22:$AS$26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'L18'!$AT$22:$AT$26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E3-438D-B2FF-C03CB932BB55}"/>
            </c:ext>
          </c:extLst>
        </c:ser>
        <c:ser>
          <c:idx val="1"/>
          <c:order val="1"/>
          <c:tx>
            <c:strRef>
              <c:f>'L18'!$AQ$12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'L18'!$AS$27:$AS$39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'L18'!$AT$27:$AT$39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E3-438D-B2FF-C03CB932BB55}"/>
            </c:ext>
          </c:extLst>
        </c:ser>
        <c:ser>
          <c:idx val="5"/>
          <c:order val="5"/>
          <c:tx>
            <c:strRef>
              <c:f>'L18'!$Q$7</c:f>
              <c:strCache>
                <c:ptCount val="1"/>
                <c:pt idx="0">
                  <c:v>0,00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4701D87D-9EF2-4688-AD40-CCE819B1BB2B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CE3-438D-B2FF-C03CB932BB55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ACE3-438D-B2FF-C03CB932BB55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'L18'!$AD$19:$AD$20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'L18'!$AE$19:$AE$20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'L18'!$AF$18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ACE3-438D-B2FF-C03CB932BB55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549FE19F-C7EF-4499-914C-6733871C62AA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CE3-438D-B2FF-C03CB932BB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CE3-438D-B2FF-C03CB932BB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'L18'!$AD$22:$AD$23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'L18'!$AE$22:$AE$23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'L18'!$AF$21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A-ACE3-438D-B2FF-C03CB932BB55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CE3-438D-B2FF-C03CB932BB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CE3-438D-B2FF-C03CB932BB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'L18'!$AD$25:$AD$26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'L18'!$AE$25:$AE$26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'L18'!$AF$24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ACE3-438D-B2FF-C03CB932BB55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CE3-438D-B2FF-C03CB932BB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CE3-438D-B2FF-C03CB932BB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'L18'!$AD$28:$AD$29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'L18'!$AE$28:$AE$29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'L18'!$AF$27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ACE3-438D-B2FF-C03CB932BB55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CE3-438D-B2FF-C03CB932BB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CE3-438D-B2FF-C03CB932BB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'L18'!$AI$19:$AI$20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'L18'!$AJ$19:$AJ$20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'L18'!$AK$18</c15:f>
                <c15:dlblRangeCache>
                  <c:ptCount val="1"/>
                  <c:pt idx="0">
                    <c:v>0,66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ACE3-438D-B2FF-C03CB932BB55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ACE3-438D-B2FF-C03CB932BB5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E3-438D-B2FF-C03CB932BB5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'L18'!$AI$23:$AI$24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'L18'!$AJ$23:$AJ$24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'L18'!$AK$22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6-ACE3-438D-B2FF-C03CB932BB55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'L18'!$AD$32:$AD$33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'L18'!$AE$32:$AE$33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CE3-438D-B2FF-C03CB932BB55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'L18'!$AD$34:$AD$35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5</c:v>
                </c:pt>
              </c:numCache>
            </c:numRef>
          </c:xVal>
          <c:yVal>
            <c:numRef>
              <c:f>'L18'!$AE$34:$AE$35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CE3-438D-B2FF-C03CB932BB55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'L18'!$AD$36:$AD$37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'L18'!$AE$36:$AE$37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CE3-438D-B2FF-C03CB932B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'L19'!$BC$6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'L19'!$BC$7:$BC$16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5-4EC4-8BED-7FEBC595FA15}"/>
            </c:ext>
          </c:extLst>
        </c:ser>
        <c:ser>
          <c:idx val="3"/>
          <c:order val="3"/>
          <c:tx>
            <c:strRef>
              <c:f>'L19'!$BD$6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'L19'!$BD$7:$BD$16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5-4EC4-8BED-7FEBC595FA15}"/>
            </c:ext>
          </c:extLst>
        </c:ser>
        <c:ser>
          <c:idx val="4"/>
          <c:order val="4"/>
          <c:tx>
            <c:strRef>
              <c:f>'L19'!$BE$6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'L19'!$BE$7:$BE$16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0.5</c:v>
                </c:pt>
                <c:pt idx="5">
                  <c:v>0.5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5-4EC4-8BED-7FEBC595F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45-4EC4-8BED-7FEBC595FA15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'L19'!$AK$31</c15:f>
                      <c15:dlblFieldTableCache>
                        <c:ptCount val="1"/>
                        <c:pt idx="0">
                          <c:v>1,25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A345-4EC4-8BED-7FEBC595FA1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45-4EC4-8BED-7FEBC595FA1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45-4EC4-8BED-7FEBC595FA1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45-4EC4-8BED-7FEBC595FA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'L19'!$AS$22:$AS$26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'L19'!$AT$22:$AT$26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45-4EC4-8BED-7FEBC595FA15}"/>
            </c:ext>
          </c:extLst>
        </c:ser>
        <c:ser>
          <c:idx val="1"/>
          <c:order val="1"/>
          <c:tx>
            <c:strRef>
              <c:f>'L19'!$AQ$12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'L19'!$AS$27:$AS$39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'L19'!$AT$27:$AT$39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6.5</c:v>
                </c:pt>
                <c:pt idx="5">
                  <c:v>6.5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345-4EC4-8BED-7FEBC595FA1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45-4EC4-8BED-7FEBC595FA15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'L19'!$AK$25</c15:f>
                      <c15:dlblFieldTableCache>
                        <c:ptCount val="1"/>
                        <c:pt idx="0">
                          <c:v>1,25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A345-4EC4-8BED-7FEBC595FA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'L19'!$AI$26:$AI$27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'L19'!$AJ$26:$AJ$27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345-4EC4-8BED-7FEBC595FA15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345-4EC4-8BED-7FEBC595FA1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345-4EC4-8BED-7FEBC595FA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'L19'!$AI$29:$AI$30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'L19'!$AJ$29:$AJ$30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'L19'!$AK$28</c15:f>
                <c15:dlblRangeCache>
                  <c:ptCount val="1"/>
                  <c:pt idx="0">
                    <c:v>4,38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A345-4EC4-8BED-7FEBC595FA15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345-4EC4-8BED-7FEBC595FA1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345-4EC4-8BED-7FEBC595FA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'L19'!$AI$32:$AI$33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'L19'!$AJ$32:$AJ$33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345-4EC4-8BED-7FEBC595FA1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345-4EC4-8BED-7FEBC595FA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A345-4EC4-8BED-7FEBC595FA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'L19'!$AI$35:$AI$36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'L19'!$AJ$35:$AJ$36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'L19'!$AK$34</c15:f>
                <c15:dlblRangeCache>
                  <c:ptCount val="1"/>
                  <c:pt idx="0">
                    <c:v>7,30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A345-4EC4-8BED-7FEBC595FA15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A345-4EC4-8BED-7FEBC595FA15}"/>
              </c:ext>
            </c:extLst>
          </c:dPt>
          <c:xVal>
            <c:numRef>
              <c:f>'L19'!$AD$32:$AD$33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'L19'!$AE$32:$AE$33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345-4EC4-8BED-7FEBC595FA15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'L19'!$AD$34:$AD$35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'L19'!$AE$34:$AE$35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345-4EC4-8BED-7FEBC595FA15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'L19'!$AD$36:$AD$37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'L19'!$AE$36:$AE$37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345-4EC4-8BED-7FEBC595F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'L19'!$BC$6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'L19'!$BB$7:$BB$16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'L19'!$BC$7:$BC$16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B-4C54-8E00-934E1553ED73}"/>
            </c:ext>
          </c:extLst>
        </c:ser>
        <c:ser>
          <c:idx val="3"/>
          <c:order val="3"/>
          <c:tx>
            <c:strRef>
              <c:f>'L19'!$BD$6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'L19'!$BB$7:$BB$16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'L19'!$BD$7:$BD$16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6B-4C54-8E00-934E1553ED73}"/>
            </c:ext>
          </c:extLst>
        </c:ser>
        <c:ser>
          <c:idx val="4"/>
          <c:order val="4"/>
          <c:tx>
            <c:strRef>
              <c:f>'L19'!$BE$6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'L19'!$BB$7:$BB$16</c:f>
              <c:numCache>
                <c:formatCode>General</c:formatCode>
                <c:ptCount val="10"/>
                <c:pt idx="0">
                  <c:v>0</c:v>
                </c:pt>
                <c:pt idx="1">
                  <c:v>142.85714285714286</c:v>
                </c:pt>
                <c:pt idx="2">
                  <c:v>142.85714285714286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'L19'!$BE$7:$BE$16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0.5</c:v>
                </c:pt>
                <c:pt idx="5">
                  <c:v>0.5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6B-4C54-8E00-934E1553E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'L19'!$AS$22:$AS$26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'L19'!$AT$22:$AT$26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B-4C54-8E00-934E1553ED73}"/>
            </c:ext>
          </c:extLst>
        </c:ser>
        <c:ser>
          <c:idx val="1"/>
          <c:order val="1"/>
          <c:tx>
            <c:strRef>
              <c:f>'L19'!$AQ$12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'L19'!$AS$27:$AS$39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'L19'!$AT$27:$AT$39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6.5</c:v>
                </c:pt>
                <c:pt idx="5">
                  <c:v>6.5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B-4C54-8E00-934E1553ED73}"/>
            </c:ext>
          </c:extLst>
        </c:ser>
        <c:ser>
          <c:idx val="5"/>
          <c:order val="5"/>
          <c:tx>
            <c:strRef>
              <c:f>'L19'!$Q$7</c:f>
              <c:strCache>
                <c:ptCount val="1"/>
                <c:pt idx="0">
                  <c:v>0,00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EC7A6BD1-A404-47E9-A3FB-AD3B3DEDDB9D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66B-4C54-8E00-934E1553ED73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466B-4C54-8E00-934E1553ED7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'L19'!$AD$19:$AD$20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'L19'!$AE$19:$AE$20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'L19'!$AF$18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466B-4C54-8E00-934E1553ED73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905AE923-3BC9-4F36-A9F0-E5396AB4E900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66B-4C54-8E00-934E1553ED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6B-4C54-8E00-934E1553ED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'L19'!$AD$22:$AD$23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'L19'!$AE$22:$AE$23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'L19'!$AF$21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A-466B-4C54-8E00-934E1553ED73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66B-4C54-8E00-934E1553ED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66B-4C54-8E00-934E1553E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'L19'!$AD$25:$AD$26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'L19'!$AE$25:$AE$26</c:f>
              <c:numCache>
                <c:formatCode>General</c:formatCode>
                <c:ptCount val="2"/>
                <c:pt idx="0">
                  <c:v>6.6</c:v>
                </c:pt>
                <c:pt idx="1">
                  <c:v>5.4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'L19'!$AF$24</c15:f>
                <c15:dlblRangeCache>
                  <c:ptCount val="1"/>
                  <c:pt idx="0">
                    <c:v>-3,14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466B-4C54-8E00-934E1553ED73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66B-4C54-8E00-934E1553ED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66B-4C54-8E00-934E1553ED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'L19'!$AD$28:$AD$29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'L19'!$AE$28:$AE$29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'L19'!$AF$27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10-466B-4C54-8E00-934E1553ED73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66B-4C54-8E00-934E1553ED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66B-4C54-8E00-934E1553ED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'L19'!$AI$19:$AI$20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'L19'!$AJ$19:$AJ$20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'L19'!$AK$18</c15:f>
                <c15:dlblRangeCache>
                  <c:ptCount val="1"/>
                  <c:pt idx="0">
                    <c:v>0,83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466B-4C54-8E00-934E1553ED73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466B-4C54-8E00-934E1553ED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66B-4C54-8E00-934E1553ED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'L19'!$AI$23:$AI$24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'L19'!$AJ$23:$AJ$24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'L19'!$AK$22</c15:f>
                <c15:dlblRangeCache>
                  <c:ptCount val="1"/>
                  <c:pt idx="0">
                    <c:v>1,76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466B-4C54-8E00-934E1553ED73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'L19'!$AD$32:$AD$33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'L19'!$AE$32:$AE$33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66B-4C54-8E00-934E1553ED73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'L19'!$AD$34:$AD$35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'L19'!$AE$34:$AE$35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466B-4C54-8E00-934E1553ED73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'L19'!$AD$36:$AD$37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'L19'!$AE$36:$AE$37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66B-4C54-8E00-934E1553E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Reações (kN/m)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'L20'!$BC$6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'L20'!$BB$7:$BB$16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'L20'!$BC$7:$BC$16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-0.5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E-441B-B552-3B4BD54C1F84}"/>
            </c:ext>
          </c:extLst>
        </c:ser>
        <c:ser>
          <c:idx val="3"/>
          <c:order val="3"/>
          <c:tx>
            <c:strRef>
              <c:f>'L20'!$BD$6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'L20'!$BB$7:$BB$16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'L20'!$BD$7:$BD$16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</c:v>
                </c:pt>
                <c:pt idx="5">
                  <c:v>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E-441B-B552-3B4BD54C1F84}"/>
            </c:ext>
          </c:extLst>
        </c:ser>
        <c:ser>
          <c:idx val="4"/>
          <c:order val="4"/>
          <c:tx>
            <c:strRef>
              <c:f>'L20'!$BE$6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'L20'!$BB$7:$BB$16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'L20'!$BE$7:$BE$16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E-441B-B552-3B4BD54C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EE-441B-B552-3B4BD54C1F84}"/>
                </c:ext>
              </c:extLst>
            </c:dLbl>
            <c:dLbl>
              <c:idx val="1"/>
              <c:layout>
                <c:manualLayout>
                  <c:x val="-0.12121212121212122"/>
                  <c:y val="-0.28926563966925217"/>
                </c:manualLayout>
              </c:layout>
              <c:tx>
                <c:rich>
                  <a:bodyPr/>
                  <a:lstStyle/>
                  <a:p>
                    <a:fld id="{F661F736-8948-4451-A551-2C2AF7D880E5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{F661F736-8948-4451-A551-2C2AF7D880E5}</c15:txfldGUID>
                      <c15:f>'L20'!$AK$31</c15:f>
                      <c15:dlblFieldTableCache>
                        <c:ptCount val="1"/>
                        <c:pt idx="0">
                          <c:v>1,92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8EE-441B-B552-3B4BD54C1F8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EE-441B-B552-3B4BD54C1F8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EE-441B-B552-3B4BD54C1F8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EE-441B-B552-3B4BD54C1F8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'L20'!$AS$22:$AS$26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'L20'!$AT$22:$AT$26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8EE-441B-B552-3B4BD54C1F84}"/>
            </c:ext>
          </c:extLst>
        </c:ser>
        <c:ser>
          <c:idx val="1"/>
          <c:order val="1"/>
          <c:tx>
            <c:strRef>
              <c:f>'L20'!$AQ$12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'L20'!$AS$27:$AS$39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'L20'!$AT$27:$AT$39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-0.5</c:v>
                </c:pt>
                <c:pt idx="11">
                  <c:v>-0.5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8EE-441B-B552-3B4BD54C1F8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EE-441B-B552-3B4BD54C1F84}"/>
                </c:ext>
              </c:extLst>
            </c:dLbl>
            <c:dLbl>
              <c:idx val="1"/>
              <c:layout>
                <c:manualLayout>
                  <c:x val="-1.5948963317384369E-2"/>
                  <c:y val="6.3276858677648887E-2"/>
                </c:manualLayout>
              </c:layout>
              <c:tx>
                <c:rich>
                  <a:bodyPr/>
                  <a:lstStyle/>
                  <a:p>
                    <a:fld id="{C0C3A5D7-3107-4ED4-BA40-8F744AB684DF}" type="CELLREF">
                      <a:rPr lang="en-US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{C0C3A5D7-3107-4ED4-BA40-8F744AB684DF}</c15:txfldGUID>
                      <c15:f>'L20'!$AK$25</c15:f>
                      <c15:dlblFieldTableCache>
                        <c:ptCount val="1"/>
                        <c:pt idx="0">
                          <c:v>3,21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8EE-441B-B552-3B4BD54C1F8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'L20'!$AI$26:$AI$27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'L20'!$AJ$26:$AJ$27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8EE-441B-B552-3B4BD54C1F84}"/>
            </c:ext>
          </c:extLst>
        </c:ser>
        <c:ser>
          <c:idx val="6"/>
          <c:order val="6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3.1897926634768155E-3"/>
                  <c:y val="-3.6158204958656674E-2"/>
                </c:manualLayout>
              </c:layout>
              <c:tx>
                <c:rich>
                  <a:bodyPr/>
                  <a:lstStyle/>
                  <a:p>
                    <a:fld id="{29DC39A4-5D46-4BE3-908F-23BE118B5BA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58EE-441B-B552-3B4BD54C1F8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8EE-441B-B552-3B4BD54C1F8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'L20'!$AI$29:$AI$30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'L20'!$AJ$29:$AJ$30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'L20'!$AK$28</c15:f>
                <c15:dlblRangeCache>
                  <c:ptCount val="1"/>
                  <c:pt idx="0">
                    <c:v>12,59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58EE-441B-B552-3B4BD54C1F84}"/>
            </c:ext>
          </c:extLst>
        </c:ser>
        <c:ser>
          <c:idx val="7"/>
          <c:order val="7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8EE-441B-B552-3B4BD54C1F8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8EE-441B-B552-3B4BD54C1F8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'L20'!$AI$32:$AI$33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'L20'!$AJ$32:$AJ$33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8EE-441B-B552-3B4BD54C1F8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1.5948963317384369E-2"/>
                  <c:y val="3.6158204958656508E-2"/>
                </c:manualLayout>
              </c:layout>
              <c:tx>
                <c:rich>
                  <a:bodyPr/>
                  <a:lstStyle/>
                  <a:p>
                    <a:fld id="{A61D239D-5654-40AD-BF72-125C681EF556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58EE-441B-B552-3B4BD54C1F8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58EE-441B-B552-3B4BD54C1F8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'L20'!$AI$35:$AI$36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'L20'!$AJ$35:$AJ$36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'L20'!$AK$34</c15:f>
                <c15:dlblRangeCache>
                  <c:ptCount val="1"/>
                  <c:pt idx="0">
                    <c:v>7,55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58EE-441B-B552-3B4BD54C1F84}"/>
            </c:ext>
          </c:extLst>
        </c:ser>
        <c:ser>
          <c:idx val="9"/>
          <c:order val="9"/>
          <c:tx>
            <c:v>trac inf</c:v>
          </c:tx>
          <c:marker>
            <c:symbol val="none"/>
          </c:marker>
          <c:dPt>
            <c:idx val="1"/>
            <c:bubble3D val="0"/>
            <c:spPr>
              <a:ln w="25400">
                <a:solidFill>
                  <a:schemeClr val="bg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58EE-441B-B552-3B4BD54C1F84}"/>
              </c:ext>
            </c:extLst>
          </c:dPt>
          <c:xVal>
            <c:numRef>
              <c:f>'L20'!$AD$32:$AD$33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'L20'!$AE$32:$AE$33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58EE-441B-B552-3B4BD54C1F84}"/>
            </c:ext>
          </c:extLst>
        </c:ser>
        <c:ser>
          <c:idx val="10"/>
          <c:order val="10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'L20'!$AD$34:$AD$35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'L20'!$AE$34:$AE$35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8EE-441B-B552-3B4BD54C1F84}"/>
            </c:ext>
          </c:extLst>
        </c:ser>
        <c:ser>
          <c:idx val="11"/>
          <c:order val="11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'L20'!$AD$36:$AD$37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'L20'!$AE$36:$AE$37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8EE-441B-B552-3B4BD54C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Momentos</a:t>
            </a:r>
            <a:r>
              <a:rPr lang="pt-BR" baseline="0"/>
              <a:t> Fletores (kNm/m)</a:t>
            </a:r>
            <a:endParaRPr lang="pt-B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5087719298245612E-2"/>
          <c:y val="0.14452000338805226"/>
          <c:w val="0.92982456140350878"/>
          <c:h val="0.80576246479379499"/>
        </c:manualLayout>
      </c:layout>
      <c:areaChart>
        <c:grouping val="stacked"/>
        <c:varyColors val="0"/>
        <c:ser>
          <c:idx val="2"/>
          <c:order val="2"/>
          <c:tx>
            <c:strRef>
              <c:f>'L20'!$BC$6</c:f>
              <c:strCache>
                <c:ptCount val="1"/>
                <c:pt idx="0">
                  <c:v>aa</c:v>
                </c:pt>
              </c:strCache>
            </c:strRef>
          </c:tx>
          <c:cat>
            <c:numRef>
              <c:f>'L20'!$BB$7:$BB$16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'L20'!$BC$7:$BC$16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-0.5</c:v>
                </c:pt>
                <c:pt idx="5">
                  <c:v>-0.5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B-47A0-A26B-B6BF939A6D99}"/>
            </c:ext>
          </c:extLst>
        </c:ser>
        <c:ser>
          <c:idx val="3"/>
          <c:order val="3"/>
          <c:tx>
            <c:strRef>
              <c:f>'L20'!$BD$6</c:f>
              <c:strCache>
                <c:ptCount val="1"/>
                <c:pt idx="0">
                  <c:v>bb</c:v>
                </c:pt>
              </c:strCache>
            </c:strRef>
          </c:tx>
          <c:spPr>
            <a:noFill/>
          </c:spPr>
          <c:cat>
            <c:numRef>
              <c:f>'L20'!$BB$7:$BB$16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'L20'!$BD$7:$BD$16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6.5</c:v>
                </c:pt>
                <c:pt idx="5">
                  <c:v>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8B-47A0-A26B-B6BF939A6D99}"/>
            </c:ext>
          </c:extLst>
        </c:ser>
        <c:ser>
          <c:idx val="4"/>
          <c:order val="4"/>
          <c:tx>
            <c:strRef>
              <c:f>'L20'!$BE$6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cat>
            <c:numRef>
              <c:f>'L20'!$BB$7:$BB$16</c:f>
              <c:numCache>
                <c:formatCode>General</c:formatCode>
                <c:ptCount val="10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142.85714285714286</c:v>
                </c:pt>
                <c:pt idx="4">
                  <c:v>142.85714285714286</c:v>
                </c:pt>
                <c:pt idx="5">
                  <c:v>857.14285714285711</c:v>
                </c:pt>
                <c:pt idx="6">
                  <c:v>857.14285714285711</c:v>
                </c:pt>
                <c:pt idx="7">
                  <c:v>857.14285714285711</c:v>
                </c:pt>
                <c:pt idx="8">
                  <c:v>857.14285714285711</c:v>
                </c:pt>
                <c:pt idx="9">
                  <c:v>1000</c:v>
                </c:pt>
              </c:numCache>
            </c:numRef>
          </c:cat>
          <c:val>
            <c:numRef>
              <c:f>'L20'!$BE$7:$BE$16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8B-47A0-A26B-B6BF939A6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00200"/>
        <c:axId val="480004136"/>
      </c:areaChar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'L20'!$AS$22:$AS$26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'L20'!$AT$22:$AT$26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8B-47A0-A26B-B6BF939A6D99}"/>
            </c:ext>
          </c:extLst>
        </c:ser>
        <c:ser>
          <c:idx val="1"/>
          <c:order val="1"/>
          <c:tx>
            <c:strRef>
              <c:f>'L20'!$AQ$12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none"/>
          </c:marker>
          <c:xVal>
            <c:numRef>
              <c:f>'L20'!$AS$27:$AS$39</c:f>
              <c:numCache>
                <c:formatCode>General</c:formatCode>
                <c:ptCount val="13"/>
                <c:pt idx="0">
                  <c:v>0</c:v>
                </c:pt>
                <c:pt idx="1">
                  <c:v>-0.5</c:v>
                </c:pt>
                <c:pt idx="2">
                  <c:v>-0.5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'L20'!$AT$27:$AT$39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-0.5</c:v>
                </c:pt>
                <c:pt idx="11">
                  <c:v>-0.5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8B-47A0-A26B-B6BF939A6D99}"/>
            </c:ext>
          </c:extLst>
        </c:ser>
        <c:ser>
          <c:idx val="5"/>
          <c:order val="5"/>
          <c:tx>
            <c:strRef>
              <c:f>'L20'!$Q$7</c:f>
              <c:strCache>
                <c:ptCount val="1"/>
                <c:pt idx="0">
                  <c:v>-2,38 kNm/m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2554345778548014E-2"/>
                  <c:y val="-3.389813920481851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C0F01CE-606E-4C8E-A48A-9DE246A099A8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55023923444974"/>
                      <c:h val="0.1636386542599418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18B-47A0-A26B-B6BF939A6D99}"/>
                </c:ext>
              </c:extLst>
            </c:dLbl>
            <c:dLbl>
              <c:idx val="1"/>
              <c:layout>
                <c:manualLayout>
                  <c:x val="-0.18341307814992036"/>
                  <c:y val="-5.875690511389482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/>
                    </a:pPr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09250398724082"/>
                      <c:h val="0.20431663483843043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6-018B-47A0-A26B-B6BF939A6D9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'L20'!$AD$19:$AD$20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'L20'!$AE$19:$AE$20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'L20'!$AF$18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7-018B-47A0-A26B-B6BF939A6D99}"/>
            </c:ext>
          </c:extLst>
        </c:ser>
        <c:ser>
          <c:idx val="6"/>
          <c:order val="6"/>
          <c:tx>
            <c:v>me esq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5.1036682615629957E-2"/>
                  <c:y val="-3.615820495865650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6C12003B-8AE0-4F7A-A077-B1BC129F37F3}" type="CELLRANGE">
                      <a:rPr lang="en-US"/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18B-47A0-A26B-B6BF939A6D9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18B-47A0-A26B-B6BF939A6D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'L20'!$AD$22:$AD$23</c:f>
              <c:numCache>
                <c:formatCode>General</c:formatCode>
                <c:ptCount val="2"/>
                <c:pt idx="0">
                  <c:v>-0.49999999999999989</c:v>
                </c:pt>
                <c:pt idx="1">
                  <c:v>0.49999999999999989</c:v>
                </c:pt>
              </c:numCache>
            </c:numRef>
          </c:xVal>
          <c:yVal>
            <c:numRef>
              <c:f>'L20'!$AE$22:$AE$23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'L20'!$AF$21</c15:f>
                <c15:dlblRangeCache>
                  <c:ptCount val="1"/>
                  <c:pt idx="0">
                    <c:v>-2,38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018B-47A0-A26B-B6BF939A6D99}"/>
            </c:ext>
          </c:extLst>
        </c:ser>
        <c:ser>
          <c:idx val="7"/>
          <c:order val="7"/>
          <c:tx>
            <c:v>me sup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1.5948963317384369E-2"/>
                  <c:y val="0.10847461487596949"/>
                </c:manualLayout>
              </c:layout>
              <c:tx>
                <c:rich>
                  <a:bodyPr/>
                  <a:lstStyle/>
                  <a:p>
                    <a:fld id="{D19CA77F-A753-4765-8FE5-1A93A379929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18B-47A0-A26B-B6BF939A6D9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18B-47A0-A26B-B6BF939A6D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'L20'!$AD$25:$AD$26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'L20'!$AE$25:$AE$26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'L20'!$AF$24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D-018B-47A0-A26B-B6BF939A6D99}"/>
            </c:ext>
          </c:extLst>
        </c:ser>
        <c:ser>
          <c:idx val="8"/>
          <c:order val="8"/>
          <c:tx>
            <c:v>me inf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12121212121212122"/>
                  <c:y val="4.519775619832063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FD9416E0-ABB9-4A69-A447-DC9B8A3CC123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18B-47A0-A26B-B6BF939A6D9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18B-47A0-A26B-B6BF939A6D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'L20'!$AD$28:$AD$29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'L20'!$AE$28:$AE$29</c:f>
              <c:numCache>
                <c:formatCode>General</c:formatCode>
                <c:ptCount val="2"/>
                <c:pt idx="0">
                  <c:v>0.59999999999999987</c:v>
                </c:pt>
                <c:pt idx="1">
                  <c:v>-0.59999999999999987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'L20'!$AF$27</c15:f>
                <c15:dlblRangeCache>
                  <c:ptCount val="1"/>
                  <c:pt idx="0">
                    <c:v>-5,92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018B-47A0-A26B-B6BF939A6D99}"/>
            </c:ext>
          </c:extLst>
        </c:ser>
        <c:ser>
          <c:idx val="9"/>
          <c:order val="9"/>
          <c:tx>
            <c:v>mv x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6.3795853269537475E-2"/>
                  <c:y val="-3.16384293388244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8415D746-2EEA-48D3-BA39-2CFDC48A929D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18B-47A0-A26B-B6BF939A6D9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18B-47A0-A26B-B6BF939A6D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xVal>
            <c:numRef>
              <c:f>'L20'!$AI$19:$AI$20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'L20'!$AJ$19:$AJ$20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'L20'!$AK$18</c15:f>
                <c15:dlblRangeCache>
                  <c:ptCount val="1"/>
                  <c:pt idx="0">
                    <c:v>1,34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018B-47A0-A26B-B6BF939A6D99}"/>
            </c:ext>
          </c:extLst>
        </c:ser>
        <c:ser>
          <c:idx val="10"/>
          <c:order val="10"/>
          <c:tx>
            <c:v>mvao y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8708133971291867E-2"/>
                  <c:y val="2.711865371899238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FF0000"/>
                        </a:solidFill>
                      </a:defRPr>
                    </a:pPr>
                    <a:fld id="{7F02FB84-A3E4-4986-AA6B-D23C50FFB7AE}" type="CELLRANGE">
                      <a:rPr lang="en-US">
                        <a:solidFill>
                          <a:srgbClr val="FF0000"/>
                        </a:solidFill>
                      </a:rPr>
                      <a:pPr>
                        <a:defRPr>
                          <a:solidFill>
                            <a:srgbClr val="FF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18B-47A0-A26B-B6BF939A6D9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18B-47A0-A26B-B6BF939A6D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'L20'!$AI$23:$AI$24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'L20'!$AJ$23:$AJ$24</c:f>
              <c:numCache>
                <c:formatCode>General</c:formatCode>
                <c:ptCount val="2"/>
                <c:pt idx="0">
                  <c:v>2.4000000000000004</c:v>
                </c:pt>
                <c:pt idx="1">
                  <c:v>3.5999999999999996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'L20'!$AK$22</c15:f>
                <c15:dlblRangeCache>
                  <c:ptCount val="1"/>
                  <c:pt idx="0">
                    <c:v>3,33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018B-47A0-A26B-B6BF939A6D99}"/>
            </c:ext>
          </c:extLst>
        </c:ser>
        <c:ser>
          <c:idx val="11"/>
          <c:order val="11"/>
          <c:tx>
            <c:v>trac inf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'L20'!$AD$32:$AD$33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'L20'!$AE$32:$AE$33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18B-47A0-A26B-B6BF939A6D99}"/>
            </c:ext>
          </c:extLst>
        </c:ser>
        <c:ser>
          <c:idx val="12"/>
          <c:order val="12"/>
          <c:tx>
            <c:v>trac sup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'L20'!$AD$34:$AD$35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'L20'!$AE$34:$AE$35</c:f>
              <c:numCache>
                <c:formatCode>0.00" m"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18B-47A0-A26B-B6BF939A6D99}"/>
            </c:ext>
          </c:extLst>
        </c:ser>
        <c:ser>
          <c:idx val="13"/>
          <c:order val="13"/>
          <c:tx>
            <c:v>trac dir</c:v>
          </c:tx>
          <c:spPr>
            <a:ln w="25400">
              <a:solidFill>
                <a:schemeClr val="bg1"/>
              </a:solidFill>
              <a:prstDash val="dash"/>
            </a:ln>
          </c:spPr>
          <c:marker>
            <c:symbol val="none"/>
          </c:marker>
          <c:xVal>
            <c:numRef>
              <c:f>'L20'!$AD$36:$AD$37</c:f>
              <c:numCache>
                <c:formatCode>0.00" m"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'L20'!$AE$36:$AE$37</c:f>
              <c:numCache>
                <c:formatCode>0.00" m"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18B-47A0-A26B-B6BF939A6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010040"/>
        <c:axId val="480011680"/>
      </c:scatterChart>
      <c:valAx>
        <c:axId val="480010040"/>
        <c:scaling>
          <c:orientation val="minMax"/>
          <c:max val="6"/>
          <c:min val="-1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80011680"/>
        <c:crosses val="autoZero"/>
        <c:crossBetween val="midCat"/>
      </c:valAx>
      <c:valAx>
        <c:axId val="480011680"/>
        <c:scaling>
          <c:orientation val="minMax"/>
          <c:max val="7"/>
          <c:min val="-1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crossAx val="480010040"/>
        <c:crosses val="autoZero"/>
        <c:crossBetween val="midCat"/>
      </c:valAx>
      <c:valAx>
        <c:axId val="4800041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80000200"/>
        <c:crosses val="max"/>
        <c:crossBetween val="between"/>
      </c:valAx>
      <c:dateAx>
        <c:axId val="4800002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0004136"/>
        <c:crosses val="max"/>
        <c:auto val="0"/>
        <c:lblOffset val="100"/>
        <c:baseTimeUnit val="days"/>
      </c:dateAx>
    </c:plotArea>
    <c:plotVisOnly val="0"/>
    <c:dispBlanksAs val="gap"/>
    <c:showDLblsOverMax val="0"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hyperlink" Target="mailto:matheuscarini@gmail.com" TargetMode="Externa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image" Target="../media/image3.png"/><Relationship Id="rId5" Type="http://schemas.openxmlformats.org/officeDocument/2006/relationships/hyperlink" Target="https://www.instagram.com/professordeestruturas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rofessordeestruturas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8F24D6-EEBC-4CC3-8E07-F11F230DB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A24B36-3873-409E-8C14-AF667037B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323" name="Imagem 322">
          <a:extLst>
            <a:ext uri="{FF2B5EF4-FFF2-40B4-BE49-F238E27FC236}">
              <a16:creationId xmlns:a16="http://schemas.microsoft.com/office/drawing/2014/main" id="{9864B561-7ADF-4A25-B493-0F84AFBCA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8999" y="2878773"/>
          <a:ext cx="5917522" cy="2569527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75CC3915-A50B-0E70-A77B-DAF76F0DF14C}"/>
            </a:ext>
          </a:extLst>
        </xdr:cNvPr>
        <xdr:cNvGrpSpPr/>
      </xdr:nvGrpSpPr>
      <xdr:grpSpPr>
        <a:xfrm>
          <a:off x="336550" y="5435600"/>
          <a:ext cx="10713749" cy="311271"/>
          <a:chOff x="323850" y="6010275"/>
          <a:chExt cx="10264486" cy="327146"/>
        </a:xfrm>
      </xdr:grpSpPr>
      <xdr:pic>
        <xdr:nvPicPr>
          <xdr:cNvPr id="8" name="Imagem 7">
            <a:extLst>
              <a:ext uri="{FF2B5EF4-FFF2-40B4-BE49-F238E27FC236}">
                <a16:creationId xmlns:a16="http://schemas.microsoft.com/office/drawing/2014/main" id="{9E4F1157-3BAC-7A94-6C11-CE7FE0CB74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6A2715F7-D4D4-6770-050B-C550DA3CB3A2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4" name="Imagem 3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2EA9CF7-37A9-CE1C-2C21-0F092574397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6" name="Imagem 5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1FEA141B-122F-B9DD-0696-F8FCB8A812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4" name="Imagem 13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029A9A6B-E974-3DB9-4023-5417D482D7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1C33BDD6-BE19-47A3-A323-0BD9A5AEB2AB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1922C3-E054-4B65-8A47-D43E406CE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0A8354-AB3A-4ADB-91BD-2661F4AC3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838A04D-5BA3-467E-8ED3-2E0279B56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F85EE033-2AE6-4AFD-A233-6BF6B5C8FDDA}"/>
            </a:ext>
          </a:extLst>
        </xdr:cNvPr>
        <xdr:cNvGrpSpPr/>
      </xdr:nvGrpSpPr>
      <xdr:grpSpPr>
        <a:xfrm>
          <a:off x="336550" y="5535613"/>
          <a:ext cx="10750262" cy="319209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55463FF5-7D18-B832-C399-D5F708F09B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BC14999F-9987-8715-076E-0C0E122AB2CE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A218F45B-2A71-C616-B14F-3E8ECD33F5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CECB09A5-2CB6-3860-3097-5B9E708EC7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B84C25B3-9450-44C2-9520-9C3E374F07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85A44231-3225-1C94-45AF-EA805F3A2D10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BE8B7E-D208-4435-A6AE-7AE4657ED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7FDC3F-08D8-443E-B787-AEFF2653C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B98D969-9147-4C75-A8FC-2DA80B672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7677859F-7F56-47F5-8C80-DB106CE5D868}"/>
            </a:ext>
          </a:extLst>
        </xdr:cNvPr>
        <xdr:cNvGrpSpPr/>
      </xdr:nvGrpSpPr>
      <xdr:grpSpPr>
        <a:xfrm>
          <a:off x="336550" y="5435600"/>
          <a:ext cx="10713749" cy="311271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4EC20A1D-39F9-6E31-92BC-0F1C3E56FF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502F9933-6EB4-958C-FD60-4552D7E8F6DF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C0C21835-05ED-1951-D043-D0CFB2254E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FB78FE09-CEFF-5838-D7CB-3A80AAC509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7A59F164-3198-00BB-F8E4-6F90E1F6810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36A98B8B-0B40-7B54-52B2-D6ADFBA1EC2E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0EA48D-ADAF-4792-B8DD-AA8BCB2A5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8E4264-5192-4A4F-A7C9-3B23E977A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B93E52B-5E83-45D8-84D1-9FC5EF07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B4F04387-0005-44FA-A222-4091C56FCF17}"/>
            </a:ext>
          </a:extLst>
        </xdr:cNvPr>
        <xdr:cNvGrpSpPr/>
      </xdr:nvGrpSpPr>
      <xdr:grpSpPr>
        <a:xfrm>
          <a:off x="336550" y="5502275"/>
          <a:ext cx="10730153" cy="316563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C9B51814-0C9C-E49F-A2E2-C10C74F065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5ADC92FC-DD71-D0C5-F956-B2F942B012F9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E3D6592B-86CC-E53A-59E3-14EB0A430F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EAF0E1B3-3DE5-ADCA-99B7-0D285B7B62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32DF6FDA-2F86-98DE-5096-ECDEDFBC02E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EE5F1C9E-BED9-5FF7-252D-2372F4C96368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331E98-6D37-4A76-9E33-F455C0B07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C9ABF4-0FDC-4F5C-9926-B39E43B0F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6CD4553-9864-4C91-8E24-A0AF0A6B2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1755141E-27A6-4575-A2C9-1CCD12B210BF}"/>
            </a:ext>
          </a:extLst>
        </xdr:cNvPr>
        <xdr:cNvGrpSpPr/>
      </xdr:nvGrpSpPr>
      <xdr:grpSpPr>
        <a:xfrm>
          <a:off x="336550" y="5535613"/>
          <a:ext cx="10750262" cy="319209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988E0DB2-14D4-D4B5-DAB2-236ABD16AC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8F6AD020-5238-D526-2EF4-6A2637E17760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A324FC5B-17F2-5B72-25DA-A5D24E3508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4C4576AC-C6B1-C4A3-9B33-2DA8927D675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B3737C87-80EC-4317-1AB5-44932108547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E64364B-866E-FA81-0687-DC3BEB0D4DAA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F6352F-8049-49B2-BCB6-FEFB7D564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9BC737-9078-426A-B587-37309052C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7ED991B-B46C-4331-8821-358C9EB1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E5D8C207-4BDB-4CDC-B15F-3C433F70BF4A}"/>
            </a:ext>
          </a:extLst>
        </xdr:cNvPr>
        <xdr:cNvGrpSpPr/>
      </xdr:nvGrpSpPr>
      <xdr:grpSpPr>
        <a:xfrm>
          <a:off x="336550" y="5535613"/>
          <a:ext cx="10750262" cy="319209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1602AABE-BD95-D8CF-18CB-A9CBD8292B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CE7935EA-8B01-C9F4-14F0-CBD9D951170E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A22574ED-AEA0-5501-85A3-ADD3F55AF24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D83A35E2-5AE4-3E86-E20C-FB1BB9F2EC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9F46FF96-6206-E8F7-AFDB-0750398751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75F21CD5-37CC-36FF-351B-38E75643A1B8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C141F8-92C7-4090-B09F-6576164B8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D94BE5-F455-41DA-BADD-8C86D16D0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5EAA79-CBEB-4741-B68B-4583053F7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34758B6C-19D0-4474-8895-5F59656386A5}"/>
            </a:ext>
          </a:extLst>
        </xdr:cNvPr>
        <xdr:cNvGrpSpPr/>
      </xdr:nvGrpSpPr>
      <xdr:grpSpPr>
        <a:xfrm>
          <a:off x="336550" y="5535613"/>
          <a:ext cx="10750262" cy="319209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8C3C4323-E594-5B79-124D-7383A3F5ED4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AEC22491-4F1A-2F2E-162F-D54CA8EB0AE6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4DC17A02-BC64-78E9-4887-1122142417B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4CAA3BAA-3359-F8E0-221E-D5A988B7F3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86FF32CA-7F20-DA98-928E-B4F354F1B43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E991E19E-974D-5857-0B66-2A1C3B313FF2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6FA5A2-E7C4-4539-A616-27E7D2727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0C1C9A-C0CD-45B2-AEAB-E4EAEBB86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01C6325-5E8E-40F3-87B6-E4B1A1F5A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F85A323-B881-47BB-A8B8-A8EDCDF82C26}"/>
            </a:ext>
          </a:extLst>
        </xdr:cNvPr>
        <xdr:cNvGrpSpPr/>
      </xdr:nvGrpSpPr>
      <xdr:grpSpPr>
        <a:xfrm>
          <a:off x="336550" y="5502275"/>
          <a:ext cx="10730153" cy="316563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BD40BEBC-486F-F6D3-A56A-40D0372E03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12854186-88F6-C011-0594-5F6A76D4F9E3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C0FAC61D-D574-5CBF-A235-BA55592F643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B0BE4044-7350-A1E7-F1AE-B74E4777CB5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B0FC8BA4-C2DD-A67E-4439-CEC26CA395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A6CDD0-D62D-AE10-1AB8-923E00B2FDAF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CED8FA-8845-4ECF-A156-BE0BC0444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258ED85-2B09-4D2E-9672-0B8FF3D55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C5FB3CA-B187-49DA-9F84-A1B45DAF1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F4A0E2D1-0BB8-4BC0-85A9-B56039627388}"/>
            </a:ext>
          </a:extLst>
        </xdr:cNvPr>
        <xdr:cNvGrpSpPr/>
      </xdr:nvGrpSpPr>
      <xdr:grpSpPr>
        <a:xfrm>
          <a:off x="336550" y="5435600"/>
          <a:ext cx="10713749" cy="311271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2E04FE21-B622-4CB5-813C-3C35E873BF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91C7796B-DEAB-ED7F-487E-19EF153136D1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9256F2F-3E82-94FA-9A18-F2043F316BF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5AA4F444-4913-E503-01C3-F3F12E77BA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5743E6B9-D20C-D8C4-21E9-1A5CF0DD21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79CFFD28-F122-B62C-7D8C-A1E98204790F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CB31A-E5A2-49E1-AB6B-5414F034A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4552BA-B32C-4025-A6C3-592FDE6CA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1CB7F3-921A-4260-9A33-A3F978D72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8E32413A-A467-4B27-ACE1-7D93B1AF285D}"/>
            </a:ext>
          </a:extLst>
        </xdr:cNvPr>
        <xdr:cNvGrpSpPr/>
      </xdr:nvGrpSpPr>
      <xdr:grpSpPr>
        <a:xfrm>
          <a:off x="336550" y="5502275"/>
          <a:ext cx="10730153" cy="316563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5898EE53-4A5E-68B0-5135-2AA08C454F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C4135AC2-BE93-CC68-23F6-AEF9E1FFB312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9E98E5FB-E77D-D2E3-BCCD-2E60FB74BBF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D33874D3-05F5-31D0-0393-6F7FB88BF3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1F6DB0A3-30F4-2F63-9197-398840DB49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9152E0B4-33EB-4F33-D2A1-18A8AB0F2849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1CF6BD-5D72-4DB3-94F3-CF6A8304A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776B79-AA58-479B-954F-FD30B58E1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4FFA1D0-D218-4733-A414-326FD8AA1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B66351F1-5F93-414C-AB91-B26249A0F995}"/>
            </a:ext>
          </a:extLst>
        </xdr:cNvPr>
        <xdr:cNvGrpSpPr/>
      </xdr:nvGrpSpPr>
      <xdr:grpSpPr>
        <a:xfrm>
          <a:off x="336550" y="5502275"/>
          <a:ext cx="10730153" cy="316563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D1CEDA70-FE1E-9B9C-6B55-7080BEB600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0D521F9A-3512-40D0-94EE-0E8F09F3DE37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D8E11A8D-492E-D1B4-DE7A-72800C5A7C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5C5764C8-A174-FD3B-9CFF-E22803585B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54484E48-6964-9604-72AD-9926A26FD8F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D281FA6B-3DCC-7124-ECC6-76A159426769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013FB-7660-4FE6-AD67-C1F42D6B0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02CCE8-883A-4731-B232-DA02863DA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5CC2DAF-085E-4862-8528-714026FFE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149B5D0D-26D3-4D24-B400-5535BDF7F368}"/>
            </a:ext>
          </a:extLst>
        </xdr:cNvPr>
        <xdr:cNvGrpSpPr/>
      </xdr:nvGrpSpPr>
      <xdr:grpSpPr>
        <a:xfrm>
          <a:off x="336550" y="5435600"/>
          <a:ext cx="10713749" cy="311271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31092892-843C-623C-213D-71E0211058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EEFF3EB4-8D33-BA0B-592C-F0D2A8BE7FC9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4C311967-933A-A822-7803-A33FCDD070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62D5690A-8EB7-6C65-C2C9-034809050CA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39A00250-7F80-26B8-C731-7631573972D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80669153-F9B8-784C-1E1B-2231BD856A4D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C63CF7-C265-4436-84AE-B7E5D3632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3805E7-DEC3-4967-A69E-1DBDC5DCD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9653AFA-3660-43B9-B020-9A52D984A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9EF9CEC3-0B5A-498A-AC73-B52468031A31}"/>
            </a:ext>
          </a:extLst>
        </xdr:cNvPr>
        <xdr:cNvGrpSpPr/>
      </xdr:nvGrpSpPr>
      <xdr:grpSpPr>
        <a:xfrm>
          <a:off x="336550" y="5435600"/>
          <a:ext cx="10713749" cy="311271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17326CCD-57C9-15F2-5F3E-780F161BB8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15A2B4A4-8A83-A32A-B708-DF4D536804BF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6A645176-DFE7-3F68-750A-3C283955DC4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C1DA6BE-2884-F1B6-FE98-87FC9EEA02C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667D40F3-C7D4-9B23-1E25-44B1AA844FF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5218D8E0-1913-73A6-3DFE-6D777703B095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D26F73-B1A8-429D-B638-F51F2DAA7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211431-7443-47D2-A9AC-FDA91D3CE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527119-C2EE-4DDD-90B8-2EA7A52C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808F141-CA38-4849-8598-3F850C684B2F}"/>
            </a:ext>
          </a:extLst>
        </xdr:cNvPr>
        <xdr:cNvGrpSpPr/>
      </xdr:nvGrpSpPr>
      <xdr:grpSpPr>
        <a:xfrm>
          <a:off x="336550" y="5502275"/>
          <a:ext cx="10730153" cy="316563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468F8655-A314-FF7D-6D94-197F25A81D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3DAEA49F-686E-77FF-4AAA-88F11091915B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1A5BECDA-C0EB-90D0-342C-F7E448B827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D8540BC-2A18-8395-AE95-A59B37F8B89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386BAE60-C3F6-7065-8FF3-B42F7B2D5EA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D97023F0-4EAF-1DC9-010A-A7AD0523BA3E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4051BE-3D15-4BB7-A13C-0D6DFD291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6E21B0-F38E-465E-8004-5365CE36E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DD4D939-2B7F-4F59-9D14-6E191749A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9A5E7804-E7F1-494F-84BA-4C72FD9A6C47}"/>
            </a:ext>
          </a:extLst>
        </xdr:cNvPr>
        <xdr:cNvGrpSpPr/>
      </xdr:nvGrpSpPr>
      <xdr:grpSpPr>
        <a:xfrm>
          <a:off x="336550" y="5535613"/>
          <a:ext cx="10750262" cy="319209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5784543E-D131-ED0E-EC18-E50FE00309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9579D1E8-C838-8939-EDED-F3B48EFCC0D9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79278D91-5F86-E97B-8456-A6174CFD03A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C2A1C781-20A0-7209-23FD-FE23DD302A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DC3848B1-CFF9-8D92-3AEF-A4F461C9B97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98F03CAE-4315-E1E6-0094-097CC4864BE9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25EBAA-5189-402C-A32C-9724879B7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2E7585-6C6F-4195-BC5F-B90A37731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DA19C6C-FBE8-4843-B400-646EA1446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B04D1D9A-DB76-47C7-884A-1AB00CE7D4C8}"/>
            </a:ext>
          </a:extLst>
        </xdr:cNvPr>
        <xdr:cNvGrpSpPr/>
      </xdr:nvGrpSpPr>
      <xdr:grpSpPr>
        <a:xfrm>
          <a:off x="336550" y="5435600"/>
          <a:ext cx="10713749" cy="311271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D9C50488-F304-3C8F-DD35-DEB710C370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70EA993C-6135-B92A-B987-D90690115739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16F7A95C-B1A4-1657-DF26-DCDE1691F7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B92C6D25-8373-7AF3-A6D7-DEB13AC6BF6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C8A4F0F8-10C1-C013-382E-32A2353BC7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66360D04-A585-FF2E-E6F3-62C1EC308FC4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94E609-B450-4783-80FF-374A57D4D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031F62-6A5B-498F-A08D-9F740F4E5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C4EB108-929C-4F87-914C-6E59D08A9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CE6927E0-811B-4D00-ACFC-11B19EEF0CD8}"/>
            </a:ext>
          </a:extLst>
        </xdr:cNvPr>
        <xdr:cNvGrpSpPr/>
      </xdr:nvGrpSpPr>
      <xdr:grpSpPr>
        <a:xfrm>
          <a:off x="336550" y="5435600"/>
          <a:ext cx="10713749" cy="311271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13D48637-3737-3F42-7F31-8C2A314467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133A14F8-DE1F-FD8F-51A4-353C5B910A75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529E0C03-F9CD-963E-37AC-F97D849EC6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2C2B9B4D-BA2D-96D6-F051-62C9E0C2D9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3798A59D-D628-A145-EC1E-180EC38E9F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0E6F4EE4-9B1E-BB15-64DB-64A448260633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AABE7F-4A99-4BF7-9DBF-824732049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8520B9-13A9-4455-8E9C-43F515380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D5B37F1-E48C-401B-963D-B5E88805E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C8D11552-6946-47BB-BD05-66D0C6FE6B66}"/>
            </a:ext>
          </a:extLst>
        </xdr:cNvPr>
        <xdr:cNvGrpSpPr/>
      </xdr:nvGrpSpPr>
      <xdr:grpSpPr>
        <a:xfrm>
          <a:off x="336550" y="5435600"/>
          <a:ext cx="10713749" cy="311271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7B3D82B8-FAB6-544C-1541-1B36407FFB1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81035105-4C93-4A0C-5C01-31896A75E843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3E96B59C-B4A8-71CF-983E-F66A9C02820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32C7C486-E900-A33E-11C8-07239716CAB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44BD4961-3522-A510-2C55-2BE032BB008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6577C89B-896D-63C8-55A2-9236282E31B2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21959C-BE8E-49CD-99F4-E1FED46FB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18BD4D-4979-41AB-A610-B661194E7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BAB67BA-6A4D-44AF-A418-442A97E6B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5176B477-1549-4968-86C9-F1223D0C4754}"/>
            </a:ext>
          </a:extLst>
        </xdr:cNvPr>
        <xdr:cNvGrpSpPr/>
      </xdr:nvGrpSpPr>
      <xdr:grpSpPr>
        <a:xfrm>
          <a:off x="336550" y="5435600"/>
          <a:ext cx="10713749" cy="311271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43833F1E-0150-8AFC-CEB4-7DF94624FA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417698F9-6FF5-89A4-D0A7-5AB17E91B20E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9EFBF577-D7FD-4289-0BE5-22C1D9E6DD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F2859DB5-74E3-539A-E7B8-301EA301021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E49553DC-7019-1BC5-23D4-A500C78C1D2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67DD43F0-BA51-19CD-28D3-D4C0EE7A4665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0</xdr:row>
      <xdr:rowOff>0</xdr:rowOff>
    </xdr:from>
    <xdr:to>
      <xdr:col>24</xdr:col>
      <xdr:colOff>600075</xdr:colOff>
      <xdr:row>14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09AD12-858F-429C-80BB-256EA7205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9525</xdr:colOff>
      <xdr:row>14</xdr:row>
      <xdr:rowOff>85725</xdr:rowOff>
    </xdr:from>
    <xdr:to>
      <xdr:col>25</xdr:col>
      <xdr:colOff>66675</xdr:colOff>
      <xdr:row>29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658395-ECE8-4344-B6E8-0D0B3A2B6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76199</xdr:colOff>
      <xdr:row>15</xdr:row>
      <xdr:rowOff>2223</xdr:rowOff>
    </xdr:from>
    <xdr:to>
      <xdr:col>19</xdr:col>
      <xdr:colOff>12021</xdr:colOff>
      <xdr:row>28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70DD660-7756-4CEA-86CE-CEE3BB0F9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7749" y="2789873"/>
          <a:ext cx="6203272" cy="2483802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29</xdr:row>
      <xdr:rowOff>104775</xdr:rowOff>
    </xdr:from>
    <xdr:to>
      <xdr:col>20</xdr:col>
      <xdr:colOff>377536</xdr:colOff>
      <xdr:row>31</xdr:row>
      <xdr:rowOff>50921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5D87D0CB-70AA-4AF4-89A3-177015B434E0}"/>
            </a:ext>
          </a:extLst>
        </xdr:cNvPr>
        <xdr:cNvGrpSpPr/>
      </xdr:nvGrpSpPr>
      <xdr:grpSpPr>
        <a:xfrm>
          <a:off x="336550" y="5435600"/>
          <a:ext cx="10713749" cy="311271"/>
          <a:chOff x="323850" y="6010275"/>
          <a:chExt cx="10264486" cy="327146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844A18EC-75D3-B2B1-DEF5-FD9CE6EE60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3850" y="6029324"/>
            <a:ext cx="10077450" cy="299173"/>
          </a:xfrm>
          <a:prstGeom prst="rect">
            <a:avLst/>
          </a:prstGeom>
        </xdr:spPr>
      </xdr:pic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57DE3F2C-73F1-D094-2B89-4A3D896B8276}"/>
              </a:ext>
            </a:extLst>
          </xdr:cNvPr>
          <xdr:cNvGrpSpPr/>
        </xdr:nvGrpSpPr>
        <xdr:grpSpPr>
          <a:xfrm>
            <a:off x="7286625" y="6010275"/>
            <a:ext cx="1050318" cy="301476"/>
            <a:chOff x="7286625" y="6010275"/>
            <a:chExt cx="1050318" cy="301476"/>
          </a:xfrm>
        </xdr:grpSpPr>
        <xdr:pic>
          <xdr:nvPicPr>
            <xdr:cNvPr id="9" name="Imagem 8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4CBCB943-A049-A9B7-0B86-5A973C2491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286625" y="6070692"/>
              <a:ext cx="204404" cy="203388"/>
            </a:xfrm>
            <a:prstGeom prst="rect">
              <a:avLst/>
            </a:prstGeom>
          </xdr:spPr>
        </xdr:pic>
        <xdr:pic>
          <xdr:nvPicPr>
            <xdr:cNvPr id="10" name="Imagem 9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CB4DDA70-4DC1-F229-CE41-6194815619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33331" y="6010275"/>
              <a:ext cx="303612" cy="301476"/>
            </a:xfrm>
            <a:prstGeom prst="rect">
              <a:avLst/>
            </a:prstGeom>
          </xdr:spPr>
        </xdr:pic>
        <xdr:pic>
          <xdr:nvPicPr>
            <xdr:cNvPr id="11" name="Imagem 10">
              <a:hlinkClick xmlns:r="http://schemas.openxmlformats.org/officeDocument/2006/relationships" r:id="rId9"/>
              <a:extLst>
                <a:ext uri="{FF2B5EF4-FFF2-40B4-BE49-F238E27FC236}">
                  <a16:creationId xmlns:a16="http://schemas.microsoft.com/office/drawing/2014/main" id="{45900252-6A61-52D5-2292-3F0AE4CE76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644665" y="6072778"/>
              <a:ext cx="228600" cy="199215"/>
            </a:xfrm>
            <a:prstGeom prst="rect">
              <a:avLst/>
            </a:prstGeom>
          </xdr:spPr>
        </xdr:pic>
      </xdr:grp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79FC8D99-7981-CFC1-75DD-9F4D290D416D}"/>
              </a:ext>
            </a:extLst>
          </xdr:cNvPr>
          <xdr:cNvSpPr txBox="1"/>
        </xdr:nvSpPr>
        <xdr:spPr>
          <a:xfrm>
            <a:off x="9588211" y="6051671"/>
            <a:ext cx="10001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20181026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0482-4917-477A-8635-D1CA790CE8C6}">
  <dimension ref="B1:BO41"/>
  <sheetViews>
    <sheetView zoomScale="120" zoomScaleNormal="120" workbookViewId="0">
      <selection activeCell="C3" sqref="C3:F4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81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0.13709083316063203</v>
      </c>
      <c r="AC4" s="11">
        <f t="shared" ref="AC4" si="0">1-AB4</f>
        <v>0.86290916683936802</v>
      </c>
      <c r="AD4" s="11">
        <f>5*AB4/384</f>
        <v>1.7850368901123962E-3</v>
      </c>
      <c r="AE4" s="11">
        <f>AB4/8</f>
        <v>1.7136354145079004E-2</v>
      </c>
      <c r="AF4" s="11">
        <f>AC4*AB18^2/8</f>
        <v>4.2992902143834263E-2</v>
      </c>
      <c r="AG4" s="11">
        <v>0</v>
      </c>
      <c r="AH4" s="11">
        <v>0</v>
      </c>
      <c r="AI4" s="11">
        <f>AC4*AB18/2</f>
        <v>0.27239298584560695</v>
      </c>
      <c r="AJ4" s="11">
        <f>AB4/2</f>
        <v>6.8545416580316015E-2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0.80795521550260951</v>
      </c>
      <c r="AA5" s="11">
        <v>2</v>
      </c>
      <c r="AB5" s="11">
        <f>5*AB18^4/(2+5*AB18^4)</f>
        <v>0.28427071844863733</v>
      </c>
      <c r="AC5" s="11">
        <f t="shared" ref="AC5:AC12" si="1">1-AB5</f>
        <v>0.71572928155136273</v>
      </c>
      <c r="AD5" s="11">
        <f>2*AB5/384</f>
        <v>1.4805766585866528E-3</v>
      </c>
      <c r="AE5" s="11">
        <f>AB5/14.22</f>
        <v>1.9990908470368305E-2</v>
      </c>
      <c r="AF5" s="11">
        <f>AC5*AB18^2/8</f>
        <v>3.5659928235462435E-2</v>
      </c>
      <c r="AG5" s="11">
        <f>-AB5/8</f>
        <v>-3.5533839806079666E-2</v>
      </c>
      <c r="AH5" s="11">
        <v>0</v>
      </c>
      <c r="AI5" s="11">
        <f>AC5*AB18/2</f>
        <v>0.22593297597358683</v>
      </c>
      <c r="AJ5" s="11">
        <f>3*AB5/8</f>
        <v>0.106601519418239</v>
      </c>
      <c r="AK5" s="11">
        <v>0</v>
      </c>
      <c r="AL5" s="11">
        <f>5*AB5/8</f>
        <v>0.17766919903039832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2.0270554181257601</v>
      </c>
      <c r="AA6" s="11" t="s">
        <v>61</v>
      </c>
      <c r="AB6" s="11">
        <f>5*AB18^-4/(2+5*AB18^-4)</f>
        <v>0.94024886718805889</v>
      </c>
      <c r="AC6" s="11">
        <f t="shared" si="1"/>
        <v>5.975113281194111E-2</v>
      </c>
      <c r="AD6" s="11">
        <f>2*AB6/384*AB18^4</f>
        <v>7.7800954182215059E-4</v>
      </c>
      <c r="AE6" s="11">
        <f>AC6*AB18^2/8/AB18^2</f>
        <v>7.4688916014926388E-3</v>
      </c>
      <c r="AF6" s="11">
        <f>AB6/14.22*AB18^2</f>
        <v>2.6355113391158827E-2</v>
      </c>
      <c r="AG6" s="11">
        <v>0</v>
      </c>
      <c r="AH6" s="11">
        <f>-AB6/8*AB18^2</f>
        <v>-4.6846214052784815E-2</v>
      </c>
      <c r="AI6" s="11">
        <f>3*AB6/8*AB18</f>
        <v>0.22260500254279506</v>
      </c>
      <c r="AJ6" s="11">
        <f>AC6*AB18/2/AB18</f>
        <v>2.9875566405970555E-2</v>
      </c>
      <c r="AK6" s="11">
        <f>5*AB6/8*AB18</f>
        <v>0.37100833757132501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3.2550000000000003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-1.4361403955558887</v>
      </c>
      <c r="AA7" s="11">
        <v>3</v>
      </c>
      <c r="AB7" s="11">
        <f>5*AB18^4/(1+5*AB18^4)</f>
        <v>0.44269594309839644</v>
      </c>
      <c r="AC7" s="11">
        <f t="shared" si="1"/>
        <v>0.55730405690160356</v>
      </c>
      <c r="AD7" s="11">
        <f>AB7/384</f>
        <v>1.1528540184854075E-3</v>
      </c>
      <c r="AE7" s="11">
        <f>AB7/24</f>
        <v>1.8445664295766519E-2</v>
      </c>
      <c r="AF7" s="11">
        <f>AC7*AB18^2/8</f>
        <v>2.776667545495284E-2</v>
      </c>
      <c r="AG7" s="11">
        <f>-AB7/12</f>
        <v>-3.6891328591533039E-2</v>
      </c>
      <c r="AH7" s="11">
        <v>0</v>
      </c>
      <c r="AI7" s="11">
        <f>AC7*AB18/2</f>
        <v>0.17592317003575964</v>
      </c>
      <c r="AJ7" s="11">
        <v>0</v>
      </c>
      <c r="AK7" s="11">
        <v>0</v>
      </c>
      <c r="AL7" s="11">
        <f>AB7/2</f>
        <v>0.22134797154919822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>
        <f>VLOOKUP(C3,Resumo!B9:N28,9,FALSE)</f>
        <v>2.0550000000000002</v>
      </c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-3.6030910057185386</v>
      </c>
      <c r="AA8" s="11" t="s">
        <v>62</v>
      </c>
      <c r="AB8" s="11">
        <f>5*AB18^-4/(1+5*AB18^-4)</f>
        <v>0.96920439752734577</v>
      </c>
      <c r="AC8" s="11">
        <f t="shared" si="1"/>
        <v>3.0795602472654227E-2</v>
      </c>
      <c r="AD8" s="11">
        <f>AB8/384*AB18^4</f>
        <v>4.0098440719601867E-4</v>
      </c>
      <c r="AE8" s="11">
        <f>AC8*AB18^2/8/AB18^2</f>
        <v>3.8494503090817783E-3</v>
      </c>
      <c r="AF8" s="11">
        <f>AB8/24*AB18^2</f>
        <v>1.6096290479367746E-2</v>
      </c>
      <c r="AG8" s="11">
        <v>0</v>
      </c>
      <c r="AH8" s="11">
        <f>-AB8/12*AB18^2</f>
        <v>-3.2192580958735492E-2</v>
      </c>
      <c r="AI8" s="11">
        <v>0</v>
      </c>
      <c r="AJ8" s="11">
        <f>AC8*AB18/2/AB18</f>
        <v>1.5397801236327115E-2</v>
      </c>
      <c r="AK8" s="11">
        <f>AB8/2*AB18</f>
        <v>0.30594701027936949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0.13709083316063203</v>
      </c>
      <c r="AC9" s="11">
        <f t="shared" si="1"/>
        <v>0.86290916683936802</v>
      </c>
      <c r="AD9" s="11">
        <f>2*AB9/384</f>
        <v>7.1401475604495853E-4</v>
      </c>
      <c r="AE9" s="11">
        <f>AB9/14.22</f>
        <v>9.6407055668517594E-3</v>
      </c>
      <c r="AF9" s="11">
        <f>AC9*AB18^2/14.22</f>
        <v>2.4187286719456687E-2</v>
      </c>
      <c r="AG9" s="11">
        <f>-AB9/8</f>
        <v>-1.7136354145079004E-2</v>
      </c>
      <c r="AH9" s="11">
        <f>-AC9*AB18^2/8</f>
        <v>-4.2992902143834263E-2</v>
      </c>
      <c r="AI9" s="11">
        <f>3*AC9*AB18/8</f>
        <v>0.20429473938420517</v>
      </c>
      <c r="AJ9" s="11">
        <f>3*AB9/8</f>
        <v>5.1409062435237012E-2</v>
      </c>
      <c r="AK9" s="11">
        <f>5*AC9*AB18/8</f>
        <v>0.34049123230700867</v>
      </c>
      <c r="AL9" s="11">
        <f>5*AB9/8</f>
        <v>8.5681770725395012E-2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0.24112556211464203</v>
      </c>
      <c r="AC10" s="11">
        <f t="shared" si="1"/>
        <v>0.75887443788535802</v>
      </c>
      <c r="AD10" s="11">
        <f>AB10/384</f>
        <v>6.2793115134021367E-4</v>
      </c>
      <c r="AE10" s="11">
        <f>AB10/24</f>
        <v>1.0046898421443419E-2</v>
      </c>
      <c r="AF10" s="11">
        <f>AC10*AB18^2/14.22</f>
        <v>2.1271200166328188E-2</v>
      </c>
      <c r="AG10" s="11">
        <f>-AB10/12</f>
        <v>-2.0093796842886837E-2</v>
      </c>
      <c r="AH10" s="11">
        <f>-AC10*AB18^2/8</f>
        <v>-3.7809558295648353E-2</v>
      </c>
      <c r="AI10" s="11">
        <f>3*AC10*AB18/8</f>
        <v>0.17966439744866483</v>
      </c>
      <c r="AJ10" s="11">
        <v>0</v>
      </c>
      <c r="AK10" s="11">
        <f>5*AC10*AB18/8</f>
        <v>0.29944066241444134</v>
      </c>
      <c r="AL10" s="11">
        <f>AB10/2</f>
        <v>0.12056278105732102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8.4816305317675117E-2</v>
      </c>
      <c r="P11" s="12" t="s">
        <v>56</v>
      </c>
      <c r="Q11" s="24">
        <f>AB27*J6*E7</f>
        <v>5.2599868696621002</v>
      </c>
      <c r="AA11" s="11" t="s">
        <v>63</v>
      </c>
      <c r="AB11" s="11">
        <f>2*AB18^-4/(1+2*AB18^-4)</f>
        <v>0.9264103502194786</v>
      </c>
      <c r="AC11" s="11">
        <f t="shared" si="1"/>
        <v>7.3589649780521404E-2</v>
      </c>
      <c r="AD11" s="11">
        <f>AB11/384*AB18^4</f>
        <v>3.8327942594021565E-4</v>
      </c>
      <c r="AE11" s="11">
        <f>AC11*AB18^2/14.22/AB18^2</f>
        <v>5.1750808565767508E-3</v>
      </c>
      <c r="AF11" s="11">
        <f>AB11/24*AB18^2</f>
        <v>1.5385578251882418E-2</v>
      </c>
      <c r="AG11" s="11">
        <f>-AC11*AB18^2/8/AB18^2</f>
        <v>-9.1987062225651756E-3</v>
      </c>
      <c r="AH11" s="11">
        <f>-AB11/12*AB18^2</f>
        <v>-3.0771156503764836E-2</v>
      </c>
      <c r="AI11" s="11">
        <v>0</v>
      </c>
      <c r="AJ11" s="11">
        <f>3*AC11*AB18/8/AB18</f>
        <v>2.7596118667695523E-2</v>
      </c>
      <c r="AK11" s="11">
        <f>AB11/2*AB18</f>
        <v>0.29243829027665563</v>
      </c>
      <c r="AL11" s="11">
        <f>5*AC11*AB18/8/AB18</f>
        <v>4.5993531112825878E-2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-0.5</v>
      </c>
      <c r="BD11" s="11">
        <f>AT8-BC11</f>
        <v>6.5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0.2968570686118629</v>
      </c>
      <c r="P12" s="17" t="s">
        <v>57</v>
      </c>
      <c r="Q12" s="25">
        <f>AB28*J6*E7</f>
        <v>1.3236317009731693</v>
      </c>
      <c r="AA12" s="11">
        <v>6</v>
      </c>
      <c r="AB12" s="11">
        <f>AB18^4/(1+AB18^4)</f>
        <v>0.13709083316063203</v>
      </c>
      <c r="AC12" s="11">
        <f t="shared" si="1"/>
        <v>0.86290916683936802</v>
      </c>
      <c r="AD12" s="11">
        <f>AB12/384</f>
        <v>3.5700737802247926E-4</v>
      </c>
      <c r="AE12" s="11">
        <f>AB12/24</f>
        <v>5.7121180483596682E-3</v>
      </c>
      <c r="AF12" s="11">
        <f>AC12*AB18^2/24</f>
        <v>1.4330967381278087E-2</v>
      </c>
      <c r="AG12" s="11">
        <f>-AB12/12</f>
        <v>-1.1424236096719336E-2</v>
      </c>
      <c r="AH12" s="11">
        <f>-AC12*AB18^2/12</f>
        <v>-2.8661934762556174E-2</v>
      </c>
      <c r="AI12" s="11">
        <v>0</v>
      </c>
      <c r="AJ12" s="11">
        <v>0</v>
      </c>
      <c r="AK12" s="11">
        <f>AC12*AB18/2</f>
        <v>0.27239298584560695</v>
      </c>
      <c r="AL12" s="11">
        <f>AB12/2</f>
        <v>6.8545416580316015E-2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-0.5</v>
      </c>
      <c r="BD12" s="11">
        <f>BD11</f>
        <v>6.5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8.2200000000000006</v>
      </c>
      <c r="P13" s="12" t="s">
        <v>58</v>
      </c>
      <c r="Q13" s="24">
        <f>AB29*J6*E7</f>
        <v>8.7666447827701699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2.2060528349552819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1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4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0.63133640552995385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0.80795521550260951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0.13709083316063203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0.86290916683936802</v>
      </c>
      <c r="AF21" s="29">
        <f>IF(AF22=0,"",Q7)</f>
        <v>-1.4361403955558887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7.1401475604495853E-4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>
        <f>IF(OR(E16=7,E16=8,E16=9,E16=10),"",Q6)</f>
        <v>2.0270554181257601</v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9.6407055668517594E-3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2.4187286719456687E-2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-1.7136354145079004E-2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2.2060528349552819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-4.2992902143834263E-2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0.20429473938420517</v>
      </c>
      <c r="AF27" s="29">
        <f>IF(AF28=0,"",Q8)</f>
        <v>-3.6030910057185386</v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5.1409062435237012E-2</v>
      </c>
      <c r="AD28" s="11">
        <f>AD25</f>
        <v>2.5</v>
      </c>
      <c r="AE28" s="11">
        <f>(1-AG24)/2*AT8*AF28</f>
        <v>0.59999999999999987</v>
      </c>
      <c r="AF28" s="11">
        <f>IF(OR(E16="3A",E16="5A",E16=4,E16=5,E16=6),1,0)</f>
        <v>1</v>
      </c>
      <c r="AK28" s="29">
        <f>IF(OR(E16=4,E16=5,E16=6,E16=7,E16=8,E16=9,E16=10,E16="3A",E16="5A"),Q13,Q11)</f>
        <v>8.7666447827701699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0.34049123230700867</v>
      </c>
      <c r="AD29" s="11">
        <f>AD26</f>
        <v>2.5</v>
      </c>
      <c r="AE29" s="11">
        <f>-AE28</f>
        <v>-0.59999999999999987</v>
      </c>
      <c r="AF29" s="11">
        <f>IF(OR(E16="3A",E16="5A",E16=4,E16=5,E16=6),1,0)</f>
        <v>1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8.5681770725395012E-2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1.3236317009731693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5.2599868696621002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-0.5</v>
      </c>
    </row>
    <row r="38" spans="13:46" x14ac:dyDescent="0.35">
      <c r="AS38" s="11">
        <v>0</v>
      </c>
      <c r="AT38" s="11">
        <f>AT37</f>
        <v>-0.5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P10:Q10"/>
    <mergeCell ref="I4:J4"/>
    <mergeCell ref="M4:N4"/>
    <mergeCell ref="D25:E25"/>
    <mergeCell ref="C3:F4"/>
    <mergeCell ref="M10:N10"/>
    <mergeCell ref="M14:N14"/>
    <mergeCell ref="P4:Q4"/>
    <mergeCell ref="D6:E6"/>
    <mergeCell ref="D10:E10"/>
    <mergeCell ref="D15:E15"/>
    <mergeCell ref="D18:E18"/>
    <mergeCell ref="D22:E22"/>
    <mergeCell ref="G2:G27"/>
    <mergeCell ref="I10:J10"/>
    <mergeCell ref="B2:B27"/>
    <mergeCell ref="C2:F2"/>
    <mergeCell ref="C27:F27"/>
  </mergeCells>
  <conditionalFormatting sqref="D8:E8">
    <cfRule type="expression" dxfId="239" priority="10">
      <formula>OR($E$16=7,$E$16=8,$E$16=9,$E$16=10)</formula>
    </cfRule>
  </conditionalFormatting>
  <conditionalFormatting sqref="H10:H13">
    <cfRule type="expression" dxfId="238" priority="6">
      <formula>OR($E$16=10)</formula>
    </cfRule>
  </conditionalFormatting>
  <conditionalFormatting sqref="H9:J9">
    <cfRule type="expression" dxfId="237" priority="5">
      <formula>OR($E$16=10)</formula>
    </cfRule>
  </conditionalFormatting>
  <conditionalFormatting sqref="H14:J14">
    <cfRule type="expression" dxfId="236" priority="4">
      <formula>OR($E$16=10)</formula>
    </cfRule>
  </conditionalFormatting>
  <conditionalFormatting sqref="I11:I13">
    <cfRule type="expression" dxfId="235" priority="8">
      <formula>OR($E$16=10)</formula>
    </cfRule>
  </conditionalFormatting>
  <conditionalFormatting sqref="I10:J10">
    <cfRule type="expression" dxfId="234" priority="9">
      <formula>OR($E$16=10)</formula>
    </cfRule>
  </conditionalFormatting>
  <conditionalFormatting sqref="J11:J13">
    <cfRule type="expression" dxfId="233" priority="7">
      <formula>OR($E$16=10)</formula>
    </cfRule>
  </conditionalFormatting>
  <conditionalFormatting sqref="K9">
    <cfRule type="expression" dxfId="232" priority="2">
      <formula>OR($E$16=10)</formula>
    </cfRule>
  </conditionalFormatting>
  <conditionalFormatting sqref="K10:K13">
    <cfRule type="expression" dxfId="231" priority="3">
      <formula>OR($E$16=10)</formula>
    </cfRule>
  </conditionalFormatting>
  <conditionalFormatting sqref="K14">
    <cfRule type="expression" dxfId="230" priority="1">
      <formula>OR($E$16=10)</formula>
    </cfRule>
  </conditionalFormatting>
  <conditionalFormatting sqref="M14:N14">
    <cfRule type="cellIs" dxfId="229" priority="11" operator="equal">
      <formula>"Aumentar h!!!"</formula>
    </cfRule>
    <cfRule type="cellIs" dxfId="228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7D96-3A01-4818-9F26-A2EB91B832CC}">
  <dimension ref="B1:BO41"/>
  <sheetViews>
    <sheetView zoomScale="120" zoomScaleNormal="120" workbookViewId="0">
      <selection activeCell="C5" sqref="C5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82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0.12051129312634433</v>
      </c>
      <c r="AC4" s="11">
        <f t="shared" ref="AC4:AC12" si="0">1-AB4</f>
        <v>0.87948870687365566</v>
      </c>
      <c r="AD4" s="11">
        <f>5*AB4/384</f>
        <v>1.5691574625826083E-3</v>
      </c>
      <c r="AE4" s="11">
        <f>AB4/8</f>
        <v>1.5063911640793041E-2</v>
      </c>
      <c r="AF4" s="11">
        <f>AC4*AB18^2/8</f>
        <v>4.0694809511502943E-2</v>
      </c>
      <c r="AG4" s="11">
        <v>0</v>
      </c>
      <c r="AH4" s="11">
        <v>0</v>
      </c>
      <c r="AI4" s="11">
        <f>AC4*AB18/2</f>
        <v>0.2675467263628597</v>
      </c>
      <c r="AJ4" s="11">
        <f>AB4/2</f>
        <v>6.0255646563172165E-2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0.33879533759815372</v>
      </c>
      <c r="AA5" s="11">
        <v>2</v>
      </c>
      <c r="AB5" s="11">
        <f>5*AB18^4/(2+5*AB18^4)</f>
        <v>0.2551546987715308</v>
      </c>
      <c r="AC5" s="11">
        <f t="shared" si="0"/>
        <v>0.74484530122846926</v>
      </c>
      <c r="AD5" s="11">
        <f>2*AB5/384</f>
        <v>1.3289307227683895E-3</v>
      </c>
      <c r="AE5" s="11">
        <f>AB5/14.22</f>
        <v>1.7943368408687117E-2</v>
      </c>
      <c r="AF5" s="11">
        <f>AC5*AB18^2/8</f>
        <v>3.4464726394019526E-2</v>
      </c>
      <c r="AG5" s="11">
        <f>-AB5/8</f>
        <v>-3.189433734644135E-2</v>
      </c>
      <c r="AH5" s="11">
        <v>0</v>
      </c>
      <c r="AI5" s="11">
        <f>AC5*AB18/2</f>
        <v>0.22658724373940492</v>
      </c>
      <c r="AJ5" s="11">
        <f>3*AB5/8</f>
        <v>9.5683012039324056E-2</v>
      </c>
      <c r="AK5" s="11">
        <v>0</v>
      </c>
      <c r="AL5" s="11">
        <f>5*AB5/8</f>
        <v>0.15947168673220674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0.65074117344861404</v>
      </c>
      <c r="AA6" s="11" t="s">
        <v>61</v>
      </c>
      <c r="AB6" s="11">
        <f>5*AB18^-4/(2+5*AB18^-4)</f>
        <v>0.9480382997342186</v>
      </c>
      <c r="AC6" s="11">
        <f t="shared" si="0"/>
        <v>5.1961700265781396E-2</v>
      </c>
      <c r="AD6" s="11">
        <f>2*AB6/384*AB18^4</f>
        <v>6.765846388773624E-4</v>
      </c>
      <c r="AE6" s="11">
        <f>AC6*AB18^2/8/AB18^2</f>
        <v>6.4952125332226754E-3</v>
      </c>
      <c r="AF6" s="11">
        <f>AB6/14.22*AB18^2</f>
        <v>2.4678856119728618E-2</v>
      </c>
      <c r="AG6" s="11">
        <v>0</v>
      </c>
      <c r="AH6" s="11">
        <f>-AB6/8*AB18^2</f>
        <v>-4.3866666752817626E-2</v>
      </c>
      <c r="AI6" s="11">
        <f>3*AB6/8*AB18</f>
        <v>0.21630000042479747</v>
      </c>
      <c r="AJ6" s="11">
        <f>AC6*AB18/2/AB18</f>
        <v>2.5980850132890698E-2</v>
      </c>
      <c r="AK6" s="11">
        <f>5*AB6/8*AB18</f>
        <v>0.36050000070799582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1.5449999999999999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-0.60220871258071829</v>
      </c>
      <c r="AA7" s="11">
        <v>3</v>
      </c>
      <c r="AB7" s="11">
        <f>5*AB18^4/(1+5*AB18^4)</f>
        <v>0.40657091754707325</v>
      </c>
      <c r="AC7" s="11">
        <f t="shared" si="0"/>
        <v>0.59342908245292669</v>
      </c>
      <c r="AD7" s="11">
        <f>AB7/384</f>
        <v>1.0587784311121699E-3</v>
      </c>
      <c r="AE7" s="11">
        <f>AB7/24</f>
        <v>1.6940454897794718E-2</v>
      </c>
      <c r="AF7" s="11">
        <f>AC7*AB18^2/8</f>
        <v>2.7458548677506845E-2</v>
      </c>
      <c r="AG7" s="11">
        <f>-AB7/12</f>
        <v>-3.3880909795589435E-2</v>
      </c>
      <c r="AH7" s="11">
        <v>0</v>
      </c>
      <c r="AI7" s="11">
        <f>AC7*AB18/2</f>
        <v>0.1805253519436088</v>
      </c>
      <c r="AJ7" s="11">
        <v>0</v>
      </c>
      <c r="AK7" s="11">
        <v>0</v>
      </c>
      <c r="AL7" s="11">
        <f>AB7/2</f>
        <v>0.20328545877353663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>
        <f>VLOOKUP(C3,Resumo!B9:N28,9,FALSE)</f>
        <v>0.94000000000000006</v>
      </c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>
        <f>5*AB18^-4/(1+5*AB18^-4)</f>
        <v>0.97332614031619868</v>
      </c>
      <c r="AC8" s="11">
        <f t="shared" si="0"/>
        <v>2.6673859683801315E-2</v>
      </c>
      <c r="AD8" s="11">
        <f>AB8/384*AB18^4</f>
        <v>3.4731588129949628E-4</v>
      </c>
      <c r="AE8" s="11">
        <f>AC8*AB18^2/8/AB18^2</f>
        <v>3.3342324604751644E-3</v>
      </c>
      <c r="AF8" s="11">
        <f>AB8/24*AB18^2</f>
        <v>1.5012253355526117E-2</v>
      </c>
      <c r="AG8" s="11">
        <v>0</v>
      </c>
      <c r="AH8" s="11">
        <f>-AB8/12*AB18^2</f>
        <v>-3.0024506711052234E-2</v>
      </c>
      <c r="AI8" s="11">
        <v>0</v>
      </c>
      <c r="AJ8" s="11">
        <f>AC8*AB18/2/AB18</f>
        <v>1.3336929841900658E-2</v>
      </c>
      <c r="AK8" s="11">
        <f>AB8/2*AB18</f>
        <v>0.29609274171431293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0.12051129312634433</v>
      </c>
      <c r="AC9" s="11">
        <f t="shared" si="0"/>
        <v>0.87948870687365566</v>
      </c>
      <c r="AD9" s="11">
        <f>2*AB9/384</f>
        <v>6.2766298503304338E-4</v>
      </c>
      <c r="AE9" s="11">
        <f>AB9/14.22</f>
        <v>8.4747744814588129E-3</v>
      </c>
      <c r="AF9" s="11">
        <f>AC9*AB18^2/14.22</f>
        <v>2.2894407601408123E-2</v>
      </c>
      <c r="AG9" s="11">
        <f>-AB9/8</f>
        <v>-1.5063911640793041E-2</v>
      </c>
      <c r="AH9" s="11">
        <f>-AC9*AB18^2/8</f>
        <v>-4.0694809511502943E-2</v>
      </c>
      <c r="AI9" s="11">
        <f>3*AC9*AB18/8</f>
        <v>0.20066004477214475</v>
      </c>
      <c r="AJ9" s="11">
        <f>3*AB9/8</f>
        <v>4.5191734922379122E-2</v>
      </c>
      <c r="AK9" s="11">
        <f>5*AC9*AB18/8</f>
        <v>0.33443340795357462</v>
      </c>
      <c r="AL9" s="11">
        <f>5*AB9/8</f>
        <v>7.5319558203965201E-2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0.21510054180731217</v>
      </c>
      <c r="AC10" s="11">
        <f t="shared" si="0"/>
        <v>0.7848994581926878</v>
      </c>
      <c r="AD10" s="11">
        <f>AB10/384</f>
        <v>5.6015766095654214E-4</v>
      </c>
      <c r="AE10" s="11">
        <f>AB10/24</f>
        <v>8.9625225753046742E-3</v>
      </c>
      <c r="AF10" s="11">
        <f>AC10*AB18^2/14.22</f>
        <v>2.0432107861697957E-2</v>
      </c>
      <c r="AG10" s="11">
        <f>-AB10/12</f>
        <v>-1.7925045150609348E-2</v>
      </c>
      <c r="AH10" s="11">
        <f>-AC10*AB18^2/8</f>
        <v>-3.6318071724168122E-2</v>
      </c>
      <c r="AI10" s="11">
        <f>3*AC10*AB18/8</f>
        <v>0.17907900259736084</v>
      </c>
      <c r="AJ10" s="11">
        <v>0</v>
      </c>
      <c r="AK10" s="11">
        <f>5*AC10*AB18/8</f>
        <v>0.29846500432893469</v>
      </c>
      <c r="AL10" s="11">
        <f>AB10/2</f>
        <v>0.10755027090365608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8.012803051904412E-3</v>
      </c>
      <c r="P11" s="12" t="s">
        <v>56</v>
      </c>
      <c r="Q11" s="24">
        <f>AB27*J6*E7</f>
        <v>2.7691113763770807</v>
      </c>
      <c r="AA11" s="11" t="s">
        <v>63</v>
      </c>
      <c r="AB11" s="11">
        <f>2*AB18^-4/(1+2*AB18^-4)</f>
        <v>0.93588081019821445</v>
      </c>
      <c r="AC11" s="11">
        <f t="shared" si="0"/>
        <v>6.4119189801785548E-2</v>
      </c>
      <c r="AD11" s="11">
        <f>AB11/384*AB18^4</f>
        <v>3.3395411355096618E-4</v>
      </c>
      <c r="AE11" s="11">
        <f>AC11*AB18^2/14.22/AB18^2</f>
        <v>4.5090850774814027E-3</v>
      </c>
      <c r="AF11" s="11">
        <f>AB11/24*AB18^2</f>
        <v>1.4434709242172833E-2</v>
      </c>
      <c r="AG11" s="11">
        <f>-AC11*AB18^2/8/AB18^2</f>
        <v>-8.0148987252231935E-3</v>
      </c>
      <c r="AH11" s="11">
        <f>-AB11/12*AB18^2</f>
        <v>-2.8869418484345665E-2</v>
      </c>
      <c r="AI11" s="11">
        <v>0</v>
      </c>
      <c r="AJ11" s="11">
        <f>3*AC11*AB18/8/AB18</f>
        <v>2.404469617566958E-2</v>
      </c>
      <c r="AK11" s="11">
        <f>AB11/2*AB18</f>
        <v>0.28470160569136627</v>
      </c>
      <c r="AL11" s="11">
        <f>5*AC11*AB18/8/AB18</f>
        <v>4.0074493626115967E-2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2.8044810681665443E-2</v>
      </c>
      <c r="P12" s="17" t="s">
        <v>57</v>
      </c>
      <c r="Q12" s="25">
        <f>AB28*J6*E7</f>
        <v>1.1693373059819774</v>
      </c>
      <c r="AA12" s="11">
        <v>6</v>
      </c>
      <c r="AB12" s="11">
        <f>AB18^4/(1+AB18^4)</f>
        <v>0.12051129312634433</v>
      </c>
      <c r="AC12" s="11">
        <f t="shared" si="0"/>
        <v>0.87948870687365566</v>
      </c>
      <c r="AD12" s="11">
        <f>AB12/384</f>
        <v>3.1383149251652169E-4</v>
      </c>
      <c r="AE12" s="11">
        <f>AB12/24</f>
        <v>5.0213038802643471E-3</v>
      </c>
      <c r="AF12" s="11">
        <f>AC12*AB18^2/24</f>
        <v>1.3564936503834314E-2</v>
      </c>
      <c r="AG12" s="11">
        <f>-AB12/12</f>
        <v>-1.0042607760528694E-2</v>
      </c>
      <c r="AH12" s="11">
        <f>-AC12*AB18^2/12</f>
        <v>-2.7129873007668628E-2</v>
      </c>
      <c r="AI12" s="11">
        <v>0</v>
      </c>
      <c r="AJ12" s="11">
        <v>0</v>
      </c>
      <c r="AK12" s="11">
        <f>AC12*AB18/2</f>
        <v>0.2675467263628597</v>
      </c>
      <c r="AL12" s="11">
        <f>AB12/2</f>
        <v>6.0255646563172165E-2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3.7600000000000002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1.9488955099699619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2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0.60841423948220075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0.33879533759815372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0.2551546987715308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0.74484530122846926</v>
      </c>
      <c r="AF21" s="29">
        <f>IF(AF22=0,"",Q7)</f>
        <v>-0.60220871258071829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1.3289307227683895E-3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>
        <f>IF(OR(E16=7,E16=8,E16=9,E16=10),"",Q6)</f>
        <v>0.65074117344861404</v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1.7943368408687117E-2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3.4464726394019526E-2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-3.189433734644135E-2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1.9488955099699619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0.22658724373940492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9.5683012039324056E-2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2.7691113763770807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0.15947168673220674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1.1693373059819774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2.7691113763770807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227" priority="10">
      <formula>OR($E$16=7,$E$16=8,$E$16=9,$E$16=10)</formula>
    </cfRule>
  </conditionalFormatting>
  <conditionalFormatting sqref="H10:H13">
    <cfRule type="expression" dxfId="226" priority="6">
      <formula>OR($E$16=10)</formula>
    </cfRule>
  </conditionalFormatting>
  <conditionalFormatting sqref="H9:J9">
    <cfRule type="expression" dxfId="225" priority="5">
      <formula>OR($E$16=10)</formula>
    </cfRule>
  </conditionalFormatting>
  <conditionalFormatting sqref="H14:J14">
    <cfRule type="expression" dxfId="224" priority="4">
      <formula>OR($E$16=10)</formula>
    </cfRule>
  </conditionalFormatting>
  <conditionalFormatting sqref="I11:I13">
    <cfRule type="expression" dxfId="223" priority="8">
      <formula>OR($E$16=10)</formula>
    </cfRule>
  </conditionalFormatting>
  <conditionalFormatting sqref="I10:J10">
    <cfRule type="expression" dxfId="222" priority="9">
      <formula>OR($E$16=10)</formula>
    </cfRule>
  </conditionalFormatting>
  <conditionalFormatting sqref="J11:J13">
    <cfRule type="expression" dxfId="221" priority="7">
      <formula>OR($E$16=10)</formula>
    </cfRule>
  </conditionalFormatting>
  <conditionalFormatting sqref="K9">
    <cfRule type="expression" dxfId="220" priority="2">
      <formula>OR($E$16=10)</formula>
    </cfRule>
  </conditionalFormatting>
  <conditionalFormatting sqref="K10:K13">
    <cfRule type="expression" dxfId="219" priority="3">
      <formula>OR($E$16=10)</formula>
    </cfRule>
  </conditionalFormatting>
  <conditionalFormatting sqref="K14">
    <cfRule type="expression" dxfId="218" priority="1">
      <formula>OR($E$16=10)</formula>
    </cfRule>
  </conditionalFormatting>
  <conditionalFormatting sqref="M14:N14">
    <cfRule type="cellIs" dxfId="217" priority="11" operator="equal">
      <formula>"Aumentar h!!!"</formula>
    </cfRule>
    <cfRule type="cellIs" dxfId="216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1B597-D15A-4EC9-978C-8A0D31E5F3A6}">
  <dimension ref="B1:BO41"/>
  <sheetViews>
    <sheetView zoomScale="120" zoomScaleNormal="120" workbookViewId="0">
      <selection activeCell="C5" sqref="C5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83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0.30515273423671552</v>
      </c>
      <c r="AC4" s="11">
        <f t="shared" ref="AC4:AC12" si="0">1-AB4</f>
        <v>0.69484726576328448</v>
      </c>
      <c r="AD4" s="11">
        <f>5*AB4/384</f>
        <v>3.9733428937072336E-3</v>
      </c>
      <c r="AE4" s="11">
        <f>AB4/8</f>
        <v>3.814409177958944E-2</v>
      </c>
      <c r="AF4" s="11">
        <f>AC4*AB18^2/8</f>
        <v>5.7559010891075409E-2</v>
      </c>
      <c r="AG4" s="11">
        <v>0</v>
      </c>
      <c r="AH4" s="11">
        <v>0</v>
      </c>
      <c r="AI4" s="11">
        <f>AC4*AB18/2</f>
        <v>0.28282404896932956</v>
      </c>
      <c r="AJ4" s="11">
        <f>AB4/2</f>
        <v>0.15257636711835776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4.45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1.2403021542533559</v>
      </c>
      <c r="AA5" s="11">
        <v>2</v>
      </c>
      <c r="AB5" s="11">
        <f>5*AB18^4/(2+5*AB18^4)</f>
        <v>0.52333580696346838</v>
      </c>
      <c r="AC5" s="11">
        <f t="shared" si="0"/>
        <v>0.47666419303653162</v>
      </c>
      <c r="AD5" s="11">
        <f>2*AB5/384</f>
        <v>2.725707327934731E-3</v>
      </c>
      <c r="AE5" s="11">
        <f>AB5/14.22</f>
        <v>3.6802799364519571E-2</v>
      </c>
      <c r="AF5" s="11">
        <f>AC5*AB18^2/8</f>
        <v>3.9485396043455398E-2</v>
      </c>
      <c r="AG5" s="11">
        <f>-AB5/8</f>
        <v>-6.5416975870433547E-2</v>
      </c>
      <c r="AH5" s="11">
        <v>0</v>
      </c>
      <c r="AI5" s="11">
        <f>AC5*AB18/2</f>
        <v>0.19401687783170579</v>
      </c>
      <c r="AJ5" s="11">
        <f>3*AB5/8</f>
        <v>0.19625092761130064</v>
      </c>
      <c r="AK5" s="11">
        <v>0</v>
      </c>
      <c r="AL5" s="11">
        <f>5*AB5/8</f>
        <v>0.32708487935216773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7.21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1.3307091476704023</v>
      </c>
      <c r="AA6" s="11" t="s">
        <v>61</v>
      </c>
      <c r="AB6" s="11">
        <f>5*AB18^-4/(2+5*AB18^-4)</f>
        <v>0.8505816567042167</v>
      </c>
      <c r="AC6" s="11">
        <f t="shared" si="0"/>
        <v>0.1494183432957833</v>
      </c>
      <c r="AD6" s="11">
        <f>2*AB6/384*AB18^4</f>
        <v>1.9455513449971784E-3</v>
      </c>
      <c r="AE6" s="11">
        <f>AC6*AB18^2/8/AB18^2</f>
        <v>1.8677292911972912E-2</v>
      </c>
      <c r="AF6" s="11">
        <f>AB6/14.22*AB18^2</f>
        <v>3.9639701245967968E-2</v>
      </c>
      <c r="AG6" s="11">
        <v>0</v>
      </c>
      <c r="AH6" s="11">
        <f>-AB6/8*AB18^2</f>
        <v>-7.0459568964708064E-2</v>
      </c>
      <c r="AI6" s="11">
        <f>3*AB6/8*AB18</f>
        <v>0.25965952517335017</v>
      </c>
      <c r="AJ6" s="11">
        <f>AC6*AB18/2/AB18</f>
        <v>7.4709171647891648E-2</v>
      </c>
      <c r="AK6" s="11">
        <f>5*AB6/8*AB18</f>
        <v>0.43276587528891702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2.1619999999999999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-2.2046370791853405</v>
      </c>
      <c r="AA7" s="11">
        <v>3</v>
      </c>
      <c r="AB7" s="11">
        <f>5*AB18^4/(1+5*AB18^4)</f>
        <v>0.68709184747210328</v>
      </c>
      <c r="AC7" s="11">
        <f t="shared" si="0"/>
        <v>0.31290815252789672</v>
      </c>
      <c r="AD7" s="11">
        <f>AB7/384</f>
        <v>1.7893016861252689E-3</v>
      </c>
      <c r="AE7" s="11">
        <f>AB7/24</f>
        <v>2.8628826978004302E-2</v>
      </c>
      <c r="AF7" s="11">
        <f>AC7*AB18^2/8</f>
        <v>2.5920349185622672E-2</v>
      </c>
      <c r="AG7" s="11">
        <f>-AB7/12</f>
        <v>-5.7257653956008604E-2</v>
      </c>
      <c r="AH7" s="11">
        <v>0</v>
      </c>
      <c r="AI7" s="11">
        <f>AC7*AB18/2</f>
        <v>0.12736317031662775</v>
      </c>
      <c r="AJ7" s="11">
        <v>0</v>
      </c>
      <c r="AK7" s="11">
        <v>0</v>
      </c>
      <c r="AL7" s="11">
        <f>AB7/2</f>
        <v>0.34354592373605164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>
        <f>VLOOKUP(C3,Resumo!B9:N28,9,FALSE)</f>
        <v>1.7600000000000002</v>
      </c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>
        <f>5*AB18^-4/(1+5*AB18^-4)</f>
        <v>0.91925871373766388</v>
      </c>
      <c r="AC8" s="11">
        <f t="shared" si="0"/>
        <v>8.074128626233612E-2</v>
      </c>
      <c r="AD8" s="11">
        <f>AB8/384*AB18^4</f>
        <v>1.0513188315408343E-3</v>
      </c>
      <c r="AE8" s="11">
        <f>AC8*AB18^2/8/AB18^2</f>
        <v>1.0092660782792015E-2</v>
      </c>
      <c r="AF8" s="11">
        <f>AB8/24*AB18^2</f>
        <v>2.5382855064136123E-2</v>
      </c>
      <c r="AG8" s="11">
        <v>0</v>
      </c>
      <c r="AH8" s="11">
        <f>-AB8/12*AB18^2</f>
        <v>-5.0765710128272246E-2</v>
      </c>
      <c r="AI8" s="11">
        <v>0</v>
      </c>
      <c r="AJ8" s="11">
        <f>AC8*AB18/2/AB18</f>
        <v>4.0370643131168053E-2</v>
      </c>
      <c r="AK8" s="11">
        <f>AB8/2*AB18</f>
        <v>0.37416635896815187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0.30515273423671552</v>
      </c>
      <c r="AC9" s="11">
        <f t="shared" si="0"/>
        <v>0.69484726576328448</v>
      </c>
      <c r="AD9" s="11">
        <f>2*AB9/384</f>
        <v>1.5893371574828934E-3</v>
      </c>
      <c r="AE9" s="11">
        <f>AB9/14.22</f>
        <v>2.145940465799687E-2</v>
      </c>
      <c r="AF9" s="11">
        <f>AC9*AB18^2/14.22</f>
        <v>3.2382003314247766E-2</v>
      </c>
      <c r="AG9" s="11">
        <f>-AB9/8</f>
        <v>-3.814409177958944E-2</v>
      </c>
      <c r="AH9" s="11">
        <f>-AC9*AB18^2/8</f>
        <v>-5.7559010891075409E-2</v>
      </c>
      <c r="AI9" s="11">
        <f>3*AC9*AB18/8</f>
        <v>0.21211803672699717</v>
      </c>
      <c r="AJ9" s="11">
        <f>3*AB9/8</f>
        <v>0.11443227533876832</v>
      </c>
      <c r="AK9" s="11">
        <f>5*AC9*AB18/8</f>
        <v>0.35353006121166192</v>
      </c>
      <c r="AL9" s="11">
        <f>5*AB9/8</f>
        <v>0.1907204588979472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0.46761229736866949</v>
      </c>
      <c r="AC10" s="11">
        <f t="shared" si="0"/>
        <v>0.53238770263133051</v>
      </c>
      <c r="AD10" s="11">
        <f>AB10/384</f>
        <v>1.2177403577309101E-3</v>
      </c>
      <c r="AE10" s="11">
        <f>AB10/24</f>
        <v>1.9483845723694562E-2</v>
      </c>
      <c r="AF10" s="11">
        <f>AC10*AB18^2/14.22</f>
        <v>2.481089183266013E-2</v>
      </c>
      <c r="AG10" s="11">
        <f>-AB10/12</f>
        <v>-3.8967691447389124E-2</v>
      </c>
      <c r="AH10" s="11">
        <f>-AC10*AB18^2/8</f>
        <v>-4.4101360232553385E-2</v>
      </c>
      <c r="AI10" s="11">
        <f>3*AC10*AB18/8</f>
        <v>0.1625235354933757</v>
      </c>
      <c r="AJ10" s="11">
        <v>0</v>
      </c>
      <c r="AK10" s="11">
        <f>5*AC10*AB18/8</f>
        <v>0.27087255915562614</v>
      </c>
      <c r="AL10" s="11">
        <f>AB10/2</f>
        <v>0.23380614868433475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6.0963845110975919E-2</v>
      </c>
      <c r="P11" s="12" t="s">
        <v>56</v>
      </c>
      <c r="Q11" s="24">
        <f>AB27*J6*E7</f>
        <v>3.0243389719781866</v>
      </c>
      <c r="AA11" s="11" t="s">
        <v>63</v>
      </c>
      <c r="AB11" s="11">
        <f>2*AB18^-4/(1+2*AB18^-4)</f>
        <v>0.81995266452562132</v>
      </c>
      <c r="AC11" s="11">
        <f t="shared" si="0"/>
        <v>0.18004733547437868</v>
      </c>
      <c r="AD11" s="11">
        <f>AB11/384*AB18^4</f>
        <v>9.3774653892905551E-4</v>
      </c>
      <c r="AE11" s="11">
        <f>AC11*AB18^2/14.22/AB18^2</f>
        <v>1.2661556643767839E-2</v>
      </c>
      <c r="AF11" s="11">
        <f>AB11/24*AB18^2</f>
        <v>2.2640785811518092E-2</v>
      </c>
      <c r="AG11" s="11">
        <f>-AC11*AB18^2/8/AB18^2</f>
        <v>-2.2505916934297335E-2</v>
      </c>
      <c r="AH11" s="11">
        <f>-AB11/12*AB18^2</f>
        <v>-4.5281571623036185E-2</v>
      </c>
      <c r="AI11" s="11">
        <v>0</v>
      </c>
      <c r="AJ11" s="11">
        <f>3*AC11*AB18/8/AB18</f>
        <v>6.7517750802892004E-2</v>
      </c>
      <c r="AK11" s="11">
        <f>AB11/2*AB18</f>
        <v>0.33374576539433254</v>
      </c>
      <c r="AL11" s="11">
        <f>5*AC11*AB18/8/AB18</f>
        <v>0.11252958467148667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0.21337345788841572</v>
      </c>
      <c r="P12" s="17" t="s">
        <v>57</v>
      </c>
      <c r="Q12" s="25">
        <f>AB28*J6*E7</f>
        <v>3.0591633846235062</v>
      </c>
      <c r="AA12" s="11">
        <v>6</v>
      </c>
      <c r="AB12" s="11">
        <f>AB18^4/(1+AB18^4)</f>
        <v>0.30515273423671552</v>
      </c>
      <c r="AC12" s="11">
        <f t="shared" si="0"/>
        <v>0.69484726576328448</v>
      </c>
      <c r="AD12" s="11">
        <f>AB12/384</f>
        <v>7.946685787414467E-4</v>
      </c>
      <c r="AE12" s="11">
        <f>AB12/24</f>
        <v>1.2714697259863147E-2</v>
      </c>
      <c r="AF12" s="11">
        <f>AC12*AB18^2/24</f>
        <v>1.9186336963691802E-2</v>
      </c>
      <c r="AG12" s="11">
        <f>-AB12/12</f>
        <v>-2.5429394519726294E-2</v>
      </c>
      <c r="AH12" s="11">
        <f>-AC12*AB18^2/12</f>
        <v>-3.8372673927383603E-2</v>
      </c>
      <c r="AI12" s="11">
        <v>0</v>
      </c>
      <c r="AJ12" s="11">
        <v>0</v>
      </c>
      <c r="AK12" s="11">
        <f>AC12*AB18/2</f>
        <v>0.28282404896932956</v>
      </c>
      <c r="AL12" s="11">
        <f>AB12/2</f>
        <v>0.15257636711835776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7.0400000000000009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5.0986056410391773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2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0.81406105457909361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1.2403021542533559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0.52333580696346838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0.47666419303653162</v>
      </c>
      <c r="AF21" s="29">
        <f>IF(AF22=0,"",Q7)</f>
        <v>-2.2046370791853405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2.725707327934731E-3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>
        <f>IF(OR(E16=7,E16=8,E16=9,E16=10),"",Q6)</f>
        <v>1.3307091476704023</v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3.6802799364519571E-2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3.9485396043455398E-2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-6.5416975870433547E-2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5.0986056410391773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0.19401687783170579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0.19625092761130064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3.0243389719781866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0.32708487935216773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3.0591633846235062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3.0243389719781866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215" priority="10">
      <formula>OR($E$16=7,$E$16=8,$E$16=9,$E$16=10)</formula>
    </cfRule>
  </conditionalFormatting>
  <conditionalFormatting sqref="H10:H13">
    <cfRule type="expression" dxfId="214" priority="6">
      <formula>OR($E$16=10)</formula>
    </cfRule>
  </conditionalFormatting>
  <conditionalFormatting sqref="H9:J9">
    <cfRule type="expression" dxfId="213" priority="5">
      <formula>OR($E$16=10)</formula>
    </cfRule>
  </conditionalFormatting>
  <conditionalFormatting sqref="H14:J14">
    <cfRule type="expression" dxfId="212" priority="4">
      <formula>OR($E$16=10)</formula>
    </cfRule>
  </conditionalFormatting>
  <conditionalFormatting sqref="I11:I13">
    <cfRule type="expression" dxfId="211" priority="8">
      <formula>OR($E$16=10)</formula>
    </cfRule>
  </conditionalFormatting>
  <conditionalFormatting sqref="I10:J10">
    <cfRule type="expression" dxfId="210" priority="9">
      <formula>OR($E$16=10)</formula>
    </cfRule>
  </conditionalFormatting>
  <conditionalFormatting sqref="J11:J13">
    <cfRule type="expression" dxfId="209" priority="7">
      <formula>OR($E$16=10)</formula>
    </cfRule>
  </conditionalFormatting>
  <conditionalFormatting sqref="K9">
    <cfRule type="expression" dxfId="208" priority="2">
      <formula>OR($E$16=10)</formula>
    </cfRule>
  </conditionalFormatting>
  <conditionalFormatting sqref="K10:K13">
    <cfRule type="expression" dxfId="207" priority="3">
      <formula>OR($E$16=10)</formula>
    </cfRule>
  </conditionalFormatting>
  <conditionalFormatting sqref="K14">
    <cfRule type="expression" dxfId="206" priority="1">
      <formula>OR($E$16=10)</formula>
    </cfRule>
  </conditionalFormatting>
  <conditionalFormatting sqref="M14:N14">
    <cfRule type="cellIs" dxfId="205" priority="11" operator="equal">
      <formula>"Aumentar h!!!"</formula>
    </cfRule>
    <cfRule type="cellIs" dxfId="204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73FB-6172-4890-8C68-FC43C9084879}">
  <dimension ref="B1:BO41"/>
  <sheetViews>
    <sheetView zoomScale="120" zoomScaleNormal="120" workbookViewId="0">
      <selection activeCell="E8" sqref="E8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91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</v>
      </c>
      <c r="AC4" s="11">
        <f t="shared" ref="AC4:AC12" si="0">1-AB4</f>
        <v>1</v>
      </c>
      <c r="AD4" s="11">
        <f>5*AB4/384</f>
        <v>0</v>
      </c>
      <c r="AE4" s="11">
        <f>AB4/8</f>
        <v>0</v>
      </c>
      <c r="AF4" s="11">
        <f>AC4*AB18^2/8</f>
        <v>0</v>
      </c>
      <c r="AG4" s="11">
        <v>0</v>
      </c>
      <c r="AH4" s="11">
        <v>0</v>
      </c>
      <c r="AI4" s="11">
        <f>AC4*AB18/2</f>
        <v>0</v>
      </c>
      <c r="AJ4" s="11">
        <f>AB4/2</f>
        <v>0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0.25215596875000001</v>
      </c>
      <c r="AA5" s="11">
        <v>2</v>
      </c>
      <c r="AB5" s="11">
        <f>5*AB18^4/(2+5*AB18^4)</f>
        <v>0</v>
      </c>
      <c r="AC5" s="11">
        <f t="shared" si="0"/>
        <v>1</v>
      </c>
      <c r="AD5" s="11">
        <f>2*AB5/384</f>
        <v>0</v>
      </c>
      <c r="AE5" s="11">
        <f>AB5/14.22</f>
        <v>0</v>
      </c>
      <c r="AF5" s="11">
        <f>AC5*AB18^2/8</f>
        <v>0</v>
      </c>
      <c r="AG5" s="11">
        <f>-AB5/8</f>
        <v>0</v>
      </c>
      <c r="AH5" s="11">
        <v>0</v>
      </c>
      <c r="AI5" s="11">
        <f>AC5*AB18/2</f>
        <v>0</v>
      </c>
      <c r="AJ5" s="11">
        <f>3*AB5/8</f>
        <v>0</v>
      </c>
      <c r="AK5" s="11">
        <v>0</v>
      </c>
      <c r="AL5" s="11">
        <f>5*AB5/8</f>
        <v>0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</v>
      </c>
      <c r="AA6" s="11" t="s">
        <v>61</v>
      </c>
      <c r="AB6" s="11" t="e">
        <f>5*AB18^-4/(2+5*AB18^-4)</f>
        <v>#DIV/0!</v>
      </c>
      <c r="AC6" s="11" t="e">
        <f t="shared" si="0"/>
        <v>#DIV/0!</v>
      </c>
      <c r="AD6" s="11" t="e">
        <f>2*AB6/384*AB18^4</f>
        <v>#DIV/0!</v>
      </c>
      <c r="AE6" s="11" t="e">
        <f>AC6*AB18^2/8/AB18^2</f>
        <v>#DIV/0!</v>
      </c>
      <c r="AF6" s="11" t="e">
        <f>AB6/14.22*AB18^2</f>
        <v>#DIV/0!</v>
      </c>
      <c r="AG6" s="11">
        <v>0</v>
      </c>
      <c r="AH6" s="11" t="e">
        <f>-AB6/8*AB18^2</f>
        <v>#DIV/0!</v>
      </c>
      <c r="AI6" s="11" t="e">
        <f>3*AB6/8*AB18</f>
        <v>#DIV/0!</v>
      </c>
      <c r="AJ6" s="11" t="e">
        <f>AC6*AB18/2/AB18</f>
        <v>#DIV/0!</v>
      </c>
      <c r="AK6" s="11" t="e">
        <f>5*AB6/8*AB18</f>
        <v>#DIV/0!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0.505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0</v>
      </c>
      <c r="AA7" s="11">
        <v>3</v>
      </c>
      <c r="AB7" s="11">
        <f>5*AB18^4/(1+5*AB18^4)</f>
        <v>0</v>
      </c>
      <c r="AC7" s="11">
        <f t="shared" si="0"/>
        <v>1</v>
      </c>
      <c r="AD7" s="11">
        <f>AB7/384</f>
        <v>0</v>
      </c>
      <c r="AE7" s="11">
        <f>AB7/24</f>
        <v>0</v>
      </c>
      <c r="AF7" s="11">
        <f>AC7*AB18^2/8</f>
        <v>0</v>
      </c>
      <c r="AG7" s="11">
        <f>-AB7/12</f>
        <v>0</v>
      </c>
      <c r="AH7" s="11">
        <v>0</v>
      </c>
      <c r="AI7" s="11">
        <f>AC7*AB18/2</f>
        <v>0</v>
      </c>
      <c r="AJ7" s="11">
        <v>0</v>
      </c>
      <c r="AK7" s="11">
        <v>0</v>
      </c>
      <c r="AL7" s="11">
        <f>AB7/2</f>
        <v>0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/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 t="e">
        <f>5*AB18^-4/(1+5*AB18^-4)</f>
        <v>#DIV/0!</v>
      </c>
      <c r="AC8" s="11" t="e">
        <f t="shared" si="0"/>
        <v>#DIV/0!</v>
      </c>
      <c r="AD8" s="11" t="e">
        <f>AB8/384*AB18^4</f>
        <v>#DIV/0!</v>
      </c>
      <c r="AE8" s="11" t="e">
        <f>AC8*AB18^2/8/AB18^2</f>
        <v>#DIV/0!</v>
      </c>
      <c r="AF8" s="11" t="e">
        <f>AB8/24*AB18^2</f>
        <v>#DIV/0!</v>
      </c>
      <c r="AG8" s="11">
        <v>0</v>
      </c>
      <c r="AH8" s="11" t="e">
        <f>-AB8/12*AB18^2</f>
        <v>#DIV/0!</v>
      </c>
      <c r="AI8" s="11">
        <v>0</v>
      </c>
      <c r="AJ8" s="11" t="e">
        <f>AC8*AB18/2/AB18</f>
        <v>#DIV/0!</v>
      </c>
      <c r="AK8" s="11" t="e">
        <f>AB8/2*AB18</f>
        <v>#DIV/0!</v>
      </c>
      <c r="AL8" s="11">
        <v>0</v>
      </c>
      <c r="AS8" s="22">
        <v>5</v>
      </c>
      <c r="AT8" s="22">
        <v>6</v>
      </c>
      <c r="BB8" s="11">
        <f>BA10</f>
        <v>142.85714285714286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</v>
      </c>
      <c r="AC9" s="11">
        <f t="shared" si="0"/>
        <v>1</v>
      </c>
      <c r="AD9" s="11">
        <f>2*AB9/384</f>
        <v>0</v>
      </c>
      <c r="AE9" s="11">
        <f>AB9/14.22</f>
        <v>0</v>
      </c>
      <c r="AF9" s="11">
        <f>AC9*AB18^2/14.22</f>
        <v>0</v>
      </c>
      <c r="AG9" s="11">
        <f>-AB9/8</f>
        <v>0</v>
      </c>
      <c r="AH9" s="11">
        <f>-AC9*AB18^2/8</f>
        <v>0</v>
      </c>
      <c r="AI9" s="11">
        <f>3*AC9*AB18/8</f>
        <v>0</v>
      </c>
      <c r="AJ9" s="11">
        <f>3*AB9/8</f>
        <v>0</v>
      </c>
      <c r="AK9" s="11">
        <f>5*AC9*AB18/8</f>
        <v>0</v>
      </c>
      <c r="AL9" s="11">
        <f>5*AB9/8</f>
        <v>0</v>
      </c>
      <c r="BB9" s="11">
        <f>BA10</f>
        <v>142.85714285714286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</v>
      </c>
      <c r="AC10" s="11">
        <f t="shared" si="0"/>
        <v>1</v>
      </c>
      <c r="AD10" s="11">
        <f>AB10/384</f>
        <v>0</v>
      </c>
      <c r="AE10" s="11">
        <f>AB10/24</f>
        <v>0</v>
      </c>
      <c r="AF10" s="11">
        <f>AC10*AB18^2/14.22</f>
        <v>0</v>
      </c>
      <c r="AG10" s="11">
        <f>-AB10/12</f>
        <v>0</v>
      </c>
      <c r="AH10" s="11">
        <f>-AC10*AB18^2/8</f>
        <v>0</v>
      </c>
      <c r="AI10" s="11">
        <f>3*AC10*AB18/8</f>
        <v>0</v>
      </c>
      <c r="AJ10" s="11">
        <v>0</v>
      </c>
      <c r="AK10" s="11">
        <f>5*AC10*AB18/8</f>
        <v>0</v>
      </c>
      <c r="AL10" s="11">
        <f>AB10/2</f>
        <v>0</v>
      </c>
      <c r="AY10" s="11">
        <f>-AT11*AT12</f>
        <v>0</v>
      </c>
      <c r="BA10" s="11">
        <f>1000*(AY10-AY$15)/(AY$16-AY$15)</f>
        <v>142.85714285714286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8.9613302779155651E-4</v>
      </c>
      <c r="P11" s="12" t="s">
        <v>56</v>
      </c>
      <c r="Q11" s="24">
        <f>AB27*J6*E7</f>
        <v>0</v>
      </c>
      <c r="AA11" s="11" t="s">
        <v>63</v>
      </c>
      <c r="AB11" s="11" t="e">
        <f>2*AB18^-4/(1+2*AB18^-4)</f>
        <v>#DIV/0!</v>
      </c>
      <c r="AC11" s="11" t="e">
        <f t="shared" si="0"/>
        <v>#DIV/0!</v>
      </c>
      <c r="AD11" s="11" t="e">
        <f>AB11/384*AB18^4</f>
        <v>#DIV/0!</v>
      </c>
      <c r="AE11" s="11" t="e">
        <f>AC11*AB18^2/14.22/AB18^2</f>
        <v>#DIV/0!</v>
      </c>
      <c r="AF11" s="11" t="e">
        <f>AB11/24*AB18^2</f>
        <v>#DIV/0!</v>
      </c>
      <c r="AG11" s="11" t="e">
        <f>-AC11*AB18^2/8/AB18^2</f>
        <v>#DIV/0!</v>
      </c>
      <c r="AH11" s="11" t="e">
        <f>-AB11/12*AB18^2</f>
        <v>#DIV/0!</v>
      </c>
      <c r="AI11" s="11">
        <v>0</v>
      </c>
      <c r="AJ11" s="11" t="e">
        <f>3*AC11*AB18/8/AB18</f>
        <v>#DIV/0!</v>
      </c>
      <c r="AK11" s="11" t="e">
        <f>AB11/2*AB18</f>
        <v>#DIV/0!</v>
      </c>
      <c r="AL11" s="11" t="e">
        <f>5*AC11*AB18/8/AB18</f>
        <v>#DIV/0!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3.1364655972704477E-3</v>
      </c>
      <c r="P12" s="17" t="s">
        <v>57</v>
      </c>
      <c r="Q12" s="25">
        <f>AB28*J6*E7</f>
        <v>1.9972750000000001</v>
      </c>
      <c r="AA12" s="11">
        <v>6</v>
      </c>
      <c r="AB12" s="11">
        <f>AB18^4/(1+AB18^4)</f>
        <v>0</v>
      </c>
      <c r="AC12" s="11">
        <f t="shared" si="0"/>
        <v>1</v>
      </c>
      <c r="AD12" s="11">
        <f>AB12/384</f>
        <v>0</v>
      </c>
      <c r="AE12" s="11">
        <f>AB12/24</f>
        <v>0</v>
      </c>
      <c r="AF12" s="11">
        <f>AC12*AB18^2/24</f>
        <v>0</v>
      </c>
      <c r="AG12" s="11">
        <f>-AB12/12</f>
        <v>0</v>
      </c>
      <c r="AH12" s="11">
        <f>-AC12*AB18^2/12</f>
        <v>0</v>
      </c>
      <c r="AI12" s="11">
        <v>0</v>
      </c>
      <c r="AJ12" s="11">
        <v>0</v>
      </c>
      <c r="AK12" s="11">
        <f>AC12*AB18/2</f>
        <v>0</v>
      </c>
      <c r="AL12" s="11">
        <f>AB12/2</f>
        <v>0</v>
      </c>
      <c r="AS12" s="11" t="s">
        <v>7</v>
      </c>
      <c r="AT12" s="11">
        <f>IF(OR(E16=1,E16=7,E16="2A",E16="3A",E16="5A"),0,1)</f>
        <v>0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2.02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0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7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0.25215596875000001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</v>
      </c>
      <c r="AF21" s="29" t="str">
        <f>IF(AF22=0,"",Q7)</f>
        <v/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1.3020833333333334E-2</v>
      </c>
      <c r="AD22" s="11">
        <f>-(1-AG18)/2*AS8*AF22</f>
        <v>0</v>
      </c>
      <c r="AE22" s="11">
        <f>AE19</f>
        <v>3</v>
      </c>
      <c r="AF22" s="11">
        <f>IF(OR(E16=1,E16="2A",E16="3A",E16="5A",E16=7),0,1)</f>
        <v>0</v>
      </c>
      <c r="AI22" s="11" t="s">
        <v>4</v>
      </c>
      <c r="AJ22" s="11" t="s">
        <v>5</v>
      </c>
      <c r="AK22" s="29" t="str">
        <f>IF(OR(E16=7,E16=8,E16=9,E16=10),"",Q6)</f>
        <v/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0.125</v>
      </c>
      <c r="AC23" s="32"/>
      <c r="AD23" s="11">
        <f>-AD22</f>
        <v>0</v>
      </c>
      <c r="AE23" s="11">
        <f>AE20</f>
        <v>3</v>
      </c>
      <c r="AF23" s="11">
        <f>IF(OR(E16=1,E16="2A",E16="3A",E16="5A",E16=7),0,1)</f>
        <v>0</v>
      </c>
      <c r="AI23" s="11">
        <f>AS8/2</f>
        <v>2.5</v>
      </c>
      <c r="AJ23" s="11">
        <f>(AT8/2-(1-AL22)/2*AT8)*AK23</f>
        <v>0</v>
      </c>
      <c r="AK23" s="11">
        <f>IF(OR(E16=7,E16=8,E16=9,E16=10),0,1)</f>
        <v>0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0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0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0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1.9972750000000001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0.5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0</v>
      </c>
      <c r="AS28" s="11">
        <f>-AT11*AT12</f>
        <v>0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0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1.9972750000000001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0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5</v>
      </c>
      <c r="AE33" s="11">
        <v>0</v>
      </c>
      <c r="AF33" s="11">
        <f>IF(OR(E16&lt;7,E16="2A",E16="3A",E16="5A"),0,1)</f>
        <v>1</v>
      </c>
      <c r="AI33" s="22">
        <f>AS8</f>
        <v>5</v>
      </c>
      <c r="AJ33" s="11">
        <f>AJ24</f>
        <v>0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0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5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203" priority="10">
      <formula>OR($E$16=7,$E$16=8,$E$16=9,$E$16=10)</formula>
    </cfRule>
  </conditionalFormatting>
  <conditionalFormatting sqref="H10:H13">
    <cfRule type="expression" dxfId="202" priority="6">
      <formula>OR($E$16=10)</formula>
    </cfRule>
  </conditionalFormatting>
  <conditionalFormatting sqref="H9:J9">
    <cfRule type="expression" dxfId="201" priority="5">
      <formula>OR($E$16=10)</formula>
    </cfRule>
  </conditionalFormatting>
  <conditionalFormatting sqref="H14:J14">
    <cfRule type="expression" dxfId="200" priority="4">
      <formula>OR($E$16=10)</formula>
    </cfRule>
  </conditionalFormatting>
  <conditionalFormatting sqref="I11:I13">
    <cfRule type="expression" dxfId="199" priority="8">
      <formula>OR($E$16=10)</formula>
    </cfRule>
  </conditionalFormatting>
  <conditionalFormatting sqref="I10:J10">
    <cfRule type="expression" dxfId="198" priority="9">
      <formula>OR($E$16=10)</formula>
    </cfRule>
  </conditionalFormatting>
  <conditionalFormatting sqref="J11:J13">
    <cfRule type="expression" dxfId="197" priority="7">
      <formula>OR($E$16=10)</formula>
    </cfRule>
  </conditionalFormatting>
  <conditionalFormatting sqref="K9">
    <cfRule type="expression" dxfId="196" priority="2">
      <formula>OR($E$16=10)</formula>
    </cfRule>
  </conditionalFormatting>
  <conditionalFormatting sqref="K10:K13">
    <cfRule type="expression" dxfId="195" priority="3">
      <formula>OR($E$16=10)</formula>
    </cfRule>
  </conditionalFormatting>
  <conditionalFormatting sqref="K14">
    <cfRule type="expression" dxfId="194" priority="1">
      <formula>OR($E$16=10)</formula>
    </cfRule>
  </conditionalFormatting>
  <conditionalFormatting sqref="M14:N14">
    <cfRule type="cellIs" dxfId="193" priority="11" operator="equal">
      <formula>"Aumentar h!!!"</formula>
    </cfRule>
    <cfRule type="cellIs" dxfId="192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CEED-1C4E-4D31-8E5A-6935B32E1B58}">
  <dimension ref="B1:BO41"/>
  <sheetViews>
    <sheetView zoomScale="120" zoomScaleNormal="120" workbookViewId="0">
      <selection activeCell="C5" sqref="C5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92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0.82073919159170827</v>
      </c>
      <c r="AC4" s="11">
        <f t="shared" ref="AC4:AC12" si="0">1-AB4</f>
        <v>0.17926080840829173</v>
      </c>
      <c r="AD4" s="11">
        <f>5*AB4/384</f>
        <v>1.0686708223850367E-2</v>
      </c>
      <c r="AE4" s="11">
        <f>AB4/8</f>
        <v>0.10259239894896353</v>
      </c>
      <c r="AF4" s="11">
        <f>AC4*AB18^2/8</f>
        <v>4.7946319426178559E-2</v>
      </c>
      <c r="AG4" s="11">
        <v>0</v>
      </c>
      <c r="AH4" s="11">
        <v>0</v>
      </c>
      <c r="AI4" s="11">
        <f>AC4*AB18/2</f>
        <v>0.13110984692645286</v>
      </c>
      <c r="AJ4" s="11">
        <f>AB4/2</f>
        <v>0.41036959579585414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1.2211198436661859</v>
      </c>
      <c r="AA5" s="11">
        <v>2</v>
      </c>
      <c r="AB5" s="11">
        <f>5*AB18^4/(2+5*AB18^4)</f>
        <v>0.91965393645453264</v>
      </c>
      <c r="AC5" s="11">
        <f t="shared" si="0"/>
        <v>8.0346063545467361E-2</v>
      </c>
      <c r="AD5" s="11">
        <f>2*AB5/384</f>
        <v>4.7898642523673575E-3</v>
      </c>
      <c r="AE5" s="11">
        <f>AB5/14.22</f>
        <v>6.467327260580398E-2</v>
      </c>
      <c r="AF5" s="11">
        <f>AC5*AB18^2/8</f>
        <v>2.1489906586903633E-2</v>
      </c>
      <c r="AG5" s="11">
        <f>-AB5/8</f>
        <v>-0.11495674205681658</v>
      </c>
      <c r="AH5" s="11">
        <v>0</v>
      </c>
      <c r="AI5" s="11">
        <f>AC5*AB18/2</f>
        <v>5.8764434826134714E-2</v>
      </c>
      <c r="AJ5" s="11">
        <f>3*AB5/8</f>
        <v>0.34487022617044971</v>
      </c>
      <c r="AK5" s="11">
        <v>0</v>
      </c>
      <c r="AL5" s="11">
        <f>5*AB5/8</f>
        <v>0.57478371028408293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0.40575882918047484</v>
      </c>
      <c r="AA6" s="11" t="s">
        <v>61</v>
      </c>
      <c r="AB6" s="11">
        <f>5*AB18^-4/(2+5*AB18^-4)</f>
        <v>0.35318395821975818</v>
      </c>
      <c r="AC6" s="11">
        <f t="shared" si="0"/>
        <v>0.64681604178024177</v>
      </c>
      <c r="AD6" s="11">
        <f>2*AB6/384*AB18^4</f>
        <v>8.4220838773469003E-3</v>
      </c>
      <c r="AE6" s="11">
        <f>AC6*AB18^2/8/AB18^2</f>
        <v>8.0852005222530221E-2</v>
      </c>
      <c r="AF6" s="11">
        <f>AB6/14.22*AB18^2</f>
        <v>5.3144862025280716E-2</v>
      </c>
      <c r="AG6" s="11">
        <v>0</v>
      </c>
      <c r="AH6" s="11">
        <f>-AB6/8*AB18^2</f>
        <v>-9.4464992249936486E-2</v>
      </c>
      <c r="AI6" s="11">
        <f>3*AB6/8*AB18</f>
        <v>0.19373683145064405</v>
      </c>
      <c r="AJ6" s="11">
        <f>AC6*AB18/2/AB18</f>
        <v>0.32340802089012088</v>
      </c>
      <c r="AK6" s="11">
        <f>5*AB6/8*AB18</f>
        <v>0.32289471908440681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1.5449999999999999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-2.1705405221166454</v>
      </c>
      <c r="AA7" s="11">
        <v>3</v>
      </c>
      <c r="AB7" s="11">
        <f>5*AB18^4/(1+5*AB18^4)</f>
        <v>0.95814554799712448</v>
      </c>
      <c r="AC7" s="11">
        <f t="shared" si="0"/>
        <v>4.185445200287552E-2</v>
      </c>
      <c r="AD7" s="11">
        <f>AB7/384</f>
        <v>2.4951706979091785E-3</v>
      </c>
      <c r="AE7" s="11">
        <f>AB7/24</f>
        <v>3.9922731166546856E-2</v>
      </c>
      <c r="AF7" s="11">
        <f>AC7*AB18^2/8</f>
        <v>1.1194677425345724E-2</v>
      </c>
      <c r="AG7" s="11">
        <f>-AB7/12</f>
        <v>-7.9845462333093711E-2</v>
      </c>
      <c r="AH7" s="11">
        <v>0</v>
      </c>
      <c r="AI7" s="11">
        <f>AC7*AB18/2</f>
        <v>3.0611994021520612E-2</v>
      </c>
      <c r="AJ7" s="11">
        <v>0</v>
      </c>
      <c r="AK7" s="11">
        <v>0</v>
      </c>
      <c r="AL7" s="11">
        <f>AB7/2</f>
        <v>0.47907277399856224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>
        <f>VLOOKUP(C3,Resumo!B9:N28,9,FALSE)</f>
        <v>2.2600000000000002</v>
      </c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>
        <f>5*AB18^-4/(1+5*AB18^-4)</f>
        <v>0.52200435288104541</v>
      </c>
      <c r="AC8" s="11">
        <f t="shared" si="0"/>
        <v>0.47799564711895459</v>
      </c>
      <c r="AD8" s="11">
        <f>AB8/384*AB18^4</f>
        <v>6.2239016551947244E-3</v>
      </c>
      <c r="AE8" s="11">
        <f>AC8*AB18^2/8/AB18^2</f>
        <v>5.9749455889869324E-2</v>
      </c>
      <c r="AF8" s="11">
        <f>AB8/24*AB18^2</f>
        <v>4.6539615783510645E-2</v>
      </c>
      <c r="AG8" s="11">
        <v>0</v>
      </c>
      <c r="AH8" s="11">
        <f>-AB8/12*AB18^2</f>
        <v>-9.3079231567021289E-2</v>
      </c>
      <c r="AI8" s="11">
        <v>0</v>
      </c>
      <c r="AJ8" s="11">
        <f>AC8*AB18/2/AB18</f>
        <v>0.2389978235594773</v>
      </c>
      <c r="AK8" s="11">
        <f>AB8/2*AB18</f>
        <v>0.38178959142756075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0.82073919159170827</v>
      </c>
      <c r="AC9" s="11">
        <f t="shared" si="0"/>
        <v>0.17926080840829173</v>
      </c>
      <c r="AD9" s="11">
        <f>2*AB9/384</f>
        <v>4.2746832895401475E-3</v>
      </c>
      <c r="AE9" s="11">
        <f>AB9/14.22</f>
        <v>5.7717242727968229E-2</v>
      </c>
      <c r="AF9" s="11">
        <f>AC9*AB18^2/14.22</f>
        <v>2.697401936775165E-2</v>
      </c>
      <c r="AG9" s="11">
        <f>-AB9/8</f>
        <v>-0.10259239894896353</v>
      </c>
      <c r="AH9" s="11">
        <f>-AC9*AB18^2/8</f>
        <v>-4.7946319426178559E-2</v>
      </c>
      <c r="AI9" s="11">
        <f>3*AC9*AB18/8</f>
        <v>9.8332385194839653E-2</v>
      </c>
      <c r="AJ9" s="11">
        <f>3*AB9/8</f>
        <v>0.30777719684689059</v>
      </c>
      <c r="AK9" s="11">
        <f>5*AC9*AB18/8</f>
        <v>0.16388730865806608</v>
      </c>
      <c r="AL9" s="11">
        <f>5*AB9/8</f>
        <v>0.51296199474481763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0.90154503773185646</v>
      </c>
      <c r="AC10" s="11">
        <f t="shared" si="0"/>
        <v>9.8454962268143542E-2</v>
      </c>
      <c r="AD10" s="11">
        <f>AB10/384</f>
        <v>2.3477735357600427E-3</v>
      </c>
      <c r="AE10" s="11">
        <f>AB10/24</f>
        <v>3.7564376572160683E-2</v>
      </c>
      <c r="AF10" s="11">
        <f>AC10*AB18^2/14.22</f>
        <v>1.4814872713411911E-2</v>
      </c>
      <c r="AG10" s="11">
        <f>-AB10/12</f>
        <v>-7.5128753144321367E-2</v>
      </c>
      <c r="AH10" s="11">
        <f>-AC10*AB18^2/8</f>
        <v>-2.6333436248089672E-2</v>
      </c>
      <c r="AI10" s="11">
        <f>3*AC10*AB18/8</f>
        <v>5.4006848234467095E-2</v>
      </c>
      <c r="AJ10" s="11">
        <v>0</v>
      </c>
      <c r="AK10" s="11">
        <f>5*AC10*AB18/8</f>
        <v>9.0011413724111825E-2</v>
      </c>
      <c r="AL10" s="11">
        <f>AB10/2</f>
        <v>0.45077251886592823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2.8880541507554595E-2</v>
      </c>
      <c r="P11" s="12" t="s">
        <v>56</v>
      </c>
      <c r="Q11" s="24">
        <f>AB27*J6*E7</f>
        <v>0.71815721978845104</v>
      </c>
      <c r="AA11" s="11" t="s">
        <v>63</v>
      </c>
      <c r="AB11" s="11">
        <f>2*AB18^-4/(1+2*AB18^-4)</f>
        <v>0.30402232844530669</v>
      </c>
      <c r="AC11" s="11">
        <f t="shared" si="0"/>
        <v>0.69597767155469326</v>
      </c>
      <c r="AD11" s="11">
        <f>AB11/384*AB18^4</f>
        <v>3.6248837060140282E-3</v>
      </c>
      <c r="AE11" s="11">
        <f>AC11*AB18^2/14.22/AB18^2</f>
        <v>4.8943577465168295E-2</v>
      </c>
      <c r="AF11" s="11">
        <f>AB11/24*AB18^2</f>
        <v>2.7105295726675964E-2</v>
      </c>
      <c r="AG11" s="11">
        <f>-AC11*AB18^2/8/AB18^2</f>
        <v>-8.6997208944336657E-2</v>
      </c>
      <c r="AH11" s="11">
        <f>-AB11/12*AB18^2</f>
        <v>-5.4210591453351928E-2</v>
      </c>
      <c r="AI11" s="11">
        <v>0</v>
      </c>
      <c r="AJ11" s="11">
        <f>3*AC11*AB18/8/AB18</f>
        <v>0.26099162683300997</v>
      </c>
      <c r="AK11" s="11">
        <f>AB11/2*AB18</f>
        <v>0.22235937290821786</v>
      </c>
      <c r="AL11" s="11">
        <f>5*AC11*AB18/8/AB18</f>
        <v>0.43498604472168328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0.10108189527644108</v>
      </c>
      <c r="P12" s="17" t="s">
        <v>57</v>
      </c>
      <c r="Q12" s="25">
        <f>AB28*J6*E7</f>
        <v>4.2146417905177573</v>
      </c>
      <c r="AA12" s="11">
        <v>6</v>
      </c>
      <c r="AB12" s="11">
        <f>AB18^4/(1+AB18^4)</f>
        <v>0.82073919159170827</v>
      </c>
      <c r="AC12" s="11">
        <f t="shared" si="0"/>
        <v>0.17926080840829173</v>
      </c>
      <c r="AD12" s="11">
        <f>AB12/384</f>
        <v>2.1373416447700738E-3</v>
      </c>
      <c r="AE12" s="11">
        <f>AB12/24</f>
        <v>3.419746631632118E-2</v>
      </c>
      <c r="AF12" s="11">
        <f>AC12*AB18^2/24</f>
        <v>1.5982106475392853E-2</v>
      </c>
      <c r="AG12" s="11">
        <f>-AB12/12</f>
        <v>-6.8394932632642361E-2</v>
      </c>
      <c r="AH12" s="11">
        <f>-AC12*AB18^2/12</f>
        <v>-3.1964212950785706E-2</v>
      </c>
      <c r="AI12" s="11">
        <v>0</v>
      </c>
      <c r="AJ12" s="11">
        <v>0</v>
      </c>
      <c r="AK12" s="11">
        <f>AC12*AB18/2</f>
        <v>0.13110984692645286</v>
      </c>
      <c r="AL12" s="11">
        <f>AB12/2</f>
        <v>0.41036959579585414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6.18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7.0244029841962625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2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1.4627831715210358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1.2211198436661859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0.91965393645453264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8.0346063545467361E-2</v>
      </c>
      <c r="AF21" s="29">
        <f>IF(AF22=0,"",Q7)</f>
        <v>-2.1705405221166454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4.7898642523673575E-3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>
        <f>IF(OR(E16=7,E16=8,E16=9,E16=10),"",Q6)</f>
        <v>0.40575882918047484</v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6.467327260580398E-2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2.1489906586903633E-2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-0.11495674205681658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7.0244029841962625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5.8764434826134714E-2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0.34487022617044971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0.71815721978845104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0.57478371028408293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4.2146417905177573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0.71815721978845104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191" priority="10">
      <formula>OR($E$16=7,$E$16=8,$E$16=9,$E$16=10)</formula>
    </cfRule>
  </conditionalFormatting>
  <conditionalFormatting sqref="H10:H13">
    <cfRule type="expression" dxfId="190" priority="6">
      <formula>OR($E$16=10)</formula>
    </cfRule>
  </conditionalFormatting>
  <conditionalFormatting sqref="H9:J9">
    <cfRule type="expression" dxfId="189" priority="5">
      <formula>OR($E$16=10)</formula>
    </cfRule>
  </conditionalFormatting>
  <conditionalFormatting sqref="H14:J14">
    <cfRule type="expression" dxfId="188" priority="4">
      <formula>OR($E$16=10)</formula>
    </cfRule>
  </conditionalFormatting>
  <conditionalFormatting sqref="I11:I13">
    <cfRule type="expression" dxfId="187" priority="8">
      <formula>OR($E$16=10)</formula>
    </cfRule>
  </conditionalFormatting>
  <conditionalFormatting sqref="I10:J10">
    <cfRule type="expression" dxfId="186" priority="9">
      <formula>OR($E$16=10)</formula>
    </cfRule>
  </conditionalFormatting>
  <conditionalFormatting sqref="J11:J13">
    <cfRule type="expression" dxfId="185" priority="7">
      <formula>OR($E$16=10)</formula>
    </cfRule>
  </conditionalFormatting>
  <conditionalFormatting sqref="K9">
    <cfRule type="expression" dxfId="184" priority="2">
      <formula>OR($E$16=10)</formula>
    </cfRule>
  </conditionalFormatting>
  <conditionalFormatting sqref="K10:K13">
    <cfRule type="expression" dxfId="183" priority="3">
      <formula>OR($E$16=10)</formula>
    </cfRule>
  </conditionalFormatting>
  <conditionalFormatting sqref="K14">
    <cfRule type="expression" dxfId="182" priority="1">
      <formula>OR($E$16=10)</formula>
    </cfRule>
  </conditionalFormatting>
  <conditionalFormatting sqref="M14:N14">
    <cfRule type="cellIs" dxfId="181" priority="11" operator="equal">
      <formula>"Aumentar h!!!"</formula>
    </cfRule>
    <cfRule type="cellIs" dxfId="180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B2AF-ECC6-4D73-A522-9C50EC3D501E}">
  <dimension ref="B1:BO41"/>
  <sheetViews>
    <sheetView zoomScale="120" zoomScaleNormal="120" workbookViewId="0">
      <selection activeCell="C5" sqref="C5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85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0.63868964741986345</v>
      </c>
      <c r="AC4" s="11">
        <f t="shared" ref="AC4:AC12" si="0">1-AB4</f>
        <v>0.36131035258013655</v>
      </c>
      <c r="AD4" s="11">
        <f>5*AB4/384</f>
        <v>8.3162714507794711E-3</v>
      </c>
      <c r="AE4" s="11">
        <f>AB4/8</f>
        <v>7.9836205927482931E-2</v>
      </c>
      <c r="AF4" s="11">
        <f>AC4*AB18^2/8</f>
        <v>6.0047530873799514E-2</v>
      </c>
      <c r="AG4" s="11">
        <v>0</v>
      </c>
      <c r="AH4" s="11">
        <v>0</v>
      </c>
      <c r="AI4" s="11">
        <f>AC4*AB18/2</f>
        <v>0.20830647878344608</v>
      </c>
      <c r="AJ4" s="11">
        <f>AB4/2</f>
        <v>0.31934482370993172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1.7426034997416455</v>
      </c>
      <c r="AA5" s="11">
        <v>2</v>
      </c>
      <c r="AB5" s="11">
        <f>5*AB18^4/(2+5*AB18^4)</f>
        <v>0.81547293578970614</v>
      </c>
      <c r="AC5" s="11">
        <f t="shared" si="0"/>
        <v>0.18452706421029386</v>
      </c>
      <c r="AD5" s="11">
        <f>2*AB5/384</f>
        <v>4.2472548739047192E-3</v>
      </c>
      <c r="AE5" s="11">
        <f>AB5/14.22</f>
        <v>5.7346901251034185E-2</v>
      </c>
      <c r="AF5" s="11">
        <f>AC5*AB18^2/8</f>
        <v>3.0667249100651325E-2</v>
      </c>
      <c r="AG5" s="11">
        <f>-AB5/8</f>
        <v>-0.10193411697371327</v>
      </c>
      <c r="AH5" s="11">
        <v>0</v>
      </c>
      <c r="AI5" s="11">
        <f>AC5*AB18/2</f>
        <v>0.10638550130491432</v>
      </c>
      <c r="AJ5" s="11">
        <f>3*AB5/8</f>
        <v>0.30580235092113983</v>
      </c>
      <c r="AK5" s="11">
        <v>0</v>
      </c>
      <c r="AL5" s="11">
        <f>5*AB5/8</f>
        <v>0.50967058486856631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0.93188741578744139</v>
      </c>
      <c r="AA6" s="11" t="s">
        <v>61</v>
      </c>
      <c r="AB6" s="11">
        <f>5*AB18^-4/(2+5*AB18^-4)</f>
        <v>0.58579511963031361</v>
      </c>
      <c r="AC6" s="11">
        <f t="shared" si="0"/>
        <v>0.41420488036968639</v>
      </c>
      <c r="AD6" s="11">
        <f>2*AB6/384*AB18^4</f>
        <v>5.3932927131469599E-3</v>
      </c>
      <c r="AE6" s="11">
        <f>AC6*AB18^2/8/AB18^2</f>
        <v>5.1775610046210806E-2</v>
      </c>
      <c r="AF6" s="11">
        <f>AB6/14.22*AB18^2</f>
        <v>5.4771027503187221E-2</v>
      </c>
      <c r="AG6" s="11">
        <v>0</v>
      </c>
      <c r="AH6" s="11">
        <f>-AB6/8*AB18^2</f>
        <v>-9.7355501386915289E-2</v>
      </c>
      <c r="AI6" s="11">
        <f>3*AB6/8*AB18</f>
        <v>0.25329661422790345</v>
      </c>
      <c r="AJ6" s="11">
        <f>AC6*AB18/2/AB18</f>
        <v>0.2071024401848432</v>
      </c>
      <c r="AK6" s="11">
        <f>5*AB6/8*AB18</f>
        <v>0.42216102371317249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1.96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-3.0974777207907755</v>
      </c>
      <c r="AA7" s="11">
        <v>3</v>
      </c>
      <c r="AB7" s="11">
        <f>5*AB18^4/(1+5*AB18^4)</f>
        <v>0.89835868077536107</v>
      </c>
      <c r="AC7" s="11">
        <f t="shared" si="0"/>
        <v>0.10164131922463893</v>
      </c>
      <c r="AD7" s="11">
        <f>AB7/384</f>
        <v>2.339475731185836E-3</v>
      </c>
      <c r="AE7" s="11">
        <f>AB7/24</f>
        <v>3.7431611698973376E-2</v>
      </c>
      <c r="AF7" s="11">
        <f>AC7*AB18^2/8</f>
        <v>1.689215437811608E-2</v>
      </c>
      <c r="AG7" s="11">
        <f>-AB7/12</f>
        <v>-7.4863223397946752E-2</v>
      </c>
      <c r="AH7" s="11">
        <v>0</v>
      </c>
      <c r="AI7" s="11">
        <f>AC7*AB18/2</f>
        <v>5.85993320019602E-2</v>
      </c>
      <c r="AJ7" s="11">
        <v>0</v>
      </c>
      <c r="AK7" s="11">
        <v>0</v>
      </c>
      <c r="AL7" s="11">
        <f>AB7/2</f>
        <v>0.44917934038768054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>
        <f>VLOOKUP(C3,Resumo!B9:N28,9,FALSE)</f>
        <v>2.2600000000000002</v>
      </c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>
        <f>5*AB18^-4/(1+5*AB18^-4)</f>
        <v>0.73880302994863079</v>
      </c>
      <c r="AC8" s="11">
        <f t="shared" si="0"/>
        <v>0.26119697005136921</v>
      </c>
      <c r="AD8" s="11">
        <f>AB8/384*AB18^4</f>
        <v>3.4010022142105367E-3</v>
      </c>
      <c r="AE8" s="11">
        <f>AC8*AB18^2/8/AB18^2</f>
        <v>3.2649621256421152E-2</v>
      </c>
      <c r="AF8" s="11">
        <f>AB8/24*AB18^2</f>
        <v>4.0928154455669809E-2</v>
      </c>
      <c r="AG8" s="11">
        <v>0</v>
      </c>
      <c r="AH8" s="11">
        <f>-AB8/12*AB18^2</f>
        <v>-8.1856308911339618E-2</v>
      </c>
      <c r="AI8" s="11">
        <v>0</v>
      </c>
      <c r="AJ8" s="11">
        <f>AC8*AB18/2/AB18</f>
        <v>0.13059848502568461</v>
      </c>
      <c r="AK8" s="11">
        <f>AB8/2*AB18</f>
        <v>0.42594256318466983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0.63868964741986345</v>
      </c>
      <c r="AC9" s="11">
        <f t="shared" si="0"/>
        <v>0.36131035258013655</v>
      </c>
      <c r="AD9" s="11">
        <f>2*AB9/384</f>
        <v>3.3265085803117888E-3</v>
      </c>
      <c r="AE9" s="11">
        <f>AB9/14.22</f>
        <v>4.4914883784800519E-2</v>
      </c>
      <c r="AF9" s="11">
        <f>AC9*AB18^2/14.22</f>
        <v>3.3782014556286648E-2</v>
      </c>
      <c r="AG9" s="11">
        <f>-AB9/8</f>
        <v>-7.9836205927482931E-2</v>
      </c>
      <c r="AH9" s="11">
        <f>-AC9*AB18^2/8</f>
        <v>-6.0047530873799514E-2</v>
      </c>
      <c r="AI9" s="11">
        <f>3*AC9*AB18/8</f>
        <v>0.15622985908758455</v>
      </c>
      <c r="AJ9" s="11">
        <f>3*AB9/8</f>
        <v>0.23950861778244881</v>
      </c>
      <c r="AK9" s="11">
        <f>5*AC9*AB18/8</f>
        <v>0.26038309847930763</v>
      </c>
      <c r="AL9" s="11">
        <f>5*AB9/8</f>
        <v>0.39918102963741464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0.77951264100006723</v>
      </c>
      <c r="AC10" s="11">
        <f t="shared" si="0"/>
        <v>0.22048735899993277</v>
      </c>
      <c r="AD10" s="11">
        <f>AB10/384</f>
        <v>2.0299808359376752E-3</v>
      </c>
      <c r="AE10" s="11">
        <f>AB10/24</f>
        <v>3.2479693375002804E-2</v>
      </c>
      <c r="AF10" s="11">
        <f>AC10*AB18^2/14.22</f>
        <v>2.0615260863749794E-2</v>
      </c>
      <c r="AG10" s="11">
        <f>-AB10/12</f>
        <v>-6.4959386750005607E-2</v>
      </c>
      <c r="AH10" s="11">
        <f>-AC10*AB18^2/8</f>
        <v>-3.6643626185315262E-2</v>
      </c>
      <c r="AI10" s="11">
        <f>3*AC10*AB18/8</f>
        <v>9.5338284057368897E-2</v>
      </c>
      <c r="AJ10" s="11">
        <v>0</v>
      </c>
      <c r="AK10" s="11">
        <f>5*AC10*AB18/8</f>
        <v>0.15889714009561481</v>
      </c>
      <c r="AL10" s="11">
        <f>AB10/2</f>
        <v>0.38975632050003362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6.6328595353981432E-2</v>
      </c>
      <c r="P11" s="12" t="s">
        <v>56</v>
      </c>
      <c r="Q11" s="24">
        <f>AB27*J6*E7</f>
        <v>1.6493582580308697</v>
      </c>
      <c r="AA11" s="11" t="s">
        <v>63</v>
      </c>
      <c r="AB11" s="11">
        <f>2*AB18^-4/(1+2*AB18^-4)</f>
        <v>0.53082730458243133</v>
      </c>
      <c r="AC11" s="11">
        <f t="shared" si="0"/>
        <v>0.46917269541756867</v>
      </c>
      <c r="AD11" s="11">
        <f>AB11/384*AB18^4</f>
        <v>2.4436077886331705E-3</v>
      </c>
      <c r="AE11" s="11">
        <f>AC11*AB18^2/14.22/AB18^2</f>
        <v>3.2993860437241118E-2</v>
      </c>
      <c r="AF11" s="11">
        <f>AB11/24*AB18^2</f>
        <v>2.9406730929009903E-2</v>
      </c>
      <c r="AG11" s="11">
        <f>-AC11*AB18^2/8/AB18^2</f>
        <v>-5.8646586927196084E-2</v>
      </c>
      <c r="AH11" s="11">
        <f>-AB11/12*AB18^2</f>
        <v>-5.8813461858019805E-2</v>
      </c>
      <c r="AI11" s="11">
        <v>0</v>
      </c>
      <c r="AJ11" s="11">
        <f>3*AC11*AB18/8/AB18</f>
        <v>0.17593976078158824</v>
      </c>
      <c r="AK11" s="11">
        <f>AB11/2*AB18</f>
        <v>0.30603819090721807</v>
      </c>
      <c r="AL11" s="11">
        <f>5*AC11*AB18/8/AB18</f>
        <v>0.29323293463598044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0.232150083738935</v>
      </c>
      <c r="P12" s="17" t="s">
        <v>57</v>
      </c>
      <c r="Q12" s="25">
        <f>AB28*J6*E7</f>
        <v>4.7410373277409832</v>
      </c>
      <c r="AA12" s="11">
        <v>6</v>
      </c>
      <c r="AB12" s="11">
        <f>AB18^4/(1+AB18^4)</f>
        <v>0.63868964741986345</v>
      </c>
      <c r="AC12" s="11">
        <f t="shared" si="0"/>
        <v>0.36131035258013655</v>
      </c>
      <c r="AD12" s="11">
        <f>AB12/384</f>
        <v>1.6632542901558944E-3</v>
      </c>
      <c r="AE12" s="11">
        <f>AB12/24</f>
        <v>2.661206864249431E-2</v>
      </c>
      <c r="AF12" s="11">
        <f>AC12*AB18^2/24</f>
        <v>2.0015843624599839E-2</v>
      </c>
      <c r="AG12" s="11">
        <f>-AB12/12</f>
        <v>-5.3224137284988621E-2</v>
      </c>
      <c r="AH12" s="11">
        <f>-AC12*AB18^2/12</f>
        <v>-4.0031687249199678E-2</v>
      </c>
      <c r="AI12" s="11">
        <v>0</v>
      </c>
      <c r="AJ12" s="11">
        <v>0</v>
      </c>
      <c r="AK12" s="11">
        <f>AC12*AB18/2</f>
        <v>0.20830647878344608</v>
      </c>
      <c r="AL12" s="11">
        <f>AB12/2</f>
        <v>0.31934482370993172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7.84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7.9017288795683047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2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1.153061224489796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1.7426034997416455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0.81547293578970614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0.18452706421029386</v>
      </c>
      <c r="AF21" s="29">
        <f>IF(AF22=0,"",Q7)</f>
        <v>-3.0974777207907755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4.2472548739047192E-3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>
        <f>IF(OR(E16=7,E16=8,E16=9,E16=10),"",Q6)</f>
        <v>0.93188741578744139</v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5.7346901251034185E-2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3.0667249100651325E-2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-0.10193411697371327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7.9017288795683047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0.10638550130491432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0.30580235092113983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1.6493582580308697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0.50967058486856631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4.7410373277409832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1.6493582580308697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179" priority="10">
      <formula>OR($E$16=7,$E$16=8,$E$16=9,$E$16=10)</formula>
    </cfRule>
  </conditionalFormatting>
  <conditionalFormatting sqref="H10:H13">
    <cfRule type="expression" dxfId="178" priority="6">
      <formula>OR($E$16=10)</formula>
    </cfRule>
  </conditionalFormatting>
  <conditionalFormatting sqref="H9:J9">
    <cfRule type="expression" dxfId="177" priority="5">
      <formula>OR($E$16=10)</formula>
    </cfRule>
  </conditionalFormatting>
  <conditionalFormatting sqref="H14:J14">
    <cfRule type="expression" dxfId="176" priority="4">
      <formula>OR($E$16=10)</formula>
    </cfRule>
  </conditionalFormatting>
  <conditionalFormatting sqref="I11:I13">
    <cfRule type="expression" dxfId="175" priority="8">
      <formula>OR($E$16=10)</formula>
    </cfRule>
  </conditionalFormatting>
  <conditionalFormatting sqref="I10:J10">
    <cfRule type="expression" dxfId="174" priority="9">
      <formula>OR($E$16=10)</formula>
    </cfRule>
  </conditionalFormatting>
  <conditionalFormatting sqref="J11:J13">
    <cfRule type="expression" dxfId="173" priority="7">
      <formula>OR($E$16=10)</formula>
    </cfRule>
  </conditionalFormatting>
  <conditionalFormatting sqref="K9">
    <cfRule type="expression" dxfId="172" priority="2">
      <formula>OR($E$16=10)</formula>
    </cfRule>
  </conditionalFormatting>
  <conditionalFormatting sqref="K10:K13">
    <cfRule type="expression" dxfId="171" priority="3">
      <formula>OR($E$16=10)</formula>
    </cfRule>
  </conditionalFormatting>
  <conditionalFormatting sqref="K14">
    <cfRule type="expression" dxfId="170" priority="1">
      <formula>OR($E$16=10)</formula>
    </cfRule>
  </conditionalFormatting>
  <conditionalFormatting sqref="M14:N14">
    <cfRule type="cellIs" dxfId="169" priority="11" operator="equal">
      <formula>"Aumentar h!!!"</formula>
    </cfRule>
    <cfRule type="cellIs" dxfId="168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334C-F70B-482D-9A5B-2A52F0DBD1FC}">
  <dimension ref="B1:BO41"/>
  <sheetViews>
    <sheetView zoomScale="120" zoomScaleNormal="120" workbookViewId="0">
      <selection activeCell="E8" sqref="E8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86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</v>
      </c>
      <c r="AC4" s="11">
        <f t="shared" ref="AC4:AC12" si="0">1-AB4</f>
        <v>1</v>
      </c>
      <c r="AD4" s="11">
        <f>5*AB4/384</f>
        <v>0</v>
      </c>
      <c r="AE4" s="11">
        <f>AB4/8</f>
        <v>0</v>
      </c>
      <c r="AF4" s="11">
        <f>AC4*AB18^2/8</f>
        <v>0</v>
      </c>
      <c r="AG4" s="11">
        <v>0</v>
      </c>
      <c r="AH4" s="11">
        <v>0</v>
      </c>
      <c r="AI4" s="11">
        <f>AC4*AB18/2</f>
        <v>0</v>
      </c>
      <c r="AJ4" s="11">
        <f>AB4/2</f>
        <v>0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5.7675136427566791</v>
      </c>
      <c r="AA5" s="11">
        <v>2</v>
      </c>
      <c r="AB5" s="11">
        <f>5*AB18^4/(2+5*AB18^4)</f>
        <v>0</v>
      </c>
      <c r="AC5" s="11">
        <f t="shared" si="0"/>
        <v>1</v>
      </c>
      <c r="AD5" s="11">
        <f>2*AB5/384</f>
        <v>0</v>
      </c>
      <c r="AE5" s="11">
        <f>AB5/14.22</f>
        <v>0</v>
      </c>
      <c r="AF5" s="11">
        <f>AC5*AB18^2/8</f>
        <v>0</v>
      </c>
      <c r="AG5" s="11">
        <f>-AB5/8</f>
        <v>0</v>
      </c>
      <c r="AH5" s="11">
        <v>0</v>
      </c>
      <c r="AI5" s="11">
        <f>AC5*AB18/2</f>
        <v>0</v>
      </c>
      <c r="AJ5" s="11">
        <f>3*AB5/8</f>
        <v>0</v>
      </c>
      <c r="AK5" s="11">
        <v>0</v>
      </c>
      <c r="AL5" s="11">
        <f>5*AB5/8</f>
        <v>0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</v>
      </c>
      <c r="AA6" s="11" t="s">
        <v>61</v>
      </c>
      <c r="AB6" s="11" t="e">
        <f>5*AB18^-4/(2+5*AB18^-4)</f>
        <v>#DIV/0!</v>
      </c>
      <c r="AC6" s="11" t="e">
        <f t="shared" si="0"/>
        <v>#DIV/0!</v>
      </c>
      <c r="AD6" s="11" t="e">
        <f>2*AB6/384*AB18^4</f>
        <v>#DIV/0!</v>
      </c>
      <c r="AE6" s="11" t="e">
        <f>AC6*AB18^2/8/AB18^2</f>
        <v>#DIV/0!</v>
      </c>
      <c r="AF6" s="11" t="e">
        <f>AB6/14.22*AB18^2</f>
        <v>#DIV/0!</v>
      </c>
      <c r="AG6" s="11">
        <v>0</v>
      </c>
      <c r="AH6" s="11" t="e">
        <f>-AB6/8*AB18^2</f>
        <v>#DIV/0!</v>
      </c>
      <c r="AI6" s="11" t="e">
        <f>3*AB6/8*AB18</f>
        <v>#DIV/0!</v>
      </c>
      <c r="AJ6" s="11" t="e">
        <f>AC6*AB18/2/AB18</f>
        <v>#DIV/0!</v>
      </c>
      <c r="AK6" s="11" t="e">
        <f>5*AB6/8*AB18</f>
        <v>#DIV/0!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3.2199999999999998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-10.251755499999998</v>
      </c>
      <c r="AA7" s="11">
        <v>3</v>
      </c>
      <c r="AB7" s="11">
        <f>5*AB18^4/(1+5*AB18^4)</f>
        <v>0</v>
      </c>
      <c r="AC7" s="11">
        <f t="shared" si="0"/>
        <v>1</v>
      </c>
      <c r="AD7" s="11">
        <f>AB7/384</f>
        <v>0</v>
      </c>
      <c r="AE7" s="11">
        <f>AB7/24</f>
        <v>0</v>
      </c>
      <c r="AF7" s="11">
        <f>AC7*AB18^2/8</f>
        <v>0</v>
      </c>
      <c r="AG7" s="11">
        <f>-AB7/12</f>
        <v>0</v>
      </c>
      <c r="AH7" s="11">
        <v>0</v>
      </c>
      <c r="AI7" s="11">
        <f>AC7*AB18/2</f>
        <v>0</v>
      </c>
      <c r="AJ7" s="11">
        <v>0</v>
      </c>
      <c r="AK7" s="11">
        <v>0</v>
      </c>
      <c r="AL7" s="11">
        <f>AB7/2</f>
        <v>0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/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 t="e">
        <f>5*AB18^-4/(1+5*AB18^-4)</f>
        <v>#DIV/0!</v>
      </c>
      <c r="AC8" s="11" t="e">
        <f t="shared" si="0"/>
        <v>#DIV/0!</v>
      </c>
      <c r="AD8" s="11" t="e">
        <f>AB8/384*AB18^4</f>
        <v>#DIV/0!</v>
      </c>
      <c r="AE8" s="11" t="e">
        <f>AC8*AB18^2/8/AB18^2</f>
        <v>#DIV/0!</v>
      </c>
      <c r="AF8" s="11" t="e">
        <f>AB8/24*AB18^2</f>
        <v>#DIV/0!</v>
      </c>
      <c r="AG8" s="11">
        <v>0</v>
      </c>
      <c r="AH8" s="11" t="e">
        <f>-AB8/12*AB18^2</f>
        <v>#DIV/0!</v>
      </c>
      <c r="AI8" s="11">
        <v>0</v>
      </c>
      <c r="AJ8" s="11" t="e">
        <f>AC8*AB18/2/AB18</f>
        <v>#DIV/0!</v>
      </c>
      <c r="AK8" s="11" t="e">
        <f>AB8/2*AB18</f>
        <v>#DIV/0!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</v>
      </c>
      <c r="AC9" s="11">
        <f t="shared" si="0"/>
        <v>1</v>
      </c>
      <c r="AD9" s="11">
        <f>2*AB9/384</f>
        <v>0</v>
      </c>
      <c r="AE9" s="11">
        <f>AB9/14.22</f>
        <v>0</v>
      </c>
      <c r="AF9" s="11">
        <f>AC9*AB18^2/14.22</f>
        <v>0</v>
      </c>
      <c r="AG9" s="11">
        <f>-AB9/8</f>
        <v>0</v>
      </c>
      <c r="AH9" s="11">
        <f>-AC9*AB18^2/8</f>
        <v>0</v>
      </c>
      <c r="AI9" s="11">
        <f>3*AC9*AB18/8</f>
        <v>0</v>
      </c>
      <c r="AJ9" s="11">
        <f>3*AB9/8</f>
        <v>0</v>
      </c>
      <c r="AK9" s="11">
        <f>5*AC9*AB18/8</f>
        <v>0</v>
      </c>
      <c r="AL9" s="11">
        <f>5*AB9/8</f>
        <v>0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</v>
      </c>
      <c r="AC10" s="11">
        <f t="shared" si="0"/>
        <v>1</v>
      </c>
      <c r="AD10" s="11">
        <f>AB10/384</f>
        <v>0</v>
      </c>
      <c r="AE10" s="11">
        <f>AB10/24</f>
        <v>0</v>
      </c>
      <c r="AF10" s="11">
        <f>AC10*AB18^2/14.22</f>
        <v>0</v>
      </c>
      <c r="AG10" s="11">
        <f>-AB10/12</f>
        <v>0</v>
      </c>
      <c r="AH10" s="11">
        <f>-AC10*AB18^2/8</f>
        <v>0</v>
      </c>
      <c r="AI10" s="11">
        <f>3*AC10*AB18/8</f>
        <v>0</v>
      </c>
      <c r="AJ10" s="11">
        <v>0</v>
      </c>
      <c r="AK10" s="11">
        <f>5*AC10*AB18/8</f>
        <v>0</v>
      </c>
      <c r="AL10" s="11">
        <f>AB10/2</f>
        <v>0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0.59250285802469116</v>
      </c>
      <c r="P11" s="12" t="s">
        <v>56</v>
      </c>
      <c r="Q11" s="24">
        <f>AB27*J6*E7</f>
        <v>0</v>
      </c>
      <c r="AA11" s="11" t="s">
        <v>63</v>
      </c>
      <c r="AB11" s="11" t="e">
        <f>2*AB18^-4/(1+2*AB18^-4)</f>
        <v>#DIV/0!</v>
      </c>
      <c r="AC11" s="11" t="e">
        <f t="shared" si="0"/>
        <v>#DIV/0!</v>
      </c>
      <c r="AD11" s="11" t="e">
        <f>AB11/384*AB18^4</f>
        <v>#DIV/0!</v>
      </c>
      <c r="AE11" s="11" t="e">
        <f>AC11*AB18^2/14.22/AB18^2</f>
        <v>#DIV/0!</v>
      </c>
      <c r="AF11" s="11" t="e">
        <f>AB11/24*AB18^2</f>
        <v>#DIV/0!</v>
      </c>
      <c r="AG11" s="11" t="e">
        <f>-AC11*AB18^2/8/AB18^2</f>
        <v>#DIV/0!</v>
      </c>
      <c r="AH11" s="11" t="e">
        <f>-AB11/12*AB18^2</f>
        <v>#DIV/0!</v>
      </c>
      <c r="AI11" s="11">
        <v>0</v>
      </c>
      <c r="AJ11" s="11" t="e">
        <f>3*AC11*AB18/8/AB18</f>
        <v>#DIV/0!</v>
      </c>
      <c r="AK11" s="11" t="e">
        <f>AB11/2*AB18</f>
        <v>#DIV/0!</v>
      </c>
      <c r="AL11" s="11" t="e">
        <f>5*AC11*AB18/8/AB18</f>
        <v>#DIV/0!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2.0737600030864192</v>
      </c>
      <c r="P12" s="17" t="s">
        <v>57</v>
      </c>
      <c r="Q12" s="25">
        <f>AB28*J6*E7</f>
        <v>9.5513250000000003</v>
      </c>
      <c r="AA12" s="11">
        <v>6</v>
      </c>
      <c r="AB12" s="11">
        <f>AB18^4/(1+AB18^4)</f>
        <v>0</v>
      </c>
      <c r="AC12" s="11">
        <f t="shared" si="0"/>
        <v>1</v>
      </c>
      <c r="AD12" s="11">
        <f>AB12/384</f>
        <v>0</v>
      </c>
      <c r="AE12" s="11">
        <f>AB12/24</f>
        <v>0</v>
      </c>
      <c r="AF12" s="11">
        <f>AC12*AB18^2/24</f>
        <v>0</v>
      </c>
      <c r="AG12" s="11">
        <f>-AB12/12</f>
        <v>0</v>
      </c>
      <c r="AH12" s="11">
        <f>-AC12*AB18^2/12</f>
        <v>0</v>
      </c>
      <c r="AI12" s="11">
        <v>0</v>
      </c>
      <c r="AJ12" s="11">
        <v>0</v>
      </c>
      <c r="AK12" s="11">
        <f>AC12*AB18/2</f>
        <v>0</v>
      </c>
      <c r="AL12" s="11">
        <f>AB12/2</f>
        <v>0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12.879999999999999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15.918874999999998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8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5.7675136427566791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</v>
      </c>
      <c r="AF21" s="29">
        <f>IF(AF22=0,"",Q7)</f>
        <v>-10.251755499999998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5.208333333333333E-3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 t="str">
        <f>IF(OR(E16=7,E16=8,E16=9,E16=10),"",Q6)</f>
        <v/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7.0323488045007029E-2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0</v>
      </c>
      <c r="AK23" s="11">
        <f>IF(OR(E16=7,E16=8,E16=9,E16=10),0,1)</f>
        <v>0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0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0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-0.125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15.918874999999998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0.375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0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0.625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9.5513250000000003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0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5</v>
      </c>
      <c r="AE33" s="11">
        <v>0</v>
      </c>
      <c r="AF33" s="11">
        <f>IF(OR(E16&lt;7,E16="2A",E16="3A",E16="5A"),0,1)</f>
        <v>1</v>
      </c>
      <c r="AI33" s="22">
        <f>AS8</f>
        <v>5</v>
      </c>
      <c r="AJ33" s="11">
        <f>AJ24</f>
        <v>0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0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5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167" priority="10">
      <formula>OR($E$16=7,$E$16=8,$E$16=9,$E$16=10)</formula>
    </cfRule>
  </conditionalFormatting>
  <conditionalFormatting sqref="H10:H13">
    <cfRule type="expression" dxfId="166" priority="6">
      <formula>OR($E$16=10)</formula>
    </cfRule>
  </conditionalFormatting>
  <conditionalFormatting sqref="H9:J9">
    <cfRule type="expression" dxfId="165" priority="5">
      <formula>OR($E$16=10)</formula>
    </cfRule>
  </conditionalFormatting>
  <conditionalFormatting sqref="H14:J14">
    <cfRule type="expression" dxfId="164" priority="4">
      <formula>OR($E$16=10)</formula>
    </cfRule>
  </conditionalFormatting>
  <conditionalFormatting sqref="I11:I13">
    <cfRule type="expression" dxfId="163" priority="8">
      <formula>OR($E$16=10)</formula>
    </cfRule>
  </conditionalFormatting>
  <conditionalFormatting sqref="I10:J10">
    <cfRule type="expression" dxfId="162" priority="9">
      <formula>OR($E$16=10)</formula>
    </cfRule>
  </conditionalFormatting>
  <conditionalFormatting sqref="J11:J13">
    <cfRule type="expression" dxfId="161" priority="7">
      <formula>OR($E$16=10)</formula>
    </cfRule>
  </conditionalFormatting>
  <conditionalFormatting sqref="K9">
    <cfRule type="expression" dxfId="160" priority="2">
      <formula>OR($E$16=10)</formula>
    </cfRule>
  </conditionalFormatting>
  <conditionalFormatting sqref="K10:K13">
    <cfRule type="expression" dxfId="159" priority="3">
      <formula>OR($E$16=10)</formula>
    </cfRule>
  </conditionalFormatting>
  <conditionalFormatting sqref="K14">
    <cfRule type="expression" dxfId="158" priority="1">
      <formula>OR($E$16=10)</formula>
    </cfRule>
  </conditionalFormatting>
  <conditionalFormatting sqref="M14:N14">
    <cfRule type="cellIs" dxfId="157" priority="11" operator="equal">
      <formula>"Aumentar h!!!"</formula>
    </cfRule>
    <cfRule type="cellIs" dxfId="156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580B-EF47-4F3A-8E23-376000B376D3}">
  <dimension ref="B1:BO41"/>
  <sheetViews>
    <sheetView tabSelected="1" zoomScale="120" zoomScaleNormal="120" workbookViewId="0">
      <selection activeCell="E7" sqref="E7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87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</v>
      </c>
      <c r="AC4" s="11">
        <f t="shared" ref="AC4:AC12" si="0">1-AB4</f>
        <v>1</v>
      </c>
      <c r="AD4" s="11">
        <f>5*AB4/384</f>
        <v>0</v>
      </c>
      <c r="AE4" s="11">
        <f>AB4/8</f>
        <v>0</v>
      </c>
      <c r="AF4" s="11">
        <f>AC4*AB18^2/8</f>
        <v>0</v>
      </c>
      <c r="AG4" s="11">
        <v>0</v>
      </c>
      <c r="AH4" s="11">
        <v>0</v>
      </c>
      <c r="AI4" s="11">
        <f>AC4*AB18/2</f>
        <v>0</v>
      </c>
      <c r="AJ4" s="11">
        <f>AB4/2</f>
        <v>0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4.2067071026722918</v>
      </c>
      <c r="AA5" s="11">
        <v>2</v>
      </c>
      <c r="AB5" s="11">
        <f>5*AB18^4/(2+5*AB18^4)</f>
        <v>0</v>
      </c>
      <c r="AC5" s="11">
        <f t="shared" si="0"/>
        <v>1</v>
      </c>
      <c r="AD5" s="11">
        <f>2*AB5/384</f>
        <v>0</v>
      </c>
      <c r="AE5" s="11">
        <f>AB5/14.22</f>
        <v>0</v>
      </c>
      <c r="AF5" s="11">
        <f>AC5*AB18^2/8</f>
        <v>0</v>
      </c>
      <c r="AG5" s="11">
        <f>-AB5/8</f>
        <v>0</v>
      </c>
      <c r="AH5" s="11">
        <v>0</v>
      </c>
      <c r="AI5" s="11">
        <f>AC5*AB18/2</f>
        <v>0</v>
      </c>
      <c r="AJ5" s="11">
        <f>3*AB5/8</f>
        <v>0</v>
      </c>
      <c r="AK5" s="11">
        <v>0</v>
      </c>
      <c r="AL5" s="11">
        <f>5*AB5/8</f>
        <v>0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</v>
      </c>
      <c r="AA6" s="11" t="s">
        <v>61</v>
      </c>
      <c r="AB6" s="11" t="e">
        <f>5*AB18^-4/(2+5*AB18^-4)</f>
        <v>#DIV/0!</v>
      </c>
      <c r="AC6" s="11" t="e">
        <f t="shared" si="0"/>
        <v>#DIV/0!</v>
      </c>
      <c r="AD6" s="11" t="e">
        <f>2*AB6/384*AB18^4</f>
        <v>#DIV/0!</v>
      </c>
      <c r="AE6" s="11" t="e">
        <f>AC6*AB18^2/8/AB18^2</f>
        <v>#DIV/0!</v>
      </c>
      <c r="AF6" s="11" t="e">
        <f>AB6/14.22*AB18^2</f>
        <v>#DIV/0!</v>
      </c>
      <c r="AG6" s="11">
        <v>0</v>
      </c>
      <c r="AH6" s="11" t="e">
        <f>-AB6/8*AB18^2</f>
        <v>#DIV/0!</v>
      </c>
      <c r="AI6" s="11" t="e">
        <f>3*AB6/8*AB18</f>
        <v>#DIV/0!</v>
      </c>
      <c r="AJ6" s="11" t="e">
        <f>AC6*AB18/2/AB18</f>
        <v>#DIV/0!</v>
      </c>
      <c r="AK6" s="11" t="e">
        <f>5*AB6/8*AB18</f>
        <v>#DIV/0!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2.75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-7.4774218750000001</v>
      </c>
      <c r="AA7" s="11">
        <v>3</v>
      </c>
      <c r="AB7" s="11">
        <f>5*AB18^4/(1+5*AB18^4)</f>
        <v>0</v>
      </c>
      <c r="AC7" s="11">
        <f t="shared" si="0"/>
        <v>1</v>
      </c>
      <c r="AD7" s="11">
        <f>AB7/384</f>
        <v>0</v>
      </c>
      <c r="AE7" s="11">
        <f>AB7/24</f>
        <v>0</v>
      </c>
      <c r="AF7" s="11">
        <f>AC7*AB18^2/8</f>
        <v>0</v>
      </c>
      <c r="AG7" s="11">
        <f>-AB7/12</f>
        <v>0</v>
      </c>
      <c r="AH7" s="11">
        <v>0</v>
      </c>
      <c r="AI7" s="11">
        <f>AC7*AB18/2</f>
        <v>0</v>
      </c>
      <c r="AJ7" s="11">
        <v>0</v>
      </c>
      <c r="AK7" s="11">
        <v>0</v>
      </c>
      <c r="AL7" s="11">
        <f>AB7/2</f>
        <v>0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/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 t="e">
        <f>5*AB18^-4/(1+5*AB18^-4)</f>
        <v>#DIV/0!</v>
      </c>
      <c r="AC8" s="11" t="e">
        <f t="shared" si="0"/>
        <v>#DIV/0!</v>
      </c>
      <c r="AD8" s="11" t="e">
        <f>AB8/384*AB18^4</f>
        <v>#DIV/0!</v>
      </c>
      <c r="AE8" s="11" t="e">
        <f>AC8*AB18^2/8/AB18^2</f>
        <v>#DIV/0!</v>
      </c>
      <c r="AF8" s="11" t="e">
        <f>AB8/24*AB18^2</f>
        <v>#DIV/0!</v>
      </c>
      <c r="AG8" s="11">
        <v>0</v>
      </c>
      <c r="AH8" s="11" t="e">
        <f>-AB8/12*AB18^2</f>
        <v>#DIV/0!</v>
      </c>
      <c r="AI8" s="11">
        <v>0</v>
      </c>
      <c r="AJ8" s="11" t="e">
        <f>AC8*AB18/2/AB18</f>
        <v>#DIV/0!</v>
      </c>
      <c r="AK8" s="11" t="e">
        <f>AB8/2*AB18</f>
        <v>#DIV/0!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</v>
      </c>
      <c r="AC9" s="11">
        <f t="shared" si="0"/>
        <v>1</v>
      </c>
      <c r="AD9" s="11">
        <f>2*AB9/384</f>
        <v>0</v>
      </c>
      <c r="AE9" s="11">
        <f>AB9/14.22</f>
        <v>0</v>
      </c>
      <c r="AF9" s="11">
        <f>AC9*AB18^2/14.22</f>
        <v>0</v>
      </c>
      <c r="AG9" s="11">
        <f>-AB9/8</f>
        <v>0</v>
      </c>
      <c r="AH9" s="11">
        <f>-AC9*AB18^2/8</f>
        <v>0</v>
      </c>
      <c r="AI9" s="11">
        <f>3*AC9*AB18/8</f>
        <v>0</v>
      </c>
      <c r="AJ9" s="11">
        <f>3*AB9/8</f>
        <v>0</v>
      </c>
      <c r="AK9" s="11">
        <f>5*AC9*AB18/8</f>
        <v>0</v>
      </c>
      <c r="AL9" s="11">
        <f>5*AB9/8</f>
        <v>0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</v>
      </c>
      <c r="AC10" s="11">
        <f t="shared" si="0"/>
        <v>1</v>
      </c>
      <c r="AD10" s="11">
        <f>AB10/384</f>
        <v>0</v>
      </c>
      <c r="AE10" s="11">
        <f>AB10/24</f>
        <v>0</v>
      </c>
      <c r="AF10" s="11">
        <f>AC10*AB18^2/14.22</f>
        <v>0</v>
      </c>
      <c r="AG10" s="11">
        <f>-AB10/12</f>
        <v>0</v>
      </c>
      <c r="AH10" s="11">
        <f>-AC10*AB18^2/8</f>
        <v>0</v>
      </c>
      <c r="AI10" s="11">
        <f>3*AC10*AB18/8</f>
        <v>0</v>
      </c>
      <c r="AJ10" s="11">
        <v>0</v>
      </c>
      <c r="AK10" s="11">
        <f>5*AC10*AB18/8</f>
        <v>0</v>
      </c>
      <c r="AL10" s="11">
        <f>AB10/2</f>
        <v>0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0.3152083677799824</v>
      </c>
      <c r="P11" s="12" t="s">
        <v>56</v>
      </c>
      <c r="Q11" s="24">
        <f>AB27*J6*E7</f>
        <v>0</v>
      </c>
      <c r="AA11" s="11" t="s">
        <v>63</v>
      </c>
      <c r="AB11" s="11" t="e">
        <f>2*AB18^-4/(1+2*AB18^-4)</f>
        <v>#DIV/0!</v>
      </c>
      <c r="AC11" s="11" t="e">
        <f t="shared" si="0"/>
        <v>#DIV/0!</v>
      </c>
      <c r="AD11" s="11" t="e">
        <f>AB11/384*AB18^4</f>
        <v>#DIV/0!</v>
      </c>
      <c r="AE11" s="11" t="e">
        <f>AC11*AB18^2/14.22/AB18^2</f>
        <v>#DIV/0!</v>
      </c>
      <c r="AF11" s="11" t="e">
        <f>AB11/24*AB18^2</f>
        <v>#DIV/0!</v>
      </c>
      <c r="AG11" s="11" t="e">
        <f>-AC11*AB18^2/8/AB18^2</f>
        <v>#DIV/0!</v>
      </c>
      <c r="AH11" s="11" t="e">
        <f>-AB11/12*AB18^2</f>
        <v>#DIV/0!</v>
      </c>
      <c r="AI11" s="11">
        <v>0</v>
      </c>
      <c r="AJ11" s="11" t="e">
        <f>3*AC11*AB18/8/AB18</f>
        <v>#DIV/0!</v>
      </c>
      <c r="AK11" s="11" t="e">
        <f>AB11/2*AB18</f>
        <v>#DIV/0!</v>
      </c>
      <c r="AL11" s="11" t="e">
        <f>5*AC11*AB18/8/AB18</f>
        <v>#DIV/0!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1.1032292872299383</v>
      </c>
      <c r="P12" s="17" t="s">
        <v>57</v>
      </c>
      <c r="Q12" s="25">
        <f>AB28*J6*E7</f>
        <v>8.1571875000000009</v>
      </c>
      <c r="AA12" s="11">
        <v>6</v>
      </c>
      <c r="AB12" s="11">
        <f>AB18^4/(1+AB18^4)</f>
        <v>0</v>
      </c>
      <c r="AC12" s="11">
        <f t="shared" si="0"/>
        <v>1</v>
      </c>
      <c r="AD12" s="11">
        <f>AB12/384</f>
        <v>0</v>
      </c>
      <c r="AE12" s="11">
        <f>AB12/24</f>
        <v>0</v>
      </c>
      <c r="AF12" s="11">
        <f>AC12*AB18^2/24</f>
        <v>0</v>
      </c>
      <c r="AG12" s="11">
        <f>-AB12/12</f>
        <v>0</v>
      </c>
      <c r="AH12" s="11">
        <f>-AC12*AB18^2/12</f>
        <v>0</v>
      </c>
      <c r="AI12" s="11">
        <v>0</v>
      </c>
      <c r="AJ12" s="11">
        <v>0</v>
      </c>
      <c r="AK12" s="11">
        <f>AC12*AB18/2</f>
        <v>0</v>
      </c>
      <c r="AL12" s="11">
        <f>AB12/2</f>
        <v>0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11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13.595312499999999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8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4.2067071026722918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</v>
      </c>
      <c r="AF21" s="29">
        <f>IF(AF22=0,"",Q7)</f>
        <v>-7.4774218750000001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5.208333333333333E-3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 t="str">
        <f>IF(OR(E16=7,E16=8,E16=9,E16=10),"",Q6)</f>
        <v/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7.0323488045007029E-2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0</v>
      </c>
      <c r="AK23" s="11">
        <f>IF(OR(E16=7,E16=8,E16=9,E16=10),0,1)</f>
        <v>0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0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0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-0.125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13.595312499999999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0.375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0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0.625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8.1571875000000009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0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5</v>
      </c>
      <c r="AE33" s="11">
        <v>0</v>
      </c>
      <c r="AF33" s="11">
        <f>IF(OR(E16&lt;7,E16="2A",E16="3A",E16="5A"),0,1)</f>
        <v>1</v>
      </c>
      <c r="AI33" s="22">
        <f>AS8</f>
        <v>5</v>
      </c>
      <c r="AJ33" s="11">
        <f>AJ24</f>
        <v>0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0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5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155" priority="10">
      <formula>OR($E$16=7,$E$16=8,$E$16=9,$E$16=10)</formula>
    </cfRule>
  </conditionalFormatting>
  <conditionalFormatting sqref="H10:H13">
    <cfRule type="expression" dxfId="154" priority="6">
      <formula>OR($E$16=10)</formula>
    </cfRule>
  </conditionalFormatting>
  <conditionalFormatting sqref="H9:J9">
    <cfRule type="expression" dxfId="153" priority="5">
      <formula>OR($E$16=10)</formula>
    </cfRule>
  </conditionalFormatting>
  <conditionalFormatting sqref="H14:J14">
    <cfRule type="expression" dxfId="152" priority="4">
      <formula>OR($E$16=10)</formula>
    </cfRule>
  </conditionalFormatting>
  <conditionalFormatting sqref="I11:I13">
    <cfRule type="expression" dxfId="151" priority="8">
      <formula>OR($E$16=10)</formula>
    </cfRule>
  </conditionalFormatting>
  <conditionalFormatting sqref="I10:J10">
    <cfRule type="expression" dxfId="150" priority="9">
      <formula>OR($E$16=10)</formula>
    </cfRule>
  </conditionalFormatting>
  <conditionalFormatting sqref="J11:J13">
    <cfRule type="expression" dxfId="149" priority="7">
      <formula>OR($E$16=10)</formula>
    </cfRule>
  </conditionalFormatting>
  <conditionalFormatting sqref="K9">
    <cfRule type="expression" dxfId="148" priority="2">
      <formula>OR($E$16=10)</formula>
    </cfRule>
  </conditionalFormatting>
  <conditionalFormatting sqref="K10:K13">
    <cfRule type="expression" dxfId="147" priority="3">
      <formula>OR($E$16=10)</formula>
    </cfRule>
  </conditionalFormatting>
  <conditionalFormatting sqref="K14">
    <cfRule type="expression" dxfId="146" priority="1">
      <formula>OR($E$16=10)</formula>
    </cfRule>
  </conditionalFormatting>
  <conditionalFormatting sqref="M14:N14">
    <cfRule type="cellIs" dxfId="145" priority="11" operator="equal">
      <formula>"Aumentar h!!!"</formula>
    </cfRule>
    <cfRule type="cellIs" dxfId="144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D472-B24F-4AFA-8FBB-7BC5F4A3F7AC}">
  <dimension ref="B1:BO41"/>
  <sheetViews>
    <sheetView zoomScale="120" zoomScaleNormal="120" workbookViewId="0">
      <selection activeCell="E26" sqref="E26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88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0.63789841610033116</v>
      </c>
      <c r="AC4" s="11">
        <f t="shared" ref="AC4:AC12" si="0">1-AB4</f>
        <v>0.36210158389966884</v>
      </c>
      <c r="AD4" s="11">
        <f>5*AB4/384</f>
        <v>8.3059689596397274E-3</v>
      </c>
      <c r="AE4" s="11">
        <f>AB4/8</f>
        <v>7.9737302012541394E-2</v>
      </c>
      <c r="AF4" s="11">
        <f>AC4*AB18^2/8</f>
        <v>6.0075997031497005E-2</v>
      </c>
      <c r="AG4" s="11">
        <v>0</v>
      </c>
      <c r="AH4" s="11">
        <v>0</v>
      </c>
      <c r="AI4" s="11">
        <f>AC4*AB18/2</f>
        <v>0.2085838616933576</v>
      </c>
      <c r="AJ4" s="11">
        <f>AB4/2</f>
        <v>0.31894920805016558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3.7595026623349783</v>
      </c>
      <c r="AA5" s="11">
        <v>2</v>
      </c>
      <c r="AB5" s="11">
        <f>5*AB18^4/(2+5*AB18^4)</f>
        <v>0.81495667857283283</v>
      </c>
      <c r="AC5" s="11">
        <f t="shared" si="0"/>
        <v>0.18504332142716717</v>
      </c>
      <c r="AD5" s="11">
        <f>2*AB5/384</f>
        <v>4.244566034233504E-3</v>
      </c>
      <c r="AE5" s="11">
        <f>AB5/14.22</f>
        <v>5.7310596242815245E-2</v>
      </c>
      <c r="AF5" s="11">
        <f>AC5*AB18^2/8</f>
        <v>3.0700396029852903E-2</v>
      </c>
      <c r="AG5" s="11">
        <f>-AB5/8</f>
        <v>-0.1018695848216041</v>
      </c>
      <c r="AH5" s="11">
        <v>0</v>
      </c>
      <c r="AI5" s="11">
        <f>AC5*AB18/2</f>
        <v>0.10659177501564929</v>
      </c>
      <c r="AJ5" s="11">
        <f>3*AB5/8</f>
        <v>0.30560875446481228</v>
      </c>
      <c r="AK5" s="11">
        <v>0</v>
      </c>
      <c r="AL5" s="11">
        <f>5*AB5/8</f>
        <v>0.50934792410802054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2.8324995338670687</v>
      </c>
      <c r="AA6" s="11" t="s">
        <v>61</v>
      </c>
      <c r="AB6" s="11">
        <f>5*AB18^-4/(2+5*AB18^-4)</f>
        <v>0.58662642388171882</v>
      </c>
      <c r="AC6" s="11">
        <f t="shared" si="0"/>
        <v>0.41337357611828118</v>
      </c>
      <c r="AD6" s="11">
        <f>2*AB6/384*AB18^4</f>
        <v>5.3824684390401216E-3</v>
      </c>
      <c r="AE6" s="11">
        <f>AC6*AB18^2/8/AB18^2</f>
        <v>5.1671697014785155E-2</v>
      </c>
      <c r="AF6" s="11">
        <f>AB6/14.22*AB18^2</f>
        <v>5.4754847611346698E-2</v>
      </c>
      <c r="AG6" s="11">
        <v>0</v>
      </c>
      <c r="AH6" s="11">
        <f>-AB6/8*AB18^2</f>
        <v>-9.7326741629168753E-2</v>
      </c>
      <c r="AI6" s="11">
        <f>3*AB6/8*AB18</f>
        <v>0.25343883520235544</v>
      </c>
      <c r="AJ6" s="11">
        <f>AC6*AB18/2/AB18</f>
        <v>0.20668678805914059</v>
      </c>
      <c r="AK6" s="11">
        <f>5*AB6/8*AB18</f>
        <v>0.42239805867059244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3.2550000000000003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-6.6825159823004237</v>
      </c>
      <c r="AA7" s="11">
        <v>3</v>
      </c>
      <c r="AB7" s="11">
        <f>5*AB18^4/(1+5*AB18^4)</f>
        <v>0.89804532327863962</v>
      </c>
      <c r="AC7" s="11">
        <f t="shared" si="0"/>
        <v>0.10195467672136038</v>
      </c>
      <c r="AD7" s="11">
        <f>AB7/384</f>
        <v>2.3386596960381241E-3</v>
      </c>
      <c r="AE7" s="11">
        <f>AB7/24</f>
        <v>3.7418555136609986E-2</v>
      </c>
      <c r="AF7" s="11">
        <f>AC7*AB18^2/8</f>
        <v>1.6915222491147144E-2</v>
      </c>
      <c r="AG7" s="11">
        <f>-AB7/12</f>
        <v>-7.4837110273219973E-2</v>
      </c>
      <c r="AH7" s="11">
        <v>0</v>
      </c>
      <c r="AI7" s="11">
        <f>AC7*AB18/2</f>
        <v>5.8729652489262887E-2</v>
      </c>
      <c r="AJ7" s="11">
        <v>0</v>
      </c>
      <c r="AK7" s="11">
        <v>0</v>
      </c>
      <c r="AL7" s="11">
        <f>AB7/2</f>
        <v>0.44902266163931981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>
        <f>VLOOKUP(C3,Resumo!B9:N28,9,FALSE)</f>
        <v>3.75</v>
      </c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-5.034767921448716</v>
      </c>
      <c r="AA8" s="11" t="s">
        <v>62</v>
      </c>
      <c r="AB8" s="11">
        <f>5*AB18^-4/(1+5*AB18^-4)</f>
        <v>0.73946382721462989</v>
      </c>
      <c r="AC8" s="11">
        <f t="shared" si="0"/>
        <v>0.26053617278537011</v>
      </c>
      <c r="AD8" s="11">
        <f>AB8/384*AB18^4</f>
        <v>3.392398083142839E-3</v>
      </c>
      <c r="AE8" s="11">
        <f>AC8*AB18^2/8/AB18^2</f>
        <v>3.2567021598171264E-2</v>
      </c>
      <c r="AF8" s="11">
        <f>AB8/24*AB18^2</f>
        <v>4.089462613430097E-2</v>
      </c>
      <c r="AG8" s="11">
        <v>0</v>
      </c>
      <c r="AH8" s="11">
        <f>-AB8/12*AB18^2</f>
        <v>-8.1789252268601939E-2</v>
      </c>
      <c r="AI8" s="11">
        <v>0</v>
      </c>
      <c r="AJ8" s="11">
        <f>AC8*AB18/2/AB18</f>
        <v>0.13026808639268506</v>
      </c>
      <c r="AK8" s="11">
        <f>AB8/2*AB18</f>
        <v>0.42595842581487892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0.63789841610033116</v>
      </c>
      <c r="AC9" s="11">
        <f t="shared" si="0"/>
        <v>0.36210158389966884</v>
      </c>
      <c r="AD9" s="11">
        <f>2*AB9/384</f>
        <v>3.3223875838558916E-3</v>
      </c>
      <c r="AE9" s="11">
        <f>AB9/14.22</f>
        <v>4.485924163856056E-2</v>
      </c>
      <c r="AF9" s="11">
        <f>AC9*AB18^2/14.22</f>
        <v>3.3798029272290857E-2</v>
      </c>
      <c r="AG9" s="11">
        <f>-AB9/8</f>
        <v>-7.9737302012541394E-2</v>
      </c>
      <c r="AH9" s="11">
        <f>-AC9*AB18^2/8</f>
        <v>-6.0075997031497005E-2</v>
      </c>
      <c r="AI9" s="11">
        <f>3*AC9*AB18/8</f>
        <v>0.1564378962700182</v>
      </c>
      <c r="AJ9" s="11">
        <f>3*AB9/8</f>
        <v>0.23921190603762418</v>
      </c>
      <c r="AK9" s="11">
        <f>5*AC9*AB18/8</f>
        <v>0.26072982711669701</v>
      </c>
      <c r="AL9" s="11">
        <f>5*AB9/8</f>
        <v>0.39868651006270694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0.77892305142965113</v>
      </c>
      <c r="AC10" s="11">
        <f t="shared" si="0"/>
        <v>0.22107694857034887</v>
      </c>
      <c r="AD10" s="11">
        <f>AB10/384</f>
        <v>2.028445446431383E-3</v>
      </c>
      <c r="AE10" s="11">
        <f>AB10/24</f>
        <v>3.2455127142902128E-2</v>
      </c>
      <c r="AF10" s="11">
        <f>AC10*AB18^2/14.22</f>
        <v>2.0634997225750126E-2</v>
      </c>
      <c r="AG10" s="11">
        <f>-AB10/12</f>
        <v>-6.4910254285804256E-2</v>
      </c>
      <c r="AH10" s="11">
        <f>-AC10*AB18^2/8</f>
        <v>-3.6678707568770848E-2</v>
      </c>
      <c r="AI10" s="11">
        <f>3*AC10*AB18/8</f>
        <v>9.5511354509079285E-2</v>
      </c>
      <c r="AJ10" s="11">
        <v>0</v>
      </c>
      <c r="AK10" s="11">
        <f>5*AC10*AB18/8</f>
        <v>0.15918559084846548</v>
      </c>
      <c r="AL10" s="11">
        <f>AB10/2</f>
        <v>0.38946152571482556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0.39465940628015667</v>
      </c>
      <c r="P11" s="12" t="s">
        <v>56</v>
      </c>
      <c r="Q11" s="24">
        <f>AB27*J6*E7</f>
        <v>4.0278143371589721</v>
      </c>
      <c r="AA11" s="11" t="s">
        <v>63</v>
      </c>
      <c r="AB11" s="11">
        <f>2*AB18^-4/(1+2*AB18^-4)</f>
        <v>0.53168073245018843</v>
      </c>
      <c r="AC11" s="11">
        <f t="shared" si="0"/>
        <v>0.46831926754981157</v>
      </c>
      <c r="AD11" s="11">
        <f>AB11/384*AB18^4</f>
        <v>2.4391628518219358E-3</v>
      </c>
      <c r="AE11" s="11">
        <f>AC11*AB18^2/14.22/AB18^2</f>
        <v>3.2933844412785622E-2</v>
      </c>
      <c r="AF11" s="11">
        <f>AB11/24*AB18^2</f>
        <v>2.9403581319537447E-2</v>
      </c>
      <c r="AG11" s="11">
        <f>-AC11*AB18^2/8/AB18^2</f>
        <v>-5.8539908443726453E-2</v>
      </c>
      <c r="AH11" s="11">
        <f>-AB11/12*AB18^2</f>
        <v>-5.8807162639074893E-2</v>
      </c>
      <c r="AI11" s="11">
        <v>0</v>
      </c>
      <c r="AJ11" s="11">
        <f>3*AC11*AB18/8/AB18</f>
        <v>0.17561972533117934</v>
      </c>
      <c r="AK11" s="11">
        <f>AB11/2*AB18</f>
        <v>0.30626770302430206</v>
      </c>
      <c r="AL11" s="11">
        <f>5*AC11*AB18/8/AB18</f>
        <v>0.29269954221863226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-0.5</v>
      </c>
      <c r="BD11" s="11">
        <f>AT8-BC11</f>
        <v>6.5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1.3813079219805484</v>
      </c>
      <c r="P12" s="17" t="s">
        <v>57</v>
      </c>
      <c r="Q12" s="25">
        <f>AB28*J6*E7</f>
        <v>6.1590009053460122</v>
      </c>
      <c r="AA12" s="11">
        <v>6</v>
      </c>
      <c r="AB12" s="11">
        <f>AB18^4/(1+AB18^4)</f>
        <v>0.63789841610033116</v>
      </c>
      <c r="AC12" s="11">
        <f t="shared" si="0"/>
        <v>0.36210158389966884</v>
      </c>
      <c r="AD12" s="11">
        <f>AB12/384</f>
        <v>1.6611937919279458E-3</v>
      </c>
      <c r="AE12" s="11">
        <f>AB12/24</f>
        <v>2.6579100670847133E-2</v>
      </c>
      <c r="AF12" s="11">
        <f>AC12*AB18^2/24</f>
        <v>2.0025332343832334E-2</v>
      </c>
      <c r="AG12" s="11">
        <f>-AB12/12</f>
        <v>-5.3158201341694265E-2</v>
      </c>
      <c r="AH12" s="11">
        <f>-AC12*AB18^2/12</f>
        <v>-4.0050664687664668E-2</v>
      </c>
      <c r="AI12" s="11">
        <v>0</v>
      </c>
      <c r="AJ12" s="11">
        <v>0</v>
      </c>
      <c r="AK12" s="11">
        <f>AC12*AB18/2</f>
        <v>0.2085838616933576</v>
      </c>
      <c r="AL12" s="11">
        <f>AB12/2</f>
        <v>0.31894920805016558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-0.5</v>
      </c>
      <c r="BD12" s="11">
        <f>BD11</f>
        <v>6.5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13.020000000000001</v>
      </c>
      <c r="P13" s="12" t="s">
        <v>58</v>
      </c>
      <c r="Q13" s="24">
        <f>AB29*J6*E7</f>
        <v>6.7130238952649544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10.26500150891002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1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4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1.1520737327188939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3.7595026623349783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0.63789841610033116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0.36210158389966884</v>
      </c>
      <c r="AF21" s="29">
        <f>IF(AF22=0,"",Q7)</f>
        <v>-6.6825159823004237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3.3223875838558916E-3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>
        <f>IF(OR(E16=7,E16=8,E16=9,E16=10),"",Q6)</f>
        <v>2.8324995338670687</v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4.485924163856056E-2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3.3798029272290857E-2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-7.9737302012541394E-2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10.26500150891002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-6.0075997031497005E-2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0.1564378962700182</v>
      </c>
      <c r="AF27" s="29">
        <f>IF(AF28=0,"",Q8)</f>
        <v>-5.034767921448716</v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0.23921190603762418</v>
      </c>
      <c r="AD28" s="11">
        <f>AD25</f>
        <v>2.5</v>
      </c>
      <c r="AE28" s="11">
        <f>(1-AG24)/2*AT8*AF28</f>
        <v>0.59999999999999987</v>
      </c>
      <c r="AF28" s="11">
        <f>IF(OR(E16="3A",E16="5A",E16=4,E16=5,E16=6),1,0)</f>
        <v>1</v>
      </c>
      <c r="AK28" s="29">
        <f>IF(OR(E16=4,E16=5,E16=6,E16=7,E16=8,E16=9,E16=10,E16="3A",E16="5A"),Q13,Q11)</f>
        <v>6.7130238952649544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0.26072982711669701</v>
      </c>
      <c r="AD29" s="11">
        <f>AD26</f>
        <v>2.5</v>
      </c>
      <c r="AE29" s="11">
        <f>-AE28</f>
        <v>-0.59999999999999987</v>
      </c>
      <c r="AF29" s="11">
        <f>IF(OR(E16="3A",E16="5A",E16=4,E16=5,E16=6),1,0)</f>
        <v>1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0.39868651006270694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6.1590009053460122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4.0278143371589721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-0.5</v>
      </c>
    </row>
    <row r="38" spans="13:46" x14ac:dyDescent="0.35">
      <c r="AS38" s="11">
        <v>0</v>
      </c>
      <c r="AT38" s="11">
        <f>AT37</f>
        <v>-0.5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143" priority="10">
      <formula>OR($E$16=7,$E$16=8,$E$16=9,$E$16=10)</formula>
    </cfRule>
  </conditionalFormatting>
  <conditionalFormatting sqref="H10:H13">
    <cfRule type="expression" dxfId="142" priority="6">
      <formula>OR($E$16=10)</formula>
    </cfRule>
  </conditionalFormatting>
  <conditionalFormatting sqref="H9:J9">
    <cfRule type="expression" dxfId="141" priority="5">
      <formula>OR($E$16=10)</formula>
    </cfRule>
  </conditionalFormatting>
  <conditionalFormatting sqref="H14:J14">
    <cfRule type="expression" dxfId="140" priority="4">
      <formula>OR($E$16=10)</formula>
    </cfRule>
  </conditionalFormatting>
  <conditionalFormatting sqref="I11:I13">
    <cfRule type="expression" dxfId="139" priority="8">
      <formula>OR($E$16=10)</formula>
    </cfRule>
  </conditionalFormatting>
  <conditionalFormatting sqref="I10:J10">
    <cfRule type="expression" dxfId="138" priority="9">
      <formula>OR($E$16=10)</formula>
    </cfRule>
  </conditionalFormatting>
  <conditionalFormatting sqref="J11:J13">
    <cfRule type="expression" dxfId="137" priority="7">
      <formula>OR($E$16=10)</formula>
    </cfRule>
  </conditionalFormatting>
  <conditionalFormatting sqref="K9">
    <cfRule type="expression" dxfId="136" priority="2">
      <formula>OR($E$16=10)</formula>
    </cfRule>
  </conditionalFormatting>
  <conditionalFormatting sqref="K10:K13">
    <cfRule type="expression" dxfId="135" priority="3">
      <formula>OR($E$16=10)</formula>
    </cfRule>
  </conditionalFormatting>
  <conditionalFormatting sqref="K14">
    <cfRule type="expression" dxfId="134" priority="1">
      <formula>OR($E$16=10)</formula>
    </cfRule>
  </conditionalFormatting>
  <conditionalFormatting sqref="M14:N14">
    <cfRule type="cellIs" dxfId="133" priority="11" operator="equal">
      <formula>"Aumentar h!!!"</formula>
    </cfRule>
    <cfRule type="cellIs" dxfId="132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626A-BE6E-4CA6-8779-B73B23E8FE35}">
  <dimension ref="B1:BO41"/>
  <sheetViews>
    <sheetView zoomScale="120" zoomScaleNormal="120" workbookViewId="0">
      <selection activeCell="C5" sqref="C5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93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0.66984581979592139</v>
      </c>
      <c r="AC4" s="11">
        <f t="shared" ref="AC4:AC12" si="0">1-AB4</f>
        <v>0.33015418020407861</v>
      </c>
      <c r="AD4" s="11">
        <f>5*AB4/384</f>
        <v>8.7219507785927259E-3</v>
      </c>
      <c r="AE4" s="11">
        <f>AB4/8</f>
        <v>8.3730727474490174E-2</v>
      </c>
      <c r="AF4" s="11">
        <f>AC4*AB18^2/8</f>
        <v>5.878355391522299E-2</v>
      </c>
      <c r="AG4" s="11">
        <v>0</v>
      </c>
      <c r="AH4" s="11">
        <v>0</v>
      </c>
      <c r="AI4" s="11">
        <f>AC4*AB18/2</f>
        <v>0.19701591840439037</v>
      </c>
      <c r="AJ4" s="11">
        <f>AB4/2</f>
        <v>0.3349229098979607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2.4580071377945805</v>
      </c>
      <c r="AA5" s="11">
        <v>2</v>
      </c>
      <c r="AB5" s="11">
        <f>5*AB18^4/(2+5*AB18^4)</f>
        <v>0.8353155776454616</v>
      </c>
      <c r="AC5" s="11">
        <f t="shared" si="0"/>
        <v>0.1646844223545384</v>
      </c>
      <c r="AD5" s="11">
        <f>2*AB5/384</f>
        <v>4.3506019669034461E-3</v>
      </c>
      <c r="AE5" s="11">
        <f>AB5/14.22</f>
        <v>5.8742305038358762E-2</v>
      </c>
      <c r="AF5" s="11">
        <f>AC5*AB18^2/8</f>
        <v>2.9321862938374417E-2</v>
      </c>
      <c r="AG5" s="11">
        <f>-AB5/8</f>
        <v>-0.1044144472056827</v>
      </c>
      <c r="AH5" s="11">
        <v>0</v>
      </c>
      <c r="AI5" s="11">
        <f>AC5*AB18/2</f>
        <v>9.8273638992001713E-2</v>
      </c>
      <c r="AJ5" s="11">
        <f>3*AB5/8</f>
        <v>0.31324334161704809</v>
      </c>
      <c r="AK5" s="11">
        <v>0</v>
      </c>
      <c r="AL5" s="11">
        <f>5*AB5/8</f>
        <v>0.52207223602841346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1.2269411006070454</v>
      </c>
      <c r="AA6" s="11" t="s">
        <v>61</v>
      </c>
      <c r="AB6" s="11">
        <f>5*AB18^-4/(2+5*AB18^-4)</f>
        <v>0.5520118973576682</v>
      </c>
      <c r="AC6" s="11">
        <f t="shared" si="0"/>
        <v>0.4479881026423318</v>
      </c>
      <c r="AD6" s="11">
        <f>2*AB6/384*AB18^4</f>
        <v>5.8331784198220292E-3</v>
      </c>
      <c r="AE6" s="11">
        <f>AC6*AB18^2/8/AB18^2</f>
        <v>5.5998512830291475E-2</v>
      </c>
      <c r="AF6" s="11">
        <f>AB6/14.22*AB18^2</f>
        <v>5.5293982049397429E-2</v>
      </c>
      <c r="AG6" s="11">
        <v>0</v>
      </c>
      <c r="AH6" s="11">
        <f>-AB6/8*AB18^2</f>
        <v>-9.8285053092803942E-2</v>
      </c>
      <c r="AI6" s="11">
        <f>3*AB6/8*AB18</f>
        <v>0.24705532471415201</v>
      </c>
      <c r="AJ6" s="11">
        <f>AC6*AB18/2/AB18</f>
        <v>0.22399405132116587</v>
      </c>
      <c r="AK6" s="11">
        <f>5*AB6/8*AB18</f>
        <v>0.41175887452358673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2.3000000000000003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-4.3691076874298673</v>
      </c>
      <c r="AA7" s="11">
        <v>3</v>
      </c>
      <c r="AB7" s="11">
        <f>5*AB18^4/(1+5*AB18^4)</f>
        <v>0.91026915242237905</v>
      </c>
      <c r="AC7" s="11">
        <f t="shared" si="0"/>
        <v>8.9730847577620954E-2</v>
      </c>
      <c r="AD7" s="11">
        <f>AB7/384</f>
        <v>2.3704925844332788E-3</v>
      </c>
      <c r="AE7" s="11">
        <f>AB7/24</f>
        <v>3.792788135093246E-2</v>
      </c>
      <c r="AF7" s="11">
        <f>AC7*AB18^2/8</f>
        <v>1.5976469276194782E-2</v>
      </c>
      <c r="AG7" s="11">
        <f>-AB7/12</f>
        <v>-7.5855762701864921E-2</v>
      </c>
      <c r="AH7" s="11">
        <v>0</v>
      </c>
      <c r="AI7" s="11">
        <f>AC7*AB18/2</f>
        <v>5.3545907956645544E-2</v>
      </c>
      <c r="AJ7" s="11">
        <v>0</v>
      </c>
      <c r="AK7" s="11">
        <v>0</v>
      </c>
      <c r="AL7" s="11">
        <f>AB7/2</f>
        <v>0.45513457621118952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>
        <f>VLOOKUP(C3,Resumo!B9:N28,9,FALSE)</f>
        <v>2.7450000000000001</v>
      </c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>
        <f>5*AB18^-4/(1+5*AB18^-4)</f>
        <v>0.71135008474803529</v>
      </c>
      <c r="AC8" s="11">
        <f t="shared" si="0"/>
        <v>0.28864991525196471</v>
      </c>
      <c r="AD8" s="11">
        <f>AB8/384*AB18^4</f>
        <v>3.7584624381766228E-3</v>
      </c>
      <c r="AE8" s="11">
        <f>AC8*AB18^2/8/AB18^2</f>
        <v>3.6081239406495588E-2</v>
      </c>
      <c r="AF8" s="11">
        <f>AB8/24*AB18^2</f>
        <v>4.2218341779525548E-2</v>
      </c>
      <c r="AG8" s="11">
        <v>0</v>
      </c>
      <c r="AH8" s="11">
        <f>-AB8/12*AB18^2</f>
        <v>-8.4436683559051096E-2</v>
      </c>
      <c r="AI8" s="11">
        <v>0</v>
      </c>
      <c r="AJ8" s="11">
        <f>AC8*AB18/2/AB18</f>
        <v>0.14432495762598235</v>
      </c>
      <c r="AK8" s="11">
        <f>AB8/2*AB18</f>
        <v>0.42449043100725148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0.66984581979592139</v>
      </c>
      <c r="AC9" s="11">
        <f t="shared" si="0"/>
        <v>0.33015418020407861</v>
      </c>
      <c r="AD9" s="11">
        <f>2*AB9/384</f>
        <v>3.4887803114370904E-3</v>
      </c>
      <c r="AE9" s="11">
        <f>AB9/14.22</f>
        <v>4.7105894500416412E-2</v>
      </c>
      <c r="AF9" s="11">
        <f>AC9*AB18^2/14.22</f>
        <v>3.307091640800168E-2</v>
      </c>
      <c r="AG9" s="11">
        <f>-AB9/8</f>
        <v>-8.3730727474490174E-2</v>
      </c>
      <c r="AH9" s="11">
        <f>-AC9*AB18^2/8</f>
        <v>-5.878355391522299E-2</v>
      </c>
      <c r="AI9" s="11">
        <f>3*AC9*AB18/8</f>
        <v>0.14776193880329277</v>
      </c>
      <c r="AJ9" s="11">
        <f>3*AB9/8</f>
        <v>0.25119218242347052</v>
      </c>
      <c r="AK9" s="11">
        <f>5*AC9*AB18/8</f>
        <v>0.24626989800548796</v>
      </c>
      <c r="AL9" s="11">
        <f>5*AB9/8</f>
        <v>0.41865363737245087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0.80228463233544034</v>
      </c>
      <c r="AC10" s="11">
        <f t="shared" si="0"/>
        <v>0.19771536766455966</v>
      </c>
      <c r="AD10" s="11">
        <f>AB10/384</f>
        <v>2.0892828967068759E-3</v>
      </c>
      <c r="AE10" s="11">
        <f>AB10/24</f>
        <v>3.3428526347310014E-2</v>
      </c>
      <c r="AF10" s="11">
        <f>AC10*AB18^2/14.22</f>
        <v>1.9804772402306828E-2</v>
      </c>
      <c r="AG10" s="11">
        <f>-AB10/12</f>
        <v>-6.6857052694620028E-2</v>
      </c>
      <c r="AH10" s="11">
        <f>-AC10*AB18^2/8</f>
        <v>-3.5202982945100388E-2</v>
      </c>
      <c r="AI10" s="11">
        <f>3*AC10*AB18/8</f>
        <v>8.8488372430306994E-2</v>
      </c>
      <c r="AJ10" s="11">
        <v>0</v>
      </c>
      <c r="AK10" s="11">
        <f>5*AC10*AB18/8</f>
        <v>0.14748062071717832</v>
      </c>
      <c r="AL10" s="11">
        <f>AB10/2</f>
        <v>0.40114231616772017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0.12883352434076484</v>
      </c>
      <c r="P11" s="12" t="s">
        <v>56</v>
      </c>
      <c r="Q11" s="24">
        <f>AB27*J6*E7</f>
        <v>1.7878923141814873</v>
      </c>
      <c r="AA11" s="11" t="s">
        <v>63</v>
      </c>
      <c r="AB11" s="11">
        <f>2*AB18^-4/(1+2*AB18^-4)</f>
        <v>0.4964149045540342</v>
      </c>
      <c r="AC11" s="11">
        <f t="shared" si="0"/>
        <v>0.50358509544596575</v>
      </c>
      <c r="AD11" s="11">
        <f>AB11/384*AB18^4</f>
        <v>2.6228390387810717E-3</v>
      </c>
      <c r="AE11" s="11">
        <f>AC11*AB18^2/14.22/AB18^2</f>
        <v>3.5413860439238096E-2</v>
      </c>
      <c r="AF11" s="11">
        <f>AB11/24*AB18^2</f>
        <v>2.9462025174757881E-2</v>
      </c>
      <c r="AG11" s="11">
        <f>-AC11*AB18^2/8/AB18^2</f>
        <v>-6.2948136930745718E-2</v>
      </c>
      <c r="AH11" s="11">
        <f>-AB11/12*AB18^2</f>
        <v>-5.8924050349515762E-2</v>
      </c>
      <c r="AI11" s="11">
        <v>0</v>
      </c>
      <c r="AJ11" s="11">
        <f>3*AC11*AB18/8/AB18</f>
        <v>0.18884441079223716</v>
      </c>
      <c r="AK11" s="11">
        <f>AB11/2*AB18</f>
        <v>0.29623019847843995</v>
      </c>
      <c r="AL11" s="11">
        <f>5*AC11*AB18/8/AB18</f>
        <v>0.31474068465372862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0.45091733519267696</v>
      </c>
      <c r="P12" s="17" t="s">
        <v>57</v>
      </c>
      <c r="Q12" s="25">
        <f>AB28*J6*E7</f>
        <v>5.698836114038957</v>
      </c>
      <c r="AA12" s="11">
        <v>6</v>
      </c>
      <c r="AB12" s="11">
        <f>AB18^4/(1+AB18^4)</f>
        <v>0.66984581979592139</v>
      </c>
      <c r="AC12" s="11">
        <f t="shared" si="0"/>
        <v>0.33015418020407861</v>
      </c>
      <c r="AD12" s="11">
        <f>AB12/384</f>
        <v>1.7443901557185452E-3</v>
      </c>
      <c r="AE12" s="11">
        <f>AB12/24</f>
        <v>2.7910242491496724E-2</v>
      </c>
      <c r="AF12" s="11">
        <f>AC12*AB18^2/24</f>
        <v>1.9594517971740995E-2</v>
      </c>
      <c r="AG12" s="11">
        <f>-AB12/12</f>
        <v>-5.5820484982993447E-2</v>
      </c>
      <c r="AH12" s="11">
        <f>-AC12*AB18^2/12</f>
        <v>-3.9189035943481991E-2</v>
      </c>
      <c r="AI12" s="11">
        <v>0</v>
      </c>
      <c r="AJ12" s="11">
        <v>0</v>
      </c>
      <c r="AK12" s="11">
        <f>AC12*AB18/2</f>
        <v>0.19701591840439037</v>
      </c>
      <c r="AL12" s="11">
        <f>AB12/2</f>
        <v>0.3349229098979607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9.2000000000000011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9.498060190064928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2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1.1934782608695651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2.4580071377945805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0.8353155776454616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0.1646844223545384</v>
      </c>
      <c r="AF21" s="29">
        <f>IF(AF22=0,"",Q7)</f>
        <v>-4.3691076874298673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4.3506019669034461E-3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>
        <f>IF(OR(E16=7,E16=8,E16=9,E16=10),"",Q6)</f>
        <v>1.2269411006070454</v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5.8742305038358762E-2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2.9321862938374417E-2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-0.1044144472056827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9.498060190064928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9.8273638992001713E-2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0.31324334161704809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1.7878923141814873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0.52207223602841346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5.698836114038957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1.7878923141814873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131" priority="10">
      <formula>OR($E$16=7,$E$16=8,$E$16=9,$E$16=10)</formula>
    </cfRule>
  </conditionalFormatting>
  <conditionalFormatting sqref="H10:H13">
    <cfRule type="expression" dxfId="130" priority="6">
      <formula>OR($E$16=10)</formula>
    </cfRule>
  </conditionalFormatting>
  <conditionalFormatting sqref="H9:J9">
    <cfRule type="expression" dxfId="129" priority="5">
      <formula>OR($E$16=10)</formula>
    </cfRule>
  </conditionalFormatting>
  <conditionalFormatting sqref="H14:J14">
    <cfRule type="expression" dxfId="128" priority="4">
      <formula>OR($E$16=10)</formula>
    </cfRule>
  </conditionalFormatting>
  <conditionalFormatting sqref="I11:I13">
    <cfRule type="expression" dxfId="127" priority="8">
      <formula>OR($E$16=10)</formula>
    </cfRule>
  </conditionalFormatting>
  <conditionalFormatting sqref="I10:J10">
    <cfRule type="expression" dxfId="126" priority="9">
      <formula>OR($E$16=10)</formula>
    </cfRule>
  </conditionalFormatting>
  <conditionalFormatting sqref="J11:J13">
    <cfRule type="expression" dxfId="125" priority="7">
      <formula>OR($E$16=10)</formula>
    </cfRule>
  </conditionalFormatting>
  <conditionalFormatting sqref="K9">
    <cfRule type="expression" dxfId="124" priority="2">
      <formula>OR($E$16=10)</formula>
    </cfRule>
  </conditionalFormatting>
  <conditionalFormatting sqref="K10:K13">
    <cfRule type="expression" dxfId="123" priority="3">
      <formula>OR($E$16=10)</formula>
    </cfRule>
  </conditionalFormatting>
  <conditionalFormatting sqref="K14">
    <cfRule type="expression" dxfId="122" priority="1">
      <formula>OR($E$16=10)</formula>
    </cfRule>
  </conditionalFormatting>
  <conditionalFormatting sqref="M14:N14">
    <cfRule type="cellIs" dxfId="121" priority="11" operator="equal">
      <formula>"Aumentar h!!!"</formula>
    </cfRule>
    <cfRule type="cellIs" dxfId="120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9042-653F-4100-877D-0F472BD044C6}">
  <dimension ref="B1:BO41"/>
  <sheetViews>
    <sheetView zoomScale="120" zoomScaleNormal="120" workbookViewId="0">
      <selection activeCell="E8" sqref="E8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94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</v>
      </c>
      <c r="AC4" s="11">
        <f t="shared" ref="AC4:AC12" si="0">1-AB4</f>
        <v>1</v>
      </c>
      <c r="AD4" s="11">
        <f>5*AB4/384</f>
        <v>0</v>
      </c>
      <c r="AE4" s="11">
        <f>AB4/8</f>
        <v>0</v>
      </c>
      <c r="AF4" s="11">
        <f>AC4*AB18^2/8</f>
        <v>0</v>
      </c>
      <c r="AG4" s="11">
        <v>0</v>
      </c>
      <c r="AH4" s="11">
        <v>0</v>
      </c>
      <c r="AI4" s="11">
        <f>AC4*AB18/2</f>
        <v>0</v>
      </c>
      <c r="AJ4" s="11">
        <f>AB4/2</f>
        <v>0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0.807701670182841</v>
      </c>
      <c r="AA5" s="11">
        <v>2</v>
      </c>
      <c r="AB5" s="11">
        <f>5*AB18^4/(2+5*AB18^4)</f>
        <v>0</v>
      </c>
      <c r="AC5" s="11">
        <f t="shared" si="0"/>
        <v>1</v>
      </c>
      <c r="AD5" s="11">
        <f>2*AB5/384</f>
        <v>0</v>
      </c>
      <c r="AE5" s="11">
        <f>AB5/14.22</f>
        <v>0</v>
      </c>
      <c r="AF5" s="11">
        <f>AC5*AB18^2/8</f>
        <v>0</v>
      </c>
      <c r="AG5" s="11">
        <f>-AB5/8</f>
        <v>0</v>
      </c>
      <c r="AH5" s="11">
        <v>0</v>
      </c>
      <c r="AI5" s="11">
        <f>AC5*AB18/2</f>
        <v>0</v>
      </c>
      <c r="AJ5" s="11">
        <f>3*AB5/8</f>
        <v>0</v>
      </c>
      <c r="AK5" s="11">
        <v>0</v>
      </c>
      <c r="AL5" s="11">
        <f>5*AB5/8</f>
        <v>0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</v>
      </c>
      <c r="AA6" s="11" t="s">
        <v>61</v>
      </c>
      <c r="AB6" s="11" t="e">
        <f>5*AB18^-4/(2+5*AB18^-4)</f>
        <v>#DIV/0!</v>
      </c>
      <c r="AC6" s="11" t="e">
        <f t="shared" si="0"/>
        <v>#DIV/0!</v>
      </c>
      <c r="AD6" s="11" t="e">
        <f>2*AB6/384*AB18^4</f>
        <v>#DIV/0!</v>
      </c>
      <c r="AE6" s="11" t="e">
        <f>AC6*AB18^2/8/AB18^2</f>
        <v>#DIV/0!</v>
      </c>
      <c r="AF6" s="11" t="e">
        <f>AB6/14.22*AB18^2</f>
        <v>#DIV/0!</v>
      </c>
      <c r="AG6" s="11">
        <v>0</v>
      </c>
      <c r="AH6" s="11" t="e">
        <f>-AB6/8*AB18^2</f>
        <v>#DIV/0!</v>
      </c>
      <c r="AI6" s="11" t="e">
        <f>3*AB6/8*AB18</f>
        <v>#DIV/0!</v>
      </c>
      <c r="AJ6" s="11" t="e">
        <f>AC6*AB18/2/AB18</f>
        <v>#DIV/0!</v>
      </c>
      <c r="AK6" s="11" t="e">
        <f>5*AB6/8*AB18</f>
        <v>#DIV/0!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1.2050000000000001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-1.4356897187500002</v>
      </c>
      <c r="AA7" s="11">
        <v>3</v>
      </c>
      <c r="AB7" s="11">
        <f>5*AB18^4/(1+5*AB18^4)</f>
        <v>0</v>
      </c>
      <c r="AC7" s="11">
        <f t="shared" si="0"/>
        <v>1</v>
      </c>
      <c r="AD7" s="11">
        <f>AB7/384</f>
        <v>0</v>
      </c>
      <c r="AE7" s="11">
        <f>AB7/24</f>
        <v>0</v>
      </c>
      <c r="AF7" s="11">
        <f>AC7*AB18^2/8</f>
        <v>0</v>
      </c>
      <c r="AG7" s="11">
        <f>-AB7/12</f>
        <v>0</v>
      </c>
      <c r="AH7" s="11">
        <v>0</v>
      </c>
      <c r="AI7" s="11">
        <f>AC7*AB18/2</f>
        <v>0</v>
      </c>
      <c r="AJ7" s="11">
        <v>0</v>
      </c>
      <c r="AK7" s="11">
        <v>0</v>
      </c>
      <c r="AL7" s="11">
        <f>AB7/2</f>
        <v>0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/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 t="e">
        <f>5*AB18^-4/(1+5*AB18^-4)</f>
        <v>#DIV/0!</v>
      </c>
      <c r="AC8" s="11" t="e">
        <f t="shared" si="0"/>
        <v>#DIV/0!</v>
      </c>
      <c r="AD8" s="11" t="e">
        <f>AB8/384*AB18^4</f>
        <v>#DIV/0!</v>
      </c>
      <c r="AE8" s="11" t="e">
        <f>AC8*AB18^2/8/AB18^2</f>
        <v>#DIV/0!</v>
      </c>
      <c r="AF8" s="11" t="e">
        <f>AB8/24*AB18^2</f>
        <v>#DIV/0!</v>
      </c>
      <c r="AG8" s="11">
        <v>0</v>
      </c>
      <c r="AH8" s="11" t="e">
        <f>-AB8/12*AB18^2</f>
        <v>#DIV/0!</v>
      </c>
      <c r="AI8" s="11">
        <v>0</v>
      </c>
      <c r="AJ8" s="11" t="e">
        <f>AC8*AB18/2/AB18</f>
        <v>#DIV/0!</v>
      </c>
      <c r="AK8" s="11" t="e">
        <f>AB8/2*AB18</f>
        <v>#DIV/0!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</v>
      </c>
      <c r="AC9" s="11">
        <f t="shared" si="0"/>
        <v>1</v>
      </c>
      <c r="AD9" s="11">
        <f>2*AB9/384</f>
        <v>0</v>
      </c>
      <c r="AE9" s="11">
        <f>AB9/14.22</f>
        <v>0</v>
      </c>
      <c r="AF9" s="11">
        <f>AC9*AB18^2/14.22</f>
        <v>0</v>
      </c>
      <c r="AG9" s="11">
        <f>-AB9/8</f>
        <v>0</v>
      </c>
      <c r="AH9" s="11">
        <f>-AC9*AB18^2/8</f>
        <v>0</v>
      </c>
      <c r="AI9" s="11">
        <f>3*AC9*AB18/8</f>
        <v>0</v>
      </c>
      <c r="AJ9" s="11">
        <f>3*AB9/8</f>
        <v>0</v>
      </c>
      <c r="AK9" s="11">
        <f>5*AC9*AB18/8</f>
        <v>0</v>
      </c>
      <c r="AL9" s="11">
        <f>5*AB9/8</f>
        <v>0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</v>
      </c>
      <c r="AC10" s="11">
        <f t="shared" si="0"/>
        <v>1</v>
      </c>
      <c r="AD10" s="11">
        <f>AB10/384</f>
        <v>0</v>
      </c>
      <c r="AE10" s="11">
        <f>AB10/24</f>
        <v>0</v>
      </c>
      <c r="AF10" s="11">
        <f>AC10*AB18^2/14.22</f>
        <v>0</v>
      </c>
      <c r="AG10" s="11">
        <f>-AB10/12</f>
        <v>0</v>
      </c>
      <c r="AH10" s="11">
        <f>-AC10*AB18^2/8</f>
        <v>0</v>
      </c>
      <c r="AI10" s="11">
        <f>3*AC10*AB18/8</f>
        <v>0</v>
      </c>
      <c r="AJ10" s="11">
        <v>0</v>
      </c>
      <c r="AK10" s="11">
        <f>5*AC10*AB18/8</f>
        <v>0</v>
      </c>
      <c r="AL10" s="11">
        <f>AB10/2</f>
        <v>0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1.1620241405561069E-2</v>
      </c>
      <c r="P11" s="12" t="s">
        <v>56</v>
      </c>
      <c r="Q11" s="24">
        <f>AB27*J6*E7</f>
        <v>0</v>
      </c>
      <c r="AA11" s="11" t="s">
        <v>63</v>
      </c>
      <c r="AB11" s="11" t="e">
        <f>2*AB18^-4/(1+2*AB18^-4)</f>
        <v>#DIV/0!</v>
      </c>
      <c r="AC11" s="11" t="e">
        <f t="shared" si="0"/>
        <v>#DIV/0!</v>
      </c>
      <c r="AD11" s="11" t="e">
        <f>AB11/384*AB18^4</f>
        <v>#DIV/0!</v>
      </c>
      <c r="AE11" s="11" t="e">
        <f>AC11*AB18^2/14.22/AB18^2</f>
        <v>#DIV/0!</v>
      </c>
      <c r="AF11" s="11" t="e">
        <f>AB11/24*AB18^2</f>
        <v>#DIV/0!</v>
      </c>
      <c r="AG11" s="11" t="e">
        <f>-AC11*AB18^2/8/AB18^2</f>
        <v>#DIV/0!</v>
      </c>
      <c r="AH11" s="11" t="e">
        <f>-AB11/12*AB18^2</f>
        <v>#DIV/0!</v>
      </c>
      <c r="AI11" s="11">
        <v>0</v>
      </c>
      <c r="AJ11" s="11" t="e">
        <f>3*AC11*AB18/8/AB18</f>
        <v>#DIV/0!</v>
      </c>
      <c r="AK11" s="11" t="e">
        <f>AB11/2*AB18</f>
        <v>#DIV/0!</v>
      </c>
      <c r="AL11" s="11" t="e">
        <f>5*AC11*AB18/8/AB18</f>
        <v>#DIV/0!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4.0670844919463739E-2</v>
      </c>
      <c r="P12" s="17" t="s">
        <v>57</v>
      </c>
      <c r="Q12" s="25">
        <f>AB28*J6*E7</f>
        <v>3.5743312500000002</v>
      </c>
      <c r="AA12" s="11">
        <v>6</v>
      </c>
      <c r="AB12" s="11">
        <f>AB18^4/(1+AB18^4)</f>
        <v>0</v>
      </c>
      <c r="AC12" s="11">
        <f t="shared" si="0"/>
        <v>1</v>
      </c>
      <c r="AD12" s="11">
        <f>AB12/384</f>
        <v>0</v>
      </c>
      <c r="AE12" s="11">
        <f>AB12/24</f>
        <v>0</v>
      </c>
      <c r="AF12" s="11">
        <f>AC12*AB18^2/24</f>
        <v>0</v>
      </c>
      <c r="AG12" s="11">
        <f>-AB12/12</f>
        <v>0</v>
      </c>
      <c r="AH12" s="11">
        <f>-AC12*AB18^2/12</f>
        <v>0</v>
      </c>
      <c r="AI12" s="11">
        <v>0</v>
      </c>
      <c r="AJ12" s="11">
        <v>0</v>
      </c>
      <c r="AK12" s="11">
        <f>AC12*AB18/2</f>
        <v>0</v>
      </c>
      <c r="AL12" s="11">
        <f>AB12/2</f>
        <v>0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4.82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5.95721875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8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0.807701670182841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</v>
      </c>
      <c r="AF21" s="29">
        <f>IF(AF22=0,"",Q7)</f>
        <v>-1.4356897187500002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5.208333333333333E-3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 t="str">
        <f>IF(OR(E16=7,E16=8,E16=9,E16=10),"",Q6)</f>
        <v/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7.0323488045007029E-2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0</v>
      </c>
      <c r="AK23" s="11">
        <f>IF(OR(E16=7,E16=8,E16=9,E16=10),0,1)</f>
        <v>0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0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0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-0.125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5.95721875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0.375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0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0.625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3.5743312500000002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0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5</v>
      </c>
      <c r="AE33" s="11">
        <v>0</v>
      </c>
      <c r="AF33" s="11">
        <f>IF(OR(E16&lt;7,E16="2A",E16="3A",E16="5A"),0,1)</f>
        <v>1</v>
      </c>
      <c r="AI33" s="22">
        <f>AS8</f>
        <v>5</v>
      </c>
      <c r="AJ33" s="11">
        <f>AJ24</f>
        <v>0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0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5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119" priority="10">
      <formula>OR($E$16=7,$E$16=8,$E$16=9,$E$16=10)</formula>
    </cfRule>
  </conditionalFormatting>
  <conditionalFormatting sqref="H10:H13">
    <cfRule type="expression" dxfId="118" priority="6">
      <formula>OR($E$16=10)</formula>
    </cfRule>
  </conditionalFormatting>
  <conditionalFormatting sqref="H9:J9">
    <cfRule type="expression" dxfId="117" priority="5">
      <formula>OR($E$16=10)</formula>
    </cfRule>
  </conditionalFormatting>
  <conditionalFormatting sqref="H14:J14">
    <cfRule type="expression" dxfId="116" priority="4">
      <formula>OR($E$16=10)</formula>
    </cfRule>
  </conditionalFormatting>
  <conditionalFormatting sqref="I11:I13">
    <cfRule type="expression" dxfId="115" priority="8">
      <formula>OR($E$16=10)</formula>
    </cfRule>
  </conditionalFormatting>
  <conditionalFormatting sqref="I10:J10">
    <cfRule type="expression" dxfId="114" priority="9">
      <formula>OR($E$16=10)</formula>
    </cfRule>
  </conditionalFormatting>
  <conditionalFormatting sqref="J11:J13">
    <cfRule type="expression" dxfId="113" priority="7">
      <formula>OR($E$16=10)</formula>
    </cfRule>
  </conditionalFormatting>
  <conditionalFormatting sqref="K9">
    <cfRule type="expression" dxfId="112" priority="2">
      <formula>OR($E$16=10)</formula>
    </cfRule>
  </conditionalFormatting>
  <conditionalFormatting sqref="K10:K13">
    <cfRule type="expression" dxfId="111" priority="3">
      <formula>OR($E$16=10)</formula>
    </cfRule>
  </conditionalFormatting>
  <conditionalFormatting sqref="K14">
    <cfRule type="expression" dxfId="110" priority="1">
      <formula>OR($E$16=10)</formula>
    </cfRule>
  </conditionalFormatting>
  <conditionalFormatting sqref="M14:N14">
    <cfRule type="cellIs" dxfId="109" priority="11" operator="equal">
      <formula>"Aumentar h!!!"</formula>
    </cfRule>
    <cfRule type="cellIs" dxfId="108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8EE9-079A-4C51-8DE7-F4CE32E7EFE9}">
  <dimension ref="B1:BO41"/>
  <sheetViews>
    <sheetView zoomScale="120" zoomScaleNormal="120" workbookViewId="0">
      <selection activeCell="E11" sqref="E11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95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0.16394823691460669</v>
      </c>
      <c r="AC4" s="11">
        <f t="shared" ref="AC4:AC12" si="0">1-AB4</f>
        <v>0.83605176308539331</v>
      </c>
      <c r="AD4" s="11">
        <f>5*AB4/384</f>
        <v>2.1347426681589412E-3</v>
      </c>
      <c r="AE4" s="11">
        <f>AB4/8</f>
        <v>2.0493529614325837E-2</v>
      </c>
      <c r="AF4" s="11">
        <f>AC4*AB18^2/8</f>
        <v>4.6278574370192949E-2</v>
      </c>
      <c r="AG4" s="11">
        <v>0</v>
      </c>
      <c r="AH4" s="11">
        <v>0</v>
      </c>
      <c r="AI4" s="11">
        <f>AC4*AB18/2</f>
        <v>0.27817722299023084</v>
      </c>
      <c r="AJ4" s="11">
        <f>AB4/2</f>
        <v>8.1974118457303347E-2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3.8499999999999996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2.2216311984295247</v>
      </c>
      <c r="AA5" s="11">
        <v>2</v>
      </c>
      <c r="AB5" s="11">
        <f>5*AB18^4/(2+5*AB18^4)</f>
        <v>0.32896961076211656</v>
      </c>
      <c r="AC5" s="11">
        <f t="shared" si="0"/>
        <v>0.6710303892378835</v>
      </c>
      <c r="AD5" s="11">
        <f>2*AB5/384</f>
        <v>1.7133833893860238E-3</v>
      </c>
      <c r="AE5" s="11">
        <f>AB5/14.22</f>
        <v>2.313429048960032E-2</v>
      </c>
      <c r="AF5" s="11">
        <f>AC5*AB18^2/8</f>
        <v>3.7144027611880126E-2</v>
      </c>
      <c r="AG5" s="11">
        <f>-AB5/8</f>
        <v>-4.112120134526457E-2</v>
      </c>
      <c r="AH5" s="11">
        <v>0</v>
      </c>
      <c r="AI5" s="11">
        <f>AC5*AB18/2</f>
        <v>0.22327011132824123</v>
      </c>
      <c r="AJ5" s="11">
        <f>3*AB5/8</f>
        <v>0.12336360403579372</v>
      </c>
      <c r="AK5" s="11">
        <v>0</v>
      </c>
      <c r="AL5" s="11">
        <f>5*AB5/8</f>
        <v>0.20560600672632284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6.3699999999999992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5.0168968730398893</v>
      </c>
      <c r="AA6" s="11" t="s">
        <v>61</v>
      </c>
      <c r="AB6" s="11">
        <f>5*AB18^-4/(2+5*AB18^-4)</f>
        <v>0.92726593189665518</v>
      </c>
      <c r="AC6" s="11">
        <f t="shared" si="0"/>
        <v>7.2734068103344818E-2</v>
      </c>
      <c r="AD6" s="11">
        <f>2*AB6/384*AB18^4</f>
        <v>9.470581784289697E-4</v>
      </c>
      <c r="AE6" s="11">
        <f>AC6*AB18^2/8/AB18^2</f>
        <v>9.0917585129181022E-3</v>
      </c>
      <c r="AF6" s="11">
        <f>AB6/14.22*AB18^2</f>
        <v>2.8876296956480411E-2</v>
      </c>
      <c r="AG6" s="11">
        <v>0</v>
      </c>
      <c r="AH6" s="11">
        <f>-AB6/8*AB18^2</f>
        <v>-5.1327617840143933E-2</v>
      </c>
      <c r="AI6" s="11">
        <f>3*AB6/8*AB18</f>
        <v>0.2313949984596653</v>
      </c>
      <c r="AJ6" s="11">
        <f>AC6*AB18/2/AB18</f>
        <v>3.6367034051672409E-2</v>
      </c>
      <c r="AK6" s="11">
        <f>5*AB6/8*AB18</f>
        <v>0.38565833076610884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5.5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-3.9489494552084805</v>
      </c>
      <c r="AA7" s="11">
        <v>3</v>
      </c>
      <c r="AB7" s="11">
        <f>5*AB18^4/(1+5*AB18^4)</f>
        <v>0.495074692601081</v>
      </c>
      <c r="AC7" s="11">
        <f t="shared" si="0"/>
        <v>0.50492530739891905</v>
      </c>
      <c r="AD7" s="11">
        <f>AB7/384</f>
        <v>1.2892570119819818E-3</v>
      </c>
      <c r="AE7" s="11">
        <f>AB7/24</f>
        <v>2.062811219171171E-2</v>
      </c>
      <c r="AF7" s="11">
        <f>AC7*AB18^2/8</f>
        <v>2.7949493585921317E-2</v>
      </c>
      <c r="AG7" s="11">
        <f>-AB7/12</f>
        <v>-4.1256224383423419E-2</v>
      </c>
      <c r="AH7" s="11">
        <v>0</v>
      </c>
      <c r="AI7" s="11">
        <f>AC7*AB18/2</f>
        <v>0.16800242046182215</v>
      </c>
      <c r="AJ7" s="11">
        <v>0</v>
      </c>
      <c r="AK7" s="11">
        <v>0</v>
      </c>
      <c r="AL7" s="11">
        <f>AB7/2</f>
        <v>0.2475373463005405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>
        <f>VLOOKUP(C3,Resumo!B9:N28,9,FALSE)</f>
        <v>3.6599999999999997</v>
      </c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-8.9175341918284037</v>
      </c>
      <c r="AA8" s="11" t="s">
        <v>62</v>
      </c>
      <c r="AB8" s="11">
        <f>5*AB18^-4/(1+5*AB18^-4)</f>
        <v>0.96226049197488484</v>
      </c>
      <c r="AC8" s="11">
        <f t="shared" si="0"/>
        <v>3.7739508025115165E-2</v>
      </c>
      <c r="AD8" s="11">
        <f>AB8/384*AB18^4</f>
        <v>4.913998440770203E-4</v>
      </c>
      <c r="AE8" s="11">
        <f>AC8*AB18^2/8/AB18^2</f>
        <v>4.7174385031393956E-3</v>
      </c>
      <c r="AF8" s="11">
        <f>AB8/24*AB18^2</f>
        <v>1.775489896184403E-2</v>
      </c>
      <c r="AG8" s="11">
        <v>0</v>
      </c>
      <c r="AH8" s="11">
        <f>-AB8/12*AB18^2</f>
        <v>-3.5509797923688059E-2</v>
      </c>
      <c r="AI8" s="11">
        <v>0</v>
      </c>
      <c r="AJ8" s="11">
        <f>AC8*AB18/2/AB18</f>
        <v>1.8869754012557582E-2</v>
      </c>
      <c r="AK8" s="11">
        <f>AB8/2*AB18</f>
        <v>0.32017030914800709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0.16394823691460669</v>
      </c>
      <c r="AC9" s="11">
        <f t="shared" si="0"/>
        <v>0.83605176308539331</v>
      </c>
      <c r="AD9" s="11">
        <f>2*AB9/384</f>
        <v>8.5389706726357649E-4</v>
      </c>
      <c r="AE9" s="11">
        <f>AB9/14.22</f>
        <v>1.1529411878664323E-2</v>
      </c>
      <c r="AF9" s="11">
        <f>AC9*AB18^2/14.22</f>
        <v>2.6035766171697859E-2</v>
      </c>
      <c r="AG9" s="11">
        <f>-AB9/8</f>
        <v>-2.0493529614325837E-2</v>
      </c>
      <c r="AH9" s="11">
        <f>-AC9*AB18^2/8</f>
        <v>-4.6278574370192949E-2</v>
      </c>
      <c r="AI9" s="11">
        <f>3*AC9*AB18/8</f>
        <v>0.20863291724267313</v>
      </c>
      <c r="AJ9" s="11">
        <f>3*AB9/8</f>
        <v>6.148058884297751E-2</v>
      </c>
      <c r="AK9" s="11">
        <f>5*AC9*AB18/8</f>
        <v>0.34772152873778855</v>
      </c>
      <c r="AL9" s="11">
        <f>5*AB9/8</f>
        <v>0.10246764807162918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0.28171052924002976</v>
      </c>
      <c r="AC10" s="11">
        <f t="shared" si="0"/>
        <v>0.71828947075997029</v>
      </c>
      <c r="AD10" s="11">
        <f>AB10/384</f>
        <v>7.3362116989591087E-4</v>
      </c>
      <c r="AE10" s="11">
        <f>AB10/24</f>
        <v>1.1737938718334574E-2</v>
      </c>
      <c r="AF10" s="11">
        <f>AC10*AB18^2/14.22</f>
        <v>2.2368491437998527E-2</v>
      </c>
      <c r="AG10" s="11">
        <f>-AB10/12</f>
        <v>-2.3475877436669148E-2</v>
      </c>
      <c r="AH10" s="11">
        <f>-AC10*AB18^2/8</f>
        <v>-3.9759993531042384E-2</v>
      </c>
      <c r="AI10" s="11">
        <f>3*AC10*AB18/8</f>
        <v>0.17924587247601079</v>
      </c>
      <c r="AJ10" s="11">
        <v>0</v>
      </c>
      <c r="AK10" s="11">
        <f>5*AC10*AB18/8</f>
        <v>0.29874312079335125</v>
      </c>
      <c r="AL10" s="11">
        <f>AB10/2</f>
        <v>0.14085526462001488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3.55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0.69203389985842523</v>
      </c>
      <c r="P11" s="12" t="s">
        <v>56</v>
      </c>
      <c r="Q11" s="24">
        <f>AB27*J6*E7</f>
        <v>7.3094542555970525</v>
      </c>
      <c r="AA11" s="11" t="s">
        <v>63</v>
      </c>
      <c r="AB11" s="11">
        <f>2*AB18^-4/(1+2*AB18^-4)</f>
        <v>0.91070609216425369</v>
      </c>
      <c r="AC11" s="11">
        <f t="shared" si="0"/>
        <v>8.9293907835746311E-2</v>
      </c>
      <c r="AD11" s="11">
        <f>AB11/384*AB18^4</f>
        <v>4.6507243664451218E-4</v>
      </c>
      <c r="AE11" s="11">
        <f>AC11*AB18^2/14.22/AB18^2</f>
        <v>6.2794590601790642E-3</v>
      </c>
      <c r="AF11" s="11">
        <f>AB11/24*AB18^2</f>
        <v>1.6803656374924897E-2</v>
      </c>
      <c r="AG11" s="11">
        <f>-AC11*AB18^2/8/AB18^2</f>
        <v>-1.1161738479468289E-2</v>
      </c>
      <c r="AH11" s="11">
        <f>-AB11/12*AB18^2</f>
        <v>-3.3607312749849794E-2</v>
      </c>
      <c r="AI11" s="11">
        <v>0</v>
      </c>
      <c r="AJ11" s="11">
        <f>3*AC11*AB18/8/AB18</f>
        <v>3.3485215438404867E-2</v>
      </c>
      <c r="AK11" s="11">
        <f>AB11/2*AB18</f>
        <v>0.30301675430192437</v>
      </c>
      <c r="AL11" s="11">
        <f>5*AC11*AB18/8/AB18</f>
        <v>5.5808692397341444E-2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-0.5</v>
      </c>
      <c r="BD11" s="11">
        <f>AT8-BC11</f>
        <v>6.5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2.4221186495044882</v>
      </c>
      <c r="P12" s="17" t="s">
        <v>57</v>
      </c>
      <c r="Q12" s="25">
        <f>AB28*J6*E7</f>
        <v>2.1539724301137166</v>
      </c>
      <c r="AA12" s="11">
        <v>6</v>
      </c>
      <c r="AB12" s="11">
        <f>AB18^4/(1+AB18^4)</f>
        <v>0.16394823691460669</v>
      </c>
      <c r="AC12" s="11">
        <f t="shared" si="0"/>
        <v>0.83605176308539331</v>
      </c>
      <c r="AD12" s="11">
        <f>AB12/384</f>
        <v>4.2694853363178825E-4</v>
      </c>
      <c r="AE12" s="11">
        <f>AB12/24</f>
        <v>6.8311765381086119E-3</v>
      </c>
      <c r="AF12" s="11">
        <f>AC12*AB18^2/24</f>
        <v>1.5426191456730983E-2</v>
      </c>
      <c r="AG12" s="11">
        <f>-AB12/12</f>
        <v>-1.3662353076217224E-2</v>
      </c>
      <c r="AH12" s="11">
        <f>-AC12*AB18^2/12</f>
        <v>-3.0852382913461967E-2</v>
      </c>
      <c r="AI12" s="11">
        <v>0</v>
      </c>
      <c r="AJ12" s="11">
        <v>0</v>
      </c>
      <c r="AK12" s="11">
        <f>AC12*AB18/2</f>
        <v>0.27817722299023084</v>
      </c>
      <c r="AL12" s="11">
        <f>AB12/2</f>
        <v>8.1974118457303347E-2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-0.5</v>
      </c>
      <c r="BD12" s="11">
        <f>BD11</f>
        <v>6.5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14.639999999999999</v>
      </c>
      <c r="P13" s="12" t="s">
        <v>58</v>
      </c>
      <c r="Q13" s="24">
        <f>AB29*J6*E7</f>
        <v>12.182423759328419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3.5899540501895277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1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4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0.66545454545454541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2.2216311984295247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0.16394823691460669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0.83605176308539331</v>
      </c>
      <c r="AF21" s="29">
        <f>IF(AF22=0,"",Q7)</f>
        <v>-3.9489494552084805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8.5389706726357649E-4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>
        <f>IF(OR(E16=7,E16=8,E16=9,E16=10),"",Q6)</f>
        <v>5.0168968730398893</v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1.1529411878664323E-2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2.6035766171697859E-2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-2.0493529614325837E-2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3.5899540501895277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-4.6278574370192949E-2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0.20863291724267313</v>
      </c>
      <c r="AF27" s="29">
        <f>IF(AF28=0,"",Q8)</f>
        <v>-8.9175341918284037</v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6.148058884297751E-2</v>
      </c>
      <c r="AD28" s="11">
        <f>AD25</f>
        <v>2.5</v>
      </c>
      <c r="AE28" s="11">
        <f>(1-AG24)/2*AT8*AF28</f>
        <v>0.59999999999999987</v>
      </c>
      <c r="AF28" s="11">
        <f>IF(OR(E16="3A",E16="5A",E16=4,E16=5,E16=6),1,0)</f>
        <v>1</v>
      </c>
      <c r="AK28" s="29">
        <f>IF(OR(E16=4,E16=5,E16=6,E16=7,E16=8,E16=9,E16=10,E16="3A",E16="5A"),Q13,Q11)</f>
        <v>12.182423759328419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0.34772152873778855</v>
      </c>
      <c r="AD29" s="11">
        <f>AD26</f>
        <v>2.5</v>
      </c>
      <c r="AE29" s="11">
        <f>-AE28</f>
        <v>-0.59999999999999987</v>
      </c>
      <c r="AF29" s="11">
        <f>IF(OR(E16="3A",E16="5A",E16=4,E16=5,E16=6),1,0)</f>
        <v>1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0.10246764807162918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2.1539724301137166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7.3094542555970525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-0.5</v>
      </c>
    </row>
    <row r="38" spans="13:46" x14ac:dyDescent="0.35">
      <c r="AS38" s="11">
        <v>0</v>
      </c>
      <c r="AT38" s="11">
        <f>AT37</f>
        <v>-0.5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107" priority="10">
      <formula>OR($E$16=7,$E$16=8,$E$16=9,$E$16=10)</formula>
    </cfRule>
  </conditionalFormatting>
  <conditionalFormatting sqref="H10:H13">
    <cfRule type="expression" dxfId="106" priority="6">
      <formula>OR($E$16=10)</formula>
    </cfRule>
  </conditionalFormatting>
  <conditionalFormatting sqref="H9:J9">
    <cfRule type="expression" dxfId="105" priority="5">
      <formula>OR($E$16=10)</formula>
    </cfRule>
  </conditionalFormatting>
  <conditionalFormatting sqref="H14:J14">
    <cfRule type="expression" dxfId="104" priority="4">
      <formula>OR($E$16=10)</formula>
    </cfRule>
  </conditionalFormatting>
  <conditionalFormatting sqref="I11:I13">
    <cfRule type="expression" dxfId="103" priority="8">
      <formula>OR($E$16=10)</formula>
    </cfRule>
  </conditionalFormatting>
  <conditionalFormatting sqref="I10:J10">
    <cfRule type="expression" dxfId="102" priority="9">
      <formula>OR($E$16=10)</formula>
    </cfRule>
  </conditionalFormatting>
  <conditionalFormatting sqref="J11:J13">
    <cfRule type="expression" dxfId="101" priority="7">
      <formula>OR($E$16=10)</formula>
    </cfRule>
  </conditionalFormatting>
  <conditionalFormatting sqref="K9">
    <cfRule type="expression" dxfId="100" priority="2">
      <formula>OR($E$16=10)</formula>
    </cfRule>
  </conditionalFormatting>
  <conditionalFormatting sqref="K10:K13">
    <cfRule type="expression" dxfId="99" priority="3">
      <formula>OR($E$16=10)</formula>
    </cfRule>
  </conditionalFormatting>
  <conditionalFormatting sqref="K14">
    <cfRule type="expression" dxfId="98" priority="1">
      <formula>OR($E$16=10)</formula>
    </cfRule>
  </conditionalFormatting>
  <conditionalFormatting sqref="M14:N14">
    <cfRule type="cellIs" dxfId="97" priority="11" operator="equal">
      <formula>"Aumentar h!!!"</formula>
    </cfRule>
    <cfRule type="cellIs" dxfId="96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D4C1-4141-4224-A061-C6564B61CAD8}">
  <dimension ref="B1:BO41"/>
  <sheetViews>
    <sheetView zoomScale="120" zoomScaleNormal="120" workbookViewId="0">
      <selection activeCell="E7" sqref="E7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89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</v>
      </c>
      <c r="AC4" s="11">
        <f t="shared" ref="AC4:AC12" si="0">1-AB4</f>
        <v>1</v>
      </c>
      <c r="AD4" s="11">
        <f>5*AB4/384</f>
        <v>0</v>
      </c>
      <c r="AE4" s="11">
        <f>AB4/8</f>
        <v>0</v>
      </c>
      <c r="AF4" s="11">
        <f>AC4*AB18^2/8</f>
        <v>0</v>
      </c>
      <c r="AG4" s="11">
        <v>0</v>
      </c>
      <c r="AH4" s="11">
        <v>0</v>
      </c>
      <c r="AI4" s="11">
        <f>AC4*AB18/2</f>
        <v>0</v>
      </c>
      <c r="AJ4" s="11">
        <f>AB4/2</f>
        <v>0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0.545189240506329</v>
      </c>
      <c r="AA5" s="11">
        <v>2</v>
      </c>
      <c r="AB5" s="11">
        <f>5*AB18^4/(2+5*AB18^4)</f>
        <v>0</v>
      </c>
      <c r="AC5" s="11">
        <f t="shared" si="0"/>
        <v>1</v>
      </c>
      <c r="AD5" s="11">
        <f>2*AB5/384</f>
        <v>0</v>
      </c>
      <c r="AE5" s="11">
        <f>AB5/14.22</f>
        <v>0</v>
      </c>
      <c r="AF5" s="11">
        <f>AC5*AB18^2/8</f>
        <v>0</v>
      </c>
      <c r="AG5" s="11">
        <f>-AB5/8</f>
        <v>0</v>
      </c>
      <c r="AH5" s="11">
        <v>0</v>
      </c>
      <c r="AI5" s="11">
        <f>AC5*AB18/2</f>
        <v>0</v>
      </c>
      <c r="AJ5" s="11">
        <f>3*AB5/8</f>
        <v>0</v>
      </c>
      <c r="AK5" s="11">
        <v>0</v>
      </c>
      <c r="AL5" s="11">
        <f>5*AB5/8</f>
        <v>0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</v>
      </c>
      <c r="AA6" s="11" t="s">
        <v>61</v>
      </c>
      <c r="AB6" s="11" t="e">
        <f>5*AB18^-4/(2+5*AB18^-4)</f>
        <v>#DIV/0!</v>
      </c>
      <c r="AC6" s="11" t="e">
        <f t="shared" si="0"/>
        <v>#DIV/0!</v>
      </c>
      <c r="AD6" s="11" t="e">
        <f>2*AB6/384*AB18^4</f>
        <v>#DIV/0!</v>
      </c>
      <c r="AE6" s="11" t="e">
        <f>AC6*AB18^2/8/AB18^2</f>
        <v>#DIV/0!</v>
      </c>
      <c r="AF6" s="11" t="e">
        <f>AB6/14.22*AB18^2</f>
        <v>#DIV/0!</v>
      </c>
      <c r="AG6" s="11">
        <v>0</v>
      </c>
      <c r="AH6" s="11" t="e">
        <f>-AB6/8*AB18^2</f>
        <v>#DIV/0!</v>
      </c>
      <c r="AI6" s="11" t="e">
        <f>3*AB6/8*AB18</f>
        <v>#DIV/0!</v>
      </c>
      <c r="AJ6" s="11" t="e">
        <f>AC6*AB18/2/AB18</f>
        <v>#DIV/0!</v>
      </c>
      <c r="AK6" s="11" t="e">
        <f>5*AB6/8*AB18</f>
        <v>#DIV/0!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0.99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-0.96907387499999997</v>
      </c>
      <c r="AA7" s="11">
        <v>3</v>
      </c>
      <c r="AB7" s="11">
        <f>5*AB18^4/(1+5*AB18^4)</f>
        <v>0</v>
      </c>
      <c r="AC7" s="11">
        <f t="shared" si="0"/>
        <v>1</v>
      </c>
      <c r="AD7" s="11">
        <f>AB7/384</f>
        <v>0</v>
      </c>
      <c r="AE7" s="11">
        <f>AB7/24</f>
        <v>0</v>
      </c>
      <c r="AF7" s="11">
        <f>AC7*AB18^2/8</f>
        <v>0</v>
      </c>
      <c r="AG7" s="11">
        <f>-AB7/12</f>
        <v>0</v>
      </c>
      <c r="AH7" s="11">
        <v>0</v>
      </c>
      <c r="AI7" s="11">
        <f>AC7*AB18/2</f>
        <v>0</v>
      </c>
      <c r="AJ7" s="11">
        <v>0</v>
      </c>
      <c r="AK7" s="11">
        <v>0</v>
      </c>
      <c r="AL7" s="11">
        <f>AB7/2</f>
        <v>0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/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 t="e">
        <f>5*AB18^-4/(1+5*AB18^-4)</f>
        <v>#DIV/0!</v>
      </c>
      <c r="AC8" s="11" t="e">
        <f t="shared" si="0"/>
        <v>#DIV/0!</v>
      </c>
      <c r="AD8" s="11" t="e">
        <f>AB8/384*AB18^4</f>
        <v>#DIV/0!</v>
      </c>
      <c r="AE8" s="11" t="e">
        <f>AC8*AB18^2/8/AB18^2</f>
        <v>#DIV/0!</v>
      </c>
      <c r="AF8" s="11" t="e">
        <f>AB8/24*AB18^2</f>
        <v>#DIV/0!</v>
      </c>
      <c r="AG8" s="11">
        <v>0</v>
      </c>
      <c r="AH8" s="11" t="e">
        <f>-AB8/12*AB18^2</f>
        <v>#DIV/0!</v>
      </c>
      <c r="AI8" s="11">
        <v>0</v>
      </c>
      <c r="AJ8" s="11" t="e">
        <f>AC8*AB18/2/AB18</f>
        <v>#DIV/0!</v>
      </c>
      <c r="AK8" s="11" t="e">
        <f>AB8/2*AB18</f>
        <v>#DIV/0!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</v>
      </c>
      <c r="AC9" s="11">
        <f t="shared" si="0"/>
        <v>1</v>
      </c>
      <c r="AD9" s="11">
        <f>2*AB9/384</f>
        <v>0</v>
      </c>
      <c r="AE9" s="11">
        <f>AB9/14.22</f>
        <v>0</v>
      </c>
      <c r="AF9" s="11">
        <f>AC9*AB18^2/14.22</f>
        <v>0</v>
      </c>
      <c r="AG9" s="11">
        <f>-AB9/8</f>
        <v>0</v>
      </c>
      <c r="AH9" s="11">
        <f>-AC9*AB18^2/8</f>
        <v>0</v>
      </c>
      <c r="AI9" s="11">
        <f>3*AC9*AB18/8</f>
        <v>0</v>
      </c>
      <c r="AJ9" s="11">
        <f>3*AB9/8</f>
        <v>0</v>
      </c>
      <c r="AK9" s="11">
        <f>5*AC9*AB18/8</f>
        <v>0</v>
      </c>
      <c r="AL9" s="11">
        <f>5*AB9/8</f>
        <v>0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</v>
      </c>
      <c r="AC10" s="11">
        <f t="shared" si="0"/>
        <v>1</v>
      </c>
      <c r="AD10" s="11">
        <f>AB10/384</f>
        <v>0</v>
      </c>
      <c r="AE10" s="11">
        <f>AB10/24</f>
        <v>0</v>
      </c>
      <c r="AF10" s="11">
        <f>AC10*AB18^2/14.22</f>
        <v>0</v>
      </c>
      <c r="AG10" s="11">
        <f>-AB10/12</f>
        <v>0</v>
      </c>
      <c r="AH10" s="11">
        <f>-AC10*AB18^2/8</f>
        <v>0</v>
      </c>
      <c r="AI10" s="11">
        <f>3*AC10*AB18/8</f>
        <v>0</v>
      </c>
      <c r="AJ10" s="11">
        <v>0</v>
      </c>
      <c r="AK10" s="11">
        <f>5*AC10*AB18/8</f>
        <v>0</v>
      </c>
      <c r="AL10" s="11">
        <f>AB10/2</f>
        <v>0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5.2942901785714286E-3</v>
      </c>
      <c r="P11" s="12" t="s">
        <v>56</v>
      </c>
      <c r="Q11" s="24">
        <f>AB27*J6*E7</f>
        <v>0</v>
      </c>
      <c r="AA11" s="11" t="s">
        <v>63</v>
      </c>
      <c r="AB11" s="11" t="e">
        <f>2*AB18^-4/(1+2*AB18^-4)</f>
        <v>#DIV/0!</v>
      </c>
      <c r="AC11" s="11" t="e">
        <f t="shared" si="0"/>
        <v>#DIV/0!</v>
      </c>
      <c r="AD11" s="11" t="e">
        <f>AB11/384*AB18^4</f>
        <v>#DIV/0!</v>
      </c>
      <c r="AE11" s="11" t="e">
        <f>AC11*AB18^2/14.22/AB18^2</f>
        <v>#DIV/0!</v>
      </c>
      <c r="AF11" s="11" t="e">
        <f>AB11/24*AB18^2</f>
        <v>#DIV/0!</v>
      </c>
      <c r="AG11" s="11" t="e">
        <f>-AC11*AB18^2/8/AB18^2</f>
        <v>#DIV/0!</v>
      </c>
      <c r="AH11" s="11" t="e">
        <f>-AB11/12*AB18^2</f>
        <v>#DIV/0!</v>
      </c>
      <c r="AI11" s="11">
        <v>0</v>
      </c>
      <c r="AJ11" s="11" t="e">
        <f>3*AC11*AB18/8/AB18</f>
        <v>#DIV/0!</v>
      </c>
      <c r="AK11" s="11" t="e">
        <f>AB11/2*AB18</f>
        <v>#DIV/0!</v>
      </c>
      <c r="AL11" s="11" t="e">
        <f>5*AC11*AB18/8/AB18</f>
        <v>#DIV/0!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1.8530015625E-2</v>
      </c>
      <c r="P12" s="17" t="s">
        <v>57</v>
      </c>
      <c r="Q12" s="25">
        <f>AB28*J6*E7</f>
        <v>2.9365874999999999</v>
      </c>
      <c r="AA12" s="11">
        <v>6</v>
      </c>
      <c r="AB12" s="11">
        <f>AB18^4/(1+AB18^4)</f>
        <v>0</v>
      </c>
      <c r="AC12" s="11">
        <f t="shared" si="0"/>
        <v>1</v>
      </c>
      <c r="AD12" s="11">
        <f>AB12/384</f>
        <v>0</v>
      </c>
      <c r="AE12" s="11">
        <f>AB12/24</f>
        <v>0</v>
      </c>
      <c r="AF12" s="11">
        <f>AC12*AB18^2/24</f>
        <v>0</v>
      </c>
      <c r="AG12" s="11">
        <f>-AB12/12</f>
        <v>0</v>
      </c>
      <c r="AH12" s="11">
        <f>-AC12*AB18^2/12</f>
        <v>0</v>
      </c>
      <c r="AI12" s="11">
        <v>0</v>
      </c>
      <c r="AJ12" s="11">
        <v>0</v>
      </c>
      <c r="AK12" s="11">
        <f>AC12*AB18/2</f>
        <v>0</v>
      </c>
      <c r="AL12" s="11">
        <f>AB12/2</f>
        <v>0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3.96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4.8943124999999998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8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0.545189240506329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</v>
      </c>
      <c r="AF21" s="29">
        <f>IF(AF22=0,"",Q7)</f>
        <v>-0.96907387499999997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5.208333333333333E-3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 t="str">
        <f>IF(OR(E16=7,E16=8,E16=9,E16=10),"",Q6)</f>
        <v/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7.0323488045007029E-2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0</v>
      </c>
      <c r="AK23" s="11">
        <f>IF(OR(E16=7,E16=8,E16=9,E16=10),0,1)</f>
        <v>0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0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0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-0.125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4.8943124999999998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0.375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0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0.625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2.9365874999999999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0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5</v>
      </c>
      <c r="AE33" s="11">
        <v>0</v>
      </c>
      <c r="AF33" s="11">
        <f>IF(OR(E16&lt;7,E16="2A",E16="3A",E16="5A"),0,1)</f>
        <v>1</v>
      </c>
      <c r="AI33" s="22">
        <f>AS8</f>
        <v>5</v>
      </c>
      <c r="AJ33" s="11">
        <f>AJ24</f>
        <v>0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0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5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95" priority="10">
      <formula>OR($E$16=7,$E$16=8,$E$16=9,$E$16=10)</formula>
    </cfRule>
  </conditionalFormatting>
  <conditionalFormatting sqref="H10:H13">
    <cfRule type="expression" dxfId="94" priority="6">
      <formula>OR($E$16=10)</formula>
    </cfRule>
  </conditionalFormatting>
  <conditionalFormatting sqref="H9:J9">
    <cfRule type="expression" dxfId="93" priority="5">
      <formula>OR($E$16=10)</formula>
    </cfRule>
  </conditionalFormatting>
  <conditionalFormatting sqref="H14:J14">
    <cfRule type="expression" dxfId="92" priority="4">
      <formula>OR($E$16=10)</formula>
    </cfRule>
  </conditionalFormatting>
  <conditionalFormatting sqref="I11:I13">
    <cfRule type="expression" dxfId="91" priority="8">
      <formula>OR($E$16=10)</formula>
    </cfRule>
  </conditionalFormatting>
  <conditionalFormatting sqref="I10:J10">
    <cfRule type="expression" dxfId="90" priority="9">
      <formula>OR($E$16=10)</formula>
    </cfRule>
  </conditionalFormatting>
  <conditionalFormatting sqref="J11:J13">
    <cfRule type="expression" dxfId="89" priority="7">
      <formula>OR($E$16=10)</formula>
    </cfRule>
  </conditionalFormatting>
  <conditionalFormatting sqref="K9">
    <cfRule type="expression" dxfId="88" priority="2">
      <formula>OR($E$16=10)</formula>
    </cfRule>
  </conditionalFormatting>
  <conditionalFormatting sqref="K10:K13">
    <cfRule type="expression" dxfId="87" priority="3">
      <formula>OR($E$16=10)</formula>
    </cfRule>
  </conditionalFormatting>
  <conditionalFormatting sqref="K14">
    <cfRule type="expression" dxfId="86" priority="1">
      <formula>OR($E$16=10)</formula>
    </cfRule>
  </conditionalFormatting>
  <conditionalFormatting sqref="M14:N14">
    <cfRule type="cellIs" dxfId="85" priority="11" operator="equal">
      <formula>"Aumentar h!!!"</formula>
    </cfRule>
    <cfRule type="cellIs" dxfId="84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55CF-F0B3-403D-A4E7-EC12227C5231}">
  <dimension ref="B1:BO41"/>
  <sheetViews>
    <sheetView zoomScale="120" zoomScaleNormal="120" workbookViewId="0">
      <selection activeCell="E8" sqref="E8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96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</v>
      </c>
      <c r="AC4" s="11">
        <f t="shared" ref="AC4:AC12" si="0">1-AB4</f>
        <v>1</v>
      </c>
      <c r="AD4" s="11">
        <f>5*AB4/384</f>
        <v>0</v>
      </c>
      <c r="AE4" s="11">
        <f>AB4/8</f>
        <v>0</v>
      </c>
      <c r="AF4" s="11">
        <f>AC4*AB18^2/8</f>
        <v>0</v>
      </c>
      <c r="AG4" s="11">
        <v>0</v>
      </c>
      <c r="AH4" s="11">
        <v>0</v>
      </c>
      <c r="AI4" s="11">
        <f>AC4*AB18/2</f>
        <v>0</v>
      </c>
      <c r="AJ4" s="11">
        <f>AB4/2</f>
        <v>0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0.96907387499999997</v>
      </c>
      <c r="AA5" s="11">
        <v>2</v>
      </c>
      <c r="AB5" s="11">
        <f>5*AB18^4/(2+5*AB18^4)</f>
        <v>0</v>
      </c>
      <c r="AC5" s="11">
        <f t="shared" si="0"/>
        <v>1</v>
      </c>
      <c r="AD5" s="11">
        <f>2*AB5/384</f>
        <v>0</v>
      </c>
      <c r="AE5" s="11">
        <f>AB5/14.22</f>
        <v>0</v>
      </c>
      <c r="AF5" s="11">
        <f>AC5*AB18^2/8</f>
        <v>0</v>
      </c>
      <c r="AG5" s="11">
        <f>-AB5/8</f>
        <v>0</v>
      </c>
      <c r="AH5" s="11">
        <v>0</v>
      </c>
      <c r="AI5" s="11">
        <f>AC5*AB18/2</f>
        <v>0</v>
      </c>
      <c r="AJ5" s="11">
        <f>3*AB5/8</f>
        <v>0</v>
      </c>
      <c r="AK5" s="11">
        <v>0</v>
      </c>
      <c r="AL5" s="11">
        <f>5*AB5/8</f>
        <v>0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</v>
      </c>
      <c r="AA6" s="11" t="s">
        <v>61</v>
      </c>
      <c r="AB6" s="11" t="e">
        <f>5*AB18^-4/(2+5*AB18^-4)</f>
        <v>#DIV/0!</v>
      </c>
      <c r="AC6" s="11" t="e">
        <f t="shared" si="0"/>
        <v>#DIV/0!</v>
      </c>
      <c r="AD6" s="11" t="e">
        <f>2*AB6/384*AB18^4</f>
        <v>#DIV/0!</v>
      </c>
      <c r="AE6" s="11" t="e">
        <f>AC6*AB18^2/8/AB18^2</f>
        <v>#DIV/0!</v>
      </c>
      <c r="AF6" s="11" t="e">
        <f>AB6/14.22*AB18^2</f>
        <v>#DIV/0!</v>
      </c>
      <c r="AG6" s="11">
        <v>0</v>
      </c>
      <c r="AH6" s="11" t="e">
        <f>-AB6/8*AB18^2</f>
        <v>#DIV/0!</v>
      </c>
      <c r="AI6" s="11" t="e">
        <f>3*AB6/8*AB18</f>
        <v>#DIV/0!</v>
      </c>
      <c r="AJ6" s="11" t="e">
        <f>AC6*AB18/2/AB18</f>
        <v>#DIV/0!</v>
      </c>
      <c r="AK6" s="11" t="e">
        <f>5*AB6/8*AB18</f>
        <v>#DIV/0!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0.99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0</v>
      </c>
      <c r="AA7" s="11">
        <v>3</v>
      </c>
      <c r="AB7" s="11">
        <f>5*AB18^4/(1+5*AB18^4)</f>
        <v>0</v>
      </c>
      <c r="AC7" s="11">
        <f t="shared" si="0"/>
        <v>1</v>
      </c>
      <c r="AD7" s="11">
        <f>AB7/384</f>
        <v>0</v>
      </c>
      <c r="AE7" s="11">
        <f>AB7/24</f>
        <v>0</v>
      </c>
      <c r="AF7" s="11">
        <f>AC7*AB18^2/8</f>
        <v>0</v>
      </c>
      <c r="AG7" s="11">
        <f>-AB7/12</f>
        <v>0</v>
      </c>
      <c r="AH7" s="11">
        <v>0</v>
      </c>
      <c r="AI7" s="11">
        <f>AC7*AB18/2</f>
        <v>0</v>
      </c>
      <c r="AJ7" s="11">
        <v>0</v>
      </c>
      <c r="AK7" s="11">
        <v>0</v>
      </c>
      <c r="AL7" s="11">
        <f>AB7/2</f>
        <v>0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/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 t="e">
        <f>5*AB18^-4/(1+5*AB18^-4)</f>
        <v>#DIV/0!</v>
      </c>
      <c r="AC8" s="11" t="e">
        <f t="shared" si="0"/>
        <v>#DIV/0!</v>
      </c>
      <c r="AD8" s="11" t="e">
        <f>AB8/384*AB18^4</f>
        <v>#DIV/0!</v>
      </c>
      <c r="AE8" s="11" t="e">
        <f>AC8*AB18^2/8/AB18^2</f>
        <v>#DIV/0!</v>
      </c>
      <c r="AF8" s="11" t="e">
        <f>AB8/24*AB18^2</f>
        <v>#DIV/0!</v>
      </c>
      <c r="AG8" s="11">
        <v>0</v>
      </c>
      <c r="AH8" s="11" t="e">
        <f>-AB8/12*AB18^2</f>
        <v>#DIV/0!</v>
      </c>
      <c r="AI8" s="11">
        <v>0</v>
      </c>
      <c r="AJ8" s="11" t="e">
        <f>AC8*AB18/2/AB18</f>
        <v>#DIV/0!</v>
      </c>
      <c r="AK8" s="11" t="e">
        <f>AB8/2*AB18</f>
        <v>#DIV/0!</v>
      </c>
      <c r="AL8" s="11">
        <v>0</v>
      </c>
      <c r="AS8" s="22">
        <v>5</v>
      </c>
      <c r="AT8" s="22">
        <v>6</v>
      </c>
      <c r="BB8" s="11">
        <f>BA10</f>
        <v>142.85714285714286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</v>
      </c>
      <c r="AC9" s="11">
        <f t="shared" si="0"/>
        <v>1</v>
      </c>
      <c r="AD9" s="11">
        <f>2*AB9/384</f>
        <v>0</v>
      </c>
      <c r="AE9" s="11">
        <f>AB9/14.22</f>
        <v>0</v>
      </c>
      <c r="AF9" s="11">
        <f>AC9*AB18^2/14.22</f>
        <v>0</v>
      </c>
      <c r="AG9" s="11">
        <f>-AB9/8</f>
        <v>0</v>
      </c>
      <c r="AH9" s="11">
        <f>-AC9*AB18^2/8</f>
        <v>0</v>
      </c>
      <c r="AI9" s="11">
        <f>3*AC9*AB18/8</f>
        <v>0</v>
      </c>
      <c r="AJ9" s="11">
        <f>3*AB9/8</f>
        <v>0</v>
      </c>
      <c r="AK9" s="11">
        <f>5*AC9*AB18/8</f>
        <v>0</v>
      </c>
      <c r="AL9" s="11">
        <f>5*AB9/8</f>
        <v>0</v>
      </c>
      <c r="BB9" s="11">
        <f>BA10</f>
        <v>142.85714285714286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</v>
      </c>
      <c r="AC10" s="11">
        <f t="shared" si="0"/>
        <v>1</v>
      </c>
      <c r="AD10" s="11">
        <f>AB10/384</f>
        <v>0</v>
      </c>
      <c r="AE10" s="11">
        <f>AB10/24</f>
        <v>0</v>
      </c>
      <c r="AF10" s="11">
        <f>AC10*AB18^2/14.22</f>
        <v>0</v>
      </c>
      <c r="AG10" s="11">
        <f>-AB10/12</f>
        <v>0</v>
      </c>
      <c r="AH10" s="11">
        <f>-AC10*AB18^2/8</f>
        <v>0</v>
      </c>
      <c r="AI10" s="11">
        <f>3*AC10*AB18/8</f>
        <v>0</v>
      </c>
      <c r="AJ10" s="11">
        <v>0</v>
      </c>
      <c r="AK10" s="11">
        <f>5*AC10*AB18/8</f>
        <v>0</v>
      </c>
      <c r="AL10" s="11">
        <f>AB10/2</f>
        <v>0</v>
      </c>
      <c r="AY10" s="11">
        <f>-AT11*AT12</f>
        <v>0</v>
      </c>
      <c r="BA10" s="11">
        <f>1000*(AY10-AY$15)/(AY$16-AY$15)</f>
        <v>142.85714285714286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1.3235725446428571E-2</v>
      </c>
      <c r="P11" s="12" t="s">
        <v>56</v>
      </c>
      <c r="Q11" s="24">
        <f>AB27*J6*E7</f>
        <v>0</v>
      </c>
      <c r="AA11" s="11" t="s">
        <v>63</v>
      </c>
      <c r="AB11" s="11" t="e">
        <f>2*AB18^-4/(1+2*AB18^-4)</f>
        <v>#DIV/0!</v>
      </c>
      <c r="AC11" s="11" t="e">
        <f t="shared" si="0"/>
        <v>#DIV/0!</v>
      </c>
      <c r="AD11" s="11" t="e">
        <f>AB11/384*AB18^4</f>
        <v>#DIV/0!</v>
      </c>
      <c r="AE11" s="11" t="e">
        <f>AC11*AB18^2/14.22/AB18^2</f>
        <v>#DIV/0!</v>
      </c>
      <c r="AF11" s="11" t="e">
        <f>AB11/24*AB18^2</f>
        <v>#DIV/0!</v>
      </c>
      <c r="AG11" s="11" t="e">
        <f>-AC11*AB18^2/8/AB18^2</f>
        <v>#DIV/0!</v>
      </c>
      <c r="AH11" s="11" t="e">
        <f>-AB11/12*AB18^2</f>
        <v>#DIV/0!</v>
      </c>
      <c r="AI11" s="11">
        <v>0</v>
      </c>
      <c r="AJ11" s="11" t="e">
        <f>3*AC11*AB18/8/AB18</f>
        <v>#DIV/0!</v>
      </c>
      <c r="AK11" s="11" t="e">
        <f>AB11/2*AB18</f>
        <v>#DIV/0!</v>
      </c>
      <c r="AL11" s="11" t="e">
        <f>5*AC11*AB18/8/AB18</f>
        <v>#DIV/0!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4.6325039062500004E-2</v>
      </c>
      <c r="P12" s="17" t="s">
        <v>57</v>
      </c>
      <c r="Q12" s="25">
        <f>AB28*J6*E7</f>
        <v>3.9154499999999999</v>
      </c>
      <c r="AA12" s="11">
        <v>6</v>
      </c>
      <c r="AB12" s="11">
        <f>AB18^4/(1+AB18^4)</f>
        <v>0</v>
      </c>
      <c r="AC12" s="11">
        <f t="shared" si="0"/>
        <v>1</v>
      </c>
      <c r="AD12" s="11">
        <f>AB12/384</f>
        <v>0</v>
      </c>
      <c r="AE12" s="11">
        <f>AB12/24</f>
        <v>0</v>
      </c>
      <c r="AF12" s="11">
        <f>AC12*AB18^2/24</f>
        <v>0</v>
      </c>
      <c r="AG12" s="11">
        <f>-AB12/12</f>
        <v>0</v>
      </c>
      <c r="AH12" s="11">
        <f>-AC12*AB18^2/12</f>
        <v>0</v>
      </c>
      <c r="AI12" s="11">
        <v>0</v>
      </c>
      <c r="AJ12" s="11">
        <v>0</v>
      </c>
      <c r="AK12" s="11">
        <f>AC12*AB18/2</f>
        <v>0</v>
      </c>
      <c r="AL12" s="11">
        <f>AB12/2</f>
        <v>0</v>
      </c>
      <c r="AS12" s="11" t="s">
        <v>7</v>
      </c>
      <c r="AT12" s="11">
        <f>IF(OR(E16=1,E16=7,E16="2A",E16="3A",E16="5A"),0,1)</f>
        <v>0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3.96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0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7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0.96907387499999997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</v>
      </c>
      <c r="AF21" s="29" t="str">
        <f>IF(AF22=0,"",Q7)</f>
        <v/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1.3020833333333334E-2</v>
      </c>
      <c r="AD22" s="11">
        <f>-(1-AG18)/2*AS8*AF22</f>
        <v>0</v>
      </c>
      <c r="AE22" s="11">
        <f>AE19</f>
        <v>3</v>
      </c>
      <c r="AF22" s="11">
        <f>IF(OR(E16=1,E16="2A",E16="3A",E16="5A",E16=7),0,1)</f>
        <v>0</v>
      </c>
      <c r="AI22" s="11" t="s">
        <v>4</v>
      </c>
      <c r="AJ22" s="11" t="s">
        <v>5</v>
      </c>
      <c r="AK22" s="29" t="str">
        <f>IF(OR(E16=7,E16=8,E16=9,E16=10),"",Q6)</f>
        <v/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0.125</v>
      </c>
      <c r="AC23" s="32"/>
      <c r="AD23" s="11">
        <f>-AD22</f>
        <v>0</v>
      </c>
      <c r="AE23" s="11">
        <f>AE20</f>
        <v>3</v>
      </c>
      <c r="AF23" s="11">
        <f>IF(OR(E16=1,E16="2A",E16="3A",E16="5A",E16=7),0,1)</f>
        <v>0</v>
      </c>
      <c r="AI23" s="11">
        <f>AS8/2</f>
        <v>2.5</v>
      </c>
      <c r="AJ23" s="11">
        <f>(AT8/2-(1-AL22)/2*AT8)*AK23</f>
        <v>0</v>
      </c>
      <c r="AK23" s="11">
        <f>IF(OR(E16=7,E16=8,E16=9,E16=10),0,1)</f>
        <v>0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0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0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0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3.9154499999999999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0.5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0</v>
      </c>
      <c r="AS28" s="11">
        <f>-AT11*AT12</f>
        <v>0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0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3.9154499999999999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0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5</v>
      </c>
      <c r="AE33" s="11">
        <v>0</v>
      </c>
      <c r="AF33" s="11">
        <f>IF(OR(E16&lt;7,E16="2A",E16="3A",E16="5A"),0,1)</f>
        <v>1</v>
      </c>
      <c r="AI33" s="22">
        <f>AS8</f>
        <v>5</v>
      </c>
      <c r="AJ33" s="11">
        <f>AJ24</f>
        <v>0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0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5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83" priority="10">
      <formula>OR($E$16=7,$E$16=8,$E$16=9,$E$16=10)</formula>
    </cfRule>
  </conditionalFormatting>
  <conditionalFormatting sqref="H10:H13">
    <cfRule type="expression" dxfId="82" priority="6">
      <formula>OR($E$16=10)</formula>
    </cfRule>
  </conditionalFormatting>
  <conditionalFormatting sqref="H9:J9">
    <cfRule type="expression" dxfId="81" priority="5">
      <formula>OR($E$16=10)</formula>
    </cfRule>
  </conditionalFormatting>
  <conditionalFormatting sqref="H14:J14">
    <cfRule type="expression" dxfId="80" priority="4">
      <formula>OR($E$16=10)</formula>
    </cfRule>
  </conditionalFormatting>
  <conditionalFormatting sqref="I11:I13">
    <cfRule type="expression" dxfId="79" priority="8">
      <formula>OR($E$16=10)</formula>
    </cfRule>
  </conditionalFormatting>
  <conditionalFormatting sqref="I10:J10">
    <cfRule type="expression" dxfId="78" priority="9">
      <formula>OR($E$16=10)</formula>
    </cfRule>
  </conditionalFormatting>
  <conditionalFormatting sqref="J11:J13">
    <cfRule type="expression" dxfId="77" priority="7">
      <formula>OR($E$16=10)</formula>
    </cfRule>
  </conditionalFormatting>
  <conditionalFormatting sqref="K9">
    <cfRule type="expression" dxfId="76" priority="2">
      <formula>OR($E$16=10)</formula>
    </cfRule>
  </conditionalFormatting>
  <conditionalFormatting sqref="K10:K13">
    <cfRule type="expression" dxfId="75" priority="3">
      <formula>OR($E$16=10)</formula>
    </cfRule>
  </conditionalFormatting>
  <conditionalFormatting sqref="K14">
    <cfRule type="expression" dxfId="74" priority="1">
      <formula>OR($E$16=10)</formula>
    </cfRule>
  </conditionalFormatting>
  <conditionalFormatting sqref="M14:N14">
    <cfRule type="cellIs" dxfId="73" priority="11" operator="equal">
      <formula>"Aumentar h!!!"</formula>
    </cfRule>
    <cfRule type="cellIs" dxfId="72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7AFF-67E4-40AC-A2DF-B78BC922F4A7}">
  <dimension ref="B1:BO41"/>
  <sheetViews>
    <sheetView zoomScale="120" zoomScaleNormal="120" workbookViewId="0">
      <selection activeCell="E8" sqref="E8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90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</v>
      </c>
      <c r="AC4" s="11">
        <f t="shared" ref="AC4:AC12" si="0">1-AB4</f>
        <v>1</v>
      </c>
      <c r="AD4" s="11">
        <f>5*AB4/384</f>
        <v>0</v>
      </c>
      <c r="AE4" s="11">
        <f>AB4/8</f>
        <v>0</v>
      </c>
      <c r="AF4" s="11">
        <f>AC4*AB18^2/8</f>
        <v>0</v>
      </c>
      <c r="AG4" s="11">
        <v>0</v>
      </c>
      <c r="AH4" s="11">
        <v>0</v>
      </c>
      <c r="AI4" s="11">
        <f>AC4*AB18/2</f>
        <v>0</v>
      </c>
      <c r="AJ4" s="11">
        <f>AB4/2</f>
        <v>0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4.45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0.2628045</v>
      </c>
      <c r="AA5" s="11">
        <v>2</v>
      </c>
      <c r="AB5" s="11">
        <f>5*AB18^4/(2+5*AB18^4)</f>
        <v>0</v>
      </c>
      <c r="AC5" s="11">
        <f t="shared" si="0"/>
        <v>1</v>
      </c>
      <c r="AD5" s="11">
        <f>2*AB5/384</f>
        <v>0</v>
      </c>
      <c r="AE5" s="11">
        <f>AB5/14.22</f>
        <v>0</v>
      </c>
      <c r="AF5" s="11">
        <f>AC5*AB18^2/8</f>
        <v>0</v>
      </c>
      <c r="AG5" s="11">
        <f>-AB5/8</f>
        <v>0</v>
      </c>
      <c r="AH5" s="11">
        <v>0</v>
      </c>
      <c r="AI5" s="11">
        <f>AC5*AB18/2</f>
        <v>0</v>
      </c>
      <c r="AJ5" s="11">
        <f>3*AB5/8</f>
        <v>0</v>
      </c>
      <c r="AK5" s="11">
        <v>0</v>
      </c>
      <c r="AL5" s="11">
        <f>5*AB5/8</f>
        <v>0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7.21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</v>
      </c>
      <c r="AA6" s="11" t="s">
        <v>61</v>
      </c>
      <c r="AB6" s="11" t="e">
        <f>5*AB18^-4/(2+5*AB18^-4)</f>
        <v>#DIV/0!</v>
      </c>
      <c r="AC6" s="11" t="e">
        <f t="shared" si="0"/>
        <v>#DIV/0!</v>
      </c>
      <c r="AD6" s="11" t="e">
        <f>2*AB6/384*AB18^4</f>
        <v>#DIV/0!</v>
      </c>
      <c r="AE6" s="11" t="e">
        <f>AC6*AB18^2/8/AB18^2</f>
        <v>#DIV/0!</v>
      </c>
      <c r="AF6" s="11" t="e">
        <f>AB6/14.22*AB18^2</f>
        <v>#DIV/0!</v>
      </c>
      <c r="AG6" s="11">
        <v>0</v>
      </c>
      <c r="AH6" s="11" t="e">
        <f>-AB6/8*AB18^2</f>
        <v>#DIV/0!</v>
      </c>
      <c r="AI6" s="11" t="e">
        <f>3*AB6/8*AB18</f>
        <v>#DIV/0!</v>
      </c>
      <c r="AJ6" s="11" t="e">
        <f>AC6*AB18/2/AB18</f>
        <v>#DIV/0!</v>
      </c>
      <c r="AK6" s="11" t="e">
        <f>5*AB6/8*AB18</f>
        <v>#DIV/0!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0.54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0</v>
      </c>
      <c r="AA7" s="11">
        <v>3</v>
      </c>
      <c r="AB7" s="11">
        <f>5*AB18^4/(1+5*AB18^4)</f>
        <v>0</v>
      </c>
      <c r="AC7" s="11">
        <f t="shared" si="0"/>
        <v>1</v>
      </c>
      <c r="AD7" s="11">
        <f>AB7/384</f>
        <v>0</v>
      </c>
      <c r="AE7" s="11">
        <f>AB7/24</f>
        <v>0</v>
      </c>
      <c r="AF7" s="11">
        <f>AC7*AB18^2/8</f>
        <v>0</v>
      </c>
      <c r="AG7" s="11">
        <f>-AB7/12</f>
        <v>0</v>
      </c>
      <c r="AH7" s="11">
        <v>0</v>
      </c>
      <c r="AI7" s="11">
        <f>AC7*AB18/2</f>
        <v>0</v>
      </c>
      <c r="AJ7" s="11">
        <v>0</v>
      </c>
      <c r="AK7" s="11">
        <v>0</v>
      </c>
      <c r="AL7" s="11">
        <f>AB7/2</f>
        <v>0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/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 t="e">
        <f>5*AB18^-4/(1+5*AB18^-4)</f>
        <v>#DIV/0!</v>
      </c>
      <c r="AC8" s="11" t="e">
        <f t="shared" si="0"/>
        <v>#DIV/0!</v>
      </c>
      <c r="AD8" s="11" t="e">
        <f>AB8/384*AB18^4</f>
        <v>#DIV/0!</v>
      </c>
      <c r="AE8" s="11" t="e">
        <f>AC8*AB18^2/8/AB18^2</f>
        <v>#DIV/0!</v>
      </c>
      <c r="AF8" s="11" t="e">
        <f>AB8/24*AB18^2</f>
        <v>#DIV/0!</v>
      </c>
      <c r="AG8" s="11">
        <v>0</v>
      </c>
      <c r="AH8" s="11" t="e">
        <f>-AB8/12*AB18^2</f>
        <v>#DIV/0!</v>
      </c>
      <c r="AI8" s="11">
        <v>0</v>
      </c>
      <c r="AJ8" s="11" t="e">
        <f>AC8*AB18/2/AB18</f>
        <v>#DIV/0!</v>
      </c>
      <c r="AK8" s="11" t="e">
        <f>AB8/2*AB18</f>
        <v>#DIV/0!</v>
      </c>
      <c r="AL8" s="11">
        <v>0</v>
      </c>
      <c r="AS8" s="22">
        <v>5</v>
      </c>
      <c r="AT8" s="22">
        <v>6</v>
      </c>
      <c r="BB8" s="11">
        <f>BA10</f>
        <v>142.85714285714286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</v>
      </c>
      <c r="AC9" s="11">
        <f t="shared" si="0"/>
        <v>1</v>
      </c>
      <c r="AD9" s="11">
        <f>2*AB9/384</f>
        <v>0</v>
      </c>
      <c r="AE9" s="11">
        <f>AB9/14.22</f>
        <v>0</v>
      </c>
      <c r="AF9" s="11">
        <f>AC9*AB18^2/14.22</f>
        <v>0</v>
      </c>
      <c r="AG9" s="11">
        <f>-AB9/8</f>
        <v>0</v>
      </c>
      <c r="AH9" s="11">
        <f>-AC9*AB18^2/8</f>
        <v>0</v>
      </c>
      <c r="AI9" s="11">
        <f>3*AC9*AB18/8</f>
        <v>0</v>
      </c>
      <c r="AJ9" s="11">
        <f>3*AB9/8</f>
        <v>0</v>
      </c>
      <c r="AK9" s="11">
        <f>5*AC9*AB18/8</f>
        <v>0</v>
      </c>
      <c r="AL9" s="11">
        <f>5*AB9/8</f>
        <v>0</v>
      </c>
      <c r="BB9" s="11">
        <f>BA10</f>
        <v>142.85714285714286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</v>
      </c>
      <c r="AC10" s="11">
        <f t="shared" si="0"/>
        <v>1</v>
      </c>
      <c r="AD10" s="11">
        <f>AB10/384</f>
        <v>0</v>
      </c>
      <c r="AE10" s="11">
        <f>AB10/24</f>
        <v>0</v>
      </c>
      <c r="AF10" s="11">
        <f>AC10*AB18^2/14.22</f>
        <v>0</v>
      </c>
      <c r="AG10" s="11">
        <f>-AB10/12</f>
        <v>0</v>
      </c>
      <c r="AH10" s="11">
        <f>-AC10*AB18^2/8</f>
        <v>0</v>
      </c>
      <c r="AI10" s="11">
        <f>3*AC10*AB18/8</f>
        <v>0</v>
      </c>
      <c r="AJ10" s="11">
        <v>0</v>
      </c>
      <c r="AK10" s="11">
        <f>5*AC10*AB18/8</f>
        <v>0</v>
      </c>
      <c r="AL10" s="11">
        <f>AB10/2</f>
        <v>0</v>
      </c>
      <c r="AY10" s="11">
        <f>-AT11*AT12</f>
        <v>0</v>
      </c>
      <c r="BA10" s="11">
        <f>1000*(AY10-AY$15)/(AY$16-AY$15)</f>
        <v>142.85714285714286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1.1334025621118013E-3</v>
      </c>
      <c r="P11" s="12" t="s">
        <v>56</v>
      </c>
      <c r="Q11" s="24">
        <f>AB27*J6*E7</f>
        <v>0</v>
      </c>
      <c r="AA11" s="11" t="s">
        <v>63</v>
      </c>
      <c r="AB11" s="11" t="e">
        <f>2*AB18^-4/(1+2*AB18^-4)</f>
        <v>#DIV/0!</v>
      </c>
      <c r="AC11" s="11" t="e">
        <f t="shared" si="0"/>
        <v>#DIV/0!</v>
      </c>
      <c r="AD11" s="11" t="e">
        <f>AB11/384*AB18^4</f>
        <v>#DIV/0!</v>
      </c>
      <c r="AE11" s="11" t="e">
        <f>AC11*AB18^2/14.22/AB18^2</f>
        <v>#DIV/0!</v>
      </c>
      <c r="AF11" s="11" t="e">
        <f>AB11/24*AB18^2</f>
        <v>#DIV/0!</v>
      </c>
      <c r="AG11" s="11" t="e">
        <f>-AC11*AB18^2/8/AB18^2</f>
        <v>#DIV/0!</v>
      </c>
      <c r="AH11" s="11" t="e">
        <f>-AB11/12*AB18^2</f>
        <v>#DIV/0!</v>
      </c>
      <c r="AI11" s="11">
        <v>0</v>
      </c>
      <c r="AJ11" s="11" t="e">
        <f>3*AC11*AB18/8/AB18</f>
        <v>#DIV/0!</v>
      </c>
      <c r="AK11" s="11" t="e">
        <f>AB11/2*AB18</f>
        <v>#DIV/0!</v>
      </c>
      <c r="AL11" s="11" t="e">
        <f>5*AC11*AB18/8/AB18</f>
        <v>#DIV/0!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3.9669089673913041E-3</v>
      </c>
      <c r="P12" s="17" t="s">
        <v>57</v>
      </c>
      <c r="Q12" s="25">
        <f>AB28*J6*E7</f>
        <v>1.9467000000000001</v>
      </c>
      <c r="AA12" s="11">
        <v>6</v>
      </c>
      <c r="AB12" s="11">
        <f>AB18^4/(1+AB18^4)</f>
        <v>0</v>
      </c>
      <c r="AC12" s="11">
        <f t="shared" si="0"/>
        <v>1</v>
      </c>
      <c r="AD12" s="11">
        <f>AB12/384</f>
        <v>0</v>
      </c>
      <c r="AE12" s="11">
        <f>AB12/24</f>
        <v>0</v>
      </c>
      <c r="AF12" s="11">
        <f>AC12*AB18^2/24</f>
        <v>0</v>
      </c>
      <c r="AG12" s="11">
        <f>-AB12/12</f>
        <v>0</v>
      </c>
      <c r="AH12" s="11">
        <f>-AC12*AB18^2/12</f>
        <v>0</v>
      </c>
      <c r="AI12" s="11">
        <v>0</v>
      </c>
      <c r="AJ12" s="11">
        <v>0</v>
      </c>
      <c r="AK12" s="11">
        <f>AC12*AB18/2</f>
        <v>0</v>
      </c>
      <c r="AL12" s="11">
        <f>AB12/2</f>
        <v>0</v>
      </c>
      <c r="AS12" s="11" t="s">
        <v>7</v>
      </c>
      <c r="AT12" s="11">
        <f>IF(OR(E16=1,E16=7,E16="2A",E16="3A",E16="5A"),0,1)</f>
        <v>0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2.16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0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7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0.2628045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</v>
      </c>
      <c r="AF21" s="29" t="str">
        <f>IF(AF22=0,"",Q7)</f>
        <v/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1.3020833333333334E-2</v>
      </c>
      <c r="AD22" s="11">
        <f>-(1-AG18)/2*AS8*AF22</f>
        <v>0</v>
      </c>
      <c r="AE22" s="11">
        <f>AE19</f>
        <v>3</v>
      </c>
      <c r="AF22" s="11">
        <f>IF(OR(E16=1,E16="2A",E16="3A",E16="5A",E16=7),0,1)</f>
        <v>0</v>
      </c>
      <c r="AI22" s="11" t="s">
        <v>4</v>
      </c>
      <c r="AJ22" s="11" t="s">
        <v>5</v>
      </c>
      <c r="AK22" s="29" t="str">
        <f>IF(OR(E16=7,E16=8,E16=9,E16=10),"",Q6)</f>
        <v/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0.125</v>
      </c>
      <c r="AC23" s="32"/>
      <c r="AD23" s="11">
        <f>-AD22</f>
        <v>0</v>
      </c>
      <c r="AE23" s="11">
        <f>AE20</f>
        <v>3</v>
      </c>
      <c r="AF23" s="11">
        <f>IF(OR(E16=1,E16="2A",E16="3A",E16="5A",E16=7),0,1)</f>
        <v>0</v>
      </c>
      <c r="AI23" s="11">
        <f>AS8/2</f>
        <v>2.5</v>
      </c>
      <c r="AJ23" s="11">
        <f>(AT8/2-(1-AL22)/2*AT8)*AK23</f>
        <v>0</v>
      </c>
      <c r="AK23" s="11">
        <f>IF(OR(E16=7,E16=8,E16=9,E16=10),0,1)</f>
        <v>0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0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0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0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1.9467000000000001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0.5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0</v>
      </c>
      <c r="AS28" s="11">
        <f>-AT11*AT12</f>
        <v>0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0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1.9467000000000001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0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5</v>
      </c>
      <c r="AE33" s="11">
        <v>0</v>
      </c>
      <c r="AF33" s="11">
        <f>IF(OR(E16&lt;7,E16="2A",E16="3A",E16="5A"),0,1)</f>
        <v>1</v>
      </c>
      <c r="AI33" s="22">
        <f>AS8</f>
        <v>5</v>
      </c>
      <c r="AJ33" s="11">
        <f>AJ24</f>
        <v>0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0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5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71" priority="10">
      <formula>OR($E$16=7,$E$16=8,$E$16=9,$E$16=10)</formula>
    </cfRule>
  </conditionalFormatting>
  <conditionalFormatting sqref="H10:H13">
    <cfRule type="expression" dxfId="70" priority="6">
      <formula>OR($E$16=10)</formula>
    </cfRule>
  </conditionalFormatting>
  <conditionalFormatting sqref="H9:J9">
    <cfRule type="expression" dxfId="69" priority="5">
      <formula>OR($E$16=10)</formula>
    </cfRule>
  </conditionalFormatting>
  <conditionalFormatting sqref="H14:J14">
    <cfRule type="expression" dxfId="68" priority="4">
      <formula>OR($E$16=10)</formula>
    </cfRule>
  </conditionalFormatting>
  <conditionalFormatting sqref="I11:I13">
    <cfRule type="expression" dxfId="67" priority="8">
      <formula>OR($E$16=10)</formula>
    </cfRule>
  </conditionalFormatting>
  <conditionalFormatting sqref="I10:J10">
    <cfRule type="expression" dxfId="66" priority="9">
      <formula>OR($E$16=10)</formula>
    </cfRule>
  </conditionalFormatting>
  <conditionalFormatting sqref="J11:J13">
    <cfRule type="expression" dxfId="65" priority="7">
      <formula>OR($E$16=10)</formula>
    </cfRule>
  </conditionalFormatting>
  <conditionalFormatting sqref="K9">
    <cfRule type="expression" dxfId="64" priority="2">
      <formula>OR($E$16=10)</formula>
    </cfRule>
  </conditionalFormatting>
  <conditionalFormatting sqref="K10:K13">
    <cfRule type="expression" dxfId="63" priority="3">
      <formula>OR($E$16=10)</formula>
    </cfRule>
  </conditionalFormatting>
  <conditionalFormatting sqref="K14">
    <cfRule type="expression" dxfId="62" priority="1">
      <formula>OR($E$16=10)</formula>
    </cfRule>
  </conditionalFormatting>
  <conditionalFormatting sqref="M14:N14">
    <cfRule type="cellIs" dxfId="61" priority="11" operator="equal">
      <formula>"Aumentar h!!!"</formula>
    </cfRule>
    <cfRule type="cellIs" dxfId="60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F6F0-8543-420C-99D1-22A86915A834}">
  <dimension ref="B1:BO41"/>
  <sheetViews>
    <sheetView zoomScale="120" zoomScaleNormal="120" workbookViewId="0">
      <selection activeCell="C5" sqref="C5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97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0.50136705080514088</v>
      </c>
      <c r="AC4" s="11">
        <f t="shared" ref="AC4:AC12" si="0">1-AB4</f>
        <v>0.49863294919485912</v>
      </c>
      <c r="AD4" s="11">
        <f>5*AB4/384</f>
        <v>6.5282168073586043E-3</v>
      </c>
      <c r="AE4" s="11">
        <f>AB4/8</f>
        <v>6.267088135064261E-2</v>
      </c>
      <c r="AF4" s="11">
        <f>AC4*AB18^2/8</f>
        <v>6.2499766396075448E-2</v>
      </c>
      <c r="AG4" s="11">
        <v>0</v>
      </c>
      <c r="AH4" s="11">
        <v>0</v>
      </c>
      <c r="AI4" s="11">
        <f>AC4*AB18/2</f>
        <v>0.24965753680618119</v>
      </c>
      <c r="AJ4" s="11">
        <f>AB4/2</f>
        <v>0.25068352540257044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2.9406200142572523</v>
      </c>
      <c r="AA5" s="11">
        <v>2</v>
      </c>
      <c r="AB5" s="11">
        <f>5*AB18^4/(2+5*AB18^4)</f>
        <v>0.71540036802239859</v>
      </c>
      <c r="AC5" s="11">
        <f t="shared" si="0"/>
        <v>0.28459963197760141</v>
      </c>
      <c r="AD5" s="11">
        <f>2*AB5/384</f>
        <v>3.7260435834499928E-3</v>
      </c>
      <c r="AE5" s="11">
        <f>AB5/14.22</f>
        <v>5.0309449228016778E-2</v>
      </c>
      <c r="AF5" s="11">
        <f>AC5*AB18^2/8</f>
        <v>3.5672352867435662E-2</v>
      </c>
      <c r="AG5" s="11">
        <f>-AB5/8</f>
        <v>-8.9425046002799824E-2</v>
      </c>
      <c r="AH5" s="11">
        <v>0</v>
      </c>
      <c r="AI5" s="11">
        <f>AC5*AB18/2</f>
        <v>0.14249448057975667</v>
      </c>
      <c r="AJ5" s="11">
        <f>3*AB5/8</f>
        <v>0.26827513800839947</v>
      </c>
      <c r="AK5" s="11">
        <v>0</v>
      </c>
      <c r="AL5" s="11">
        <f>5*AB5/8</f>
        <v>0.44712523001399912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2.474760355592736</v>
      </c>
      <c r="AA6" s="11" t="s">
        <v>61</v>
      </c>
      <c r="AB6" s="11">
        <f>5*AB18^-4/(2+5*AB18^-4)</f>
        <v>0.71316844527606937</v>
      </c>
      <c r="AC6" s="11">
        <f t="shared" si="0"/>
        <v>0.28683155472393063</v>
      </c>
      <c r="AD6" s="11">
        <f>2*AB6/384*AB18^4</f>
        <v>3.7347858688011799E-3</v>
      </c>
      <c r="AE6" s="11">
        <f>AC6*AB18^2/8/AB18^2</f>
        <v>3.5853944340491328E-2</v>
      </c>
      <c r="AF6" s="11">
        <f>AB6/14.22*AB18^2</f>
        <v>5.0289802612646213E-2</v>
      </c>
      <c r="AG6" s="11">
        <v>0</v>
      </c>
      <c r="AH6" s="11">
        <f>-AB6/8*AB18^2</f>
        <v>-8.939012414397865E-2</v>
      </c>
      <c r="AI6" s="11">
        <f>3*AB6/8*AB18</f>
        <v>0.26780401946413279</v>
      </c>
      <c r="AJ6" s="11">
        <f>AC6*AB18/2/AB18</f>
        <v>0.14341577736196531</v>
      </c>
      <c r="AK6" s="11">
        <f>5*AB6/8*AB18</f>
        <v>0.4463400324402213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3.6550000000000002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-5.8812400285145046</v>
      </c>
      <c r="AA7" s="11">
        <v>3</v>
      </c>
      <c r="AB7" s="11">
        <f>5*AB18^4/(1+5*AB18^4)</f>
        <v>0.83409142420454152</v>
      </c>
      <c r="AC7" s="11">
        <f t="shared" si="0"/>
        <v>0.16590857579545848</v>
      </c>
      <c r="AD7" s="11">
        <f>AB7/384</f>
        <v>2.1721130838659934E-3</v>
      </c>
      <c r="AE7" s="11">
        <f>AB7/24</f>
        <v>3.4753809341855894E-2</v>
      </c>
      <c r="AF7" s="11">
        <f>AC7*AB18^2/8</f>
        <v>2.0795351063472481E-2</v>
      </c>
      <c r="AG7" s="11">
        <f>-AB7/12</f>
        <v>-6.9507618683711789E-2</v>
      </c>
      <c r="AH7" s="11">
        <v>0</v>
      </c>
      <c r="AI7" s="11">
        <f>AC7*AB18/2</f>
        <v>8.3067768455728871E-2</v>
      </c>
      <c r="AJ7" s="11">
        <v>0</v>
      </c>
      <c r="AK7" s="11">
        <v>0</v>
      </c>
      <c r="AL7" s="11">
        <f>AB7/2</f>
        <v>0.41704571210227076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>
        <f>VLOOKUP(C3,Resumo!B9:N28,9,FALSE)</f>
        <v>3.66</v>
      </c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-4.398886532066089</v>
      </c>
      <c r="AA8" s="11" t="s">
        <v>62</v>
      </c>
      <c r="AB8" s="11">
        <f>5*AB18^-4/(1+5*AB18^-4)</f>
        <v>0.83257247381899502</v>
      </c>
      <c r="AC8" s="11">
        <f t="shared" si="0"/>
        <v>0.16742752618100498</v>
      </c>
      <c r="AD8" s="11">
        <f>AB8/384*AB18^4</f>
        <v>2.1800459138151683E-3</v>
      </c>
      <c r="AE8" s="11">
        <f>AC8*AB18^2/8/AB18^2</f>
        <v>2.0928440772625623E-2</v>
      </c>
      <c r="AF8" s="11">
        <f>AB8/24*AB18^2</f>
        <v>3.4785497164805973E-2</v>
      </c>
      <c r="AG8" s="11">
        <v>0</v>
      </c>
      <c r="AH8" s="11">
        <f>-AB8/12*AB18^2</f>
        <v>-6.9570994329611946E-2</v>
      </c>
      <c r="AI8" s="11">
        <v>0</v>
      </c>
      <c r="AJ8" s="11">
        <f>AC8*AB18/2/AB18</f>
        <v>8.3713763090502491E-2</v>
      </c>
      <c r="AK8" s="11">
        <f>AB8/2*AB18</f>
        <v>0.41685571192578957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0.50136705080514088</v>
      </c>
      <c r="AC9" s="11">
        <f t="shared" si="0"/>
        <v>0.49863294919485912</v>
      </c>
      <c r="AD9" s="11">
        <f>2*AB9/384</f>
        <v>2.6112867229434421E-3</v>
      </c>
      <c r="AE9" s="11">
        <f>AB9/14.22</f>
        <v>3.5257879803455759E-2</v>
      </c>
      <c r="AF9" s="11">
        <f>AC9*AB18^2/14.22</f>
        <v>3.5161612599761152E-2</v>
      </c>
      <c r="AG9" s="11">
        <f>-AB9/8</f>
        <v>-6.267088135064261E-2</v>
      </c>
      <c r="AH9" s="11">
        <f>-AC9*AB18^2/8</f>
        <v>-6.2499766396075448E-2</v>
      </c>
      <c r="AI9" s="11">
        <f>3*AC9*AB18/8</f>
        <v>0.18724315260463589</v>
      </c>
      <c r="AJ9" s="11">
        <f>3*AB9/8</f>
        <v>0.18801264405192783</v>
      </c>
      <c r="AK9" s="11">
        <f>5*AC9*AB18/8</f>
        <v>0.31207192100772652</v>
      </c>
      <c r="AL9" s="11">
        <f>5*AB9/8</f>
        <v>0.31335440675321302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0.66788071649270819</v>
      </c>
      <c r="AC10" s="11">
        <f t="shared" si="0"/>
        <v>0.33211928350729181</v>
      </c>
      <c r="AD10" s="11">
        <f>AB10/384</f>
        <v>1.7392726991997608E-3</v>
      </c>
      <c r="AE10" s="11">
        <f>AB10/24</f>
        <v>2.7828363187196174E-2</v>
      </c>
      <c r="AF10" s="11">
        <f>AC10*AB18^2/14.22</f>
        <v>2.3419731091677397E-2</v>
      </c>
      <c r="AG10" s="11">
        <f>-AB10/12</f>
        <v>-5.5656726374392347E-2</v>
      </c>
      <c r="AH10" s="11">
        <f>-AC10*AB18^2/8</f>
        <v>-4.1628572015456576E-2</v>
      </c>
      <c r="AI10" s="11">
        <f>3*AC10*AB18/8</f>
        <v>0.12471510714466703</v>
      </c>
      <c r="AJ10" s="11">
        <v>0</v>
      </c>
      <c r="AK10" s="11">
        <f>5*AC10*AB18/8</f>
        <v>0.2078585119077784</v>
      </c>
      <c r="AL10" s="11">
        <f>AB10/2</f>
        <v>0.3339403582463541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0.32846219946256333</v>
      </c>
      <c r="P11" s="12" t="s">
        <v>56</v>
      </c>
      <c r="Q11" s="24">
        <f>AB27*J6*E7</f>
        <v>3.6056446984148263</v>
      </c>
      <c r="AA11" s="11" t="s">
        <v>63</v>
      </c>
      <c r="AB11" s="11">
        <f>2*AB18^-4/(1+2*AB18^-4)</f>
        <v>0.66545040193164007</v>
      </c>
      <c r="AC11" s="11">
        <f t="shared" si="0"/>
        <v>0.33454959806835993</v>
      </c>
      <c r="AD11" s="11">
        <f>AB11/384*AB18^4</f>
        <v>1.7424458232727072E-3</v>
      </c>
      <c r="AE11" s="11">
        <f>AC11*AB18^2/14.22/AB18^2</f>
        <v>2.3526694660222218E-2</v>
      </c>
      <c r="AF11" s="11">
        <f>AB11/24*AB18^2</f>
        <v>2.7803012707749621E-2</v>
      </c>
      <c r="AG11" s="11">
        <f>-AC11*AB18^2/8/AB18^2</f>
        <v>-4.1818699758544992E-2</v>
      </c>
      <c r="AH11" s="11">
        <f>-AB11/12*AB18^2</f>
        <v>-5.5606025415499243E-2</v>
      </c>
      <c r="AI11" s="11">
        <v>0</v>
      </c>
      <c r="AJ11" s="11">
        <f>3*AC11*AB18/8/AB18</f>
        <v>0.12545609927563497</v>
      </c>
      <c r="AK11" s="11">
        <f>AB11/2*AB18</f>
        <v>0.3331803653994258</v>
      </c>
      <c r="AL11" s="11">
        <f>5*AC11*AB18/8/AB18</f>
        <v>0.20909349879272496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-0.5</v>
      </c>
      <c r="BD11" s="11">
        <f>AT8-BC11</f>
        <v>6.5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1.1496176981189716</v>
      </c>
      <c r="P12" s="17" t="s">
        <v>57</v>
      </c>
      <c r="Q12" s="25">
        <f>AB28*J6*E7</f>
        <v>0</v>
      </c>
      <c r="AA12" s="11">
        <v>6</v>
      </c>
      <c r="AB12" s="11">
        <f>AB18^4/(1+AB18^4)</f>
        <v>0.50136705080514088</v>
      </c>
      <c r="AC12" s="11">
        <f t="shared" si="0"/>
        <v>0.49863294919485912</v>
      </c>
      <c r="AD12" s="11">
        <f>AB12/384</f>
        <v>1.305643361471721E-3</v>
      </c>
      <c r="AE12" s="11">
        <f>AB12/24</f>
        <v>2.0890293783547537E-2</v>
      </c>
      <c r="AF12" s="11">
        <f>AC12*AB18^2/24</f>
        <v>2.0833255465358483E-2</v>
      </c>
      <c r="AG12" s="11">
        <f>-AB12/12</f>
        <v>-4.1780587567095073E-2</v>
      </c>
      <c r="AH12" s="11">
        <f>-AC12*AB18^2/12</f>
        <v>-4.1666510930716966E-2</v>
      </c>
      <c r="AI12" s="11">
        <v>0</v>
      </c>
      <c r="AJ12" s="11">
        <v>0</v>
      </c>
      <c r="AK12" s="11">
        <f>AC12*AB18/2</f>
        <v>0.24965753680618119</v>
      </c>
      <c r="AL12" s="11">
        <f>AB12/2</f>
        <v>0.25068352540257044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-0.5</v>
      </c>
      <c r="BD12" s="11">
        <f>BD11</f>
        <v>6.5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14.620000000000001</v>
      </c>
      <c r="P13" s="12" t="s">
        <v>58</v>
      </c>
      <c r="Q13" s="24">
        <f>AB29*J6*E7</f>
        <v>6.0094078306913774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5.5</v>
      </c>
      <c r="BA13" s="11">
        <f>1000*(AY13-AY$15)/(AY$16-AY$15)</f>
        <v>928.57142857142856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9.6545663942782571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1</v>
      </c>
      <c r="BB14" s="11">
        <f>BA13</f>
        <v>928.57142857142856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1</v>
      </c>
      <c r="AY15" s="11">
        <f>AS40</f>
        <v>-1</v>
      </c>
      <c r="AZ15" s="11" t="s">
        <v>0</v>
      </c>
      <c r="BB15" s="11">
        <f>BA13</f>
        <v>928.57142857142856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5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1.0013679890560876</v>
      </c>
      <c r="AD18" s="11" t="s">
        <v>4</v>
      </c>
      <c r="AE18" s="11" t="s">
        <v>5</v>
      </c>
      <c r="AF18" s="29">
        <f>IF(AF19=0,"",Q7)</f>
        <v>-5.8812400285145046</v>
      </c>
      <c r="AG18" s="11">
        <v>0.8</v>
      </c>
      <c r="AI18" s="11" t="s">
        <v>4</v>
      </c>
      <c r="AJ18" s="11" t="s">
        <v>5</v>
      </c>
      <c r="AK18" s="29">
        <f>IF(E16=10,"",Q5)</f>
        <v>2.9406200142572523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4.5</v>
      </c>
      <c r="AE19" s="11">
        <f>AT8/2</f>
        <v>3</v>
      </c>
      <c r="AF19" s="11">
        <f>IF(OR(E16=3,E16=5,E16="5A",E16=6,E16=9),1,0)</f>
        <v>1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0.66788071649270819</v>
      </c>
      <c r="AD20" s="11">
        <f>((AS8-AD19)+AS8)*AF20</f>
        <v>5.5</v>
      </c>
      <c r="AE20" s="11">
        <f>AE19</f>
        <v>3</v>
      </c>
      <c r="AF20" s="11">
        <f>IF(OR(E16=3,E16=5,E16="5A",E16=6,E16=9),1,0)</f>
        <v>1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0.33211928350729181</v>
      </c>
      <c r="AF21" s="29">
        <f>IF(AF22=0,"",Q7)</f>
        <v>-5.8812400285145046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1.7392726991997608E-3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>
        <f>IF(OR(E16=7,E16=8,E16=9,E16=10),"",Q6)</f>
        <v>2.474760355592736</v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2.7828363187196174E-2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2.3419731091677397E-2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-5.5656726374392347E-2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9.6545663942782571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-4.1628572015456576E-2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0.12471510714466703</v>
      </c>
      <c r="AF27" s="29">
        <f>IF(AF28=0,"",Q8)</f>
        <v>-4.398886532066089</v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</v>
      </c>
      <c r="AD28" s="11">
        <f>AD25</f>
        <v>2.5</v>
      </c>
      <c r="AE28" s="11">
        <f>(1-AG24)/2*AT8*AF28</f>
        <v>0.59999999999999987</v>
      </c>
      <c r="AF28" s="11">
        <f>IF(OR(E16="3A",E16="5A",E16=4,E16=5,E16=6),1,0)</f>
        <v>1</v>
      </c>
      <c r="AK28" s="29">
        <f>IF(OR(E16=4,E16=5,E16=6,E16=7,E16=8,E16=9,E16=10,E16="3A",E16="5A"),Q13,Q11)</f>
        <v>6.0094078306913774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0.2078585119077784</v>
      </c>
      <c r="AD29" s="11">
        <f>AD26</f>
        <v>2.5</v>
      </c>
      <c r="AE29" s="11">
        <f>-AE28</f>
        <v>-0.59999999999999987</v>
      </c>
      <c r="AF29" s="11">
        <f>IF(OR(E16="3A",E16="5A",E16=4,E16=5,E16=6),1,0)</f>
        <v>1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0.3339403582463541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9.6545663942782571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3.6056446984148263</v>
      </c>
      <c r="AS34" s="11">
        <f>AS33+AT14*AT11</f>
        <v>5.5</v>
      </c>
      <c r="AT34" s="11">
        <f>AT33</f>
        <v>6</v>
      </c>
    </row>
    <row r="35" spans="13:46" x14ac:dyDescent="0.3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5.5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-0.5</v>
      </c>
    </row>
    <row r="38" spans="13:46" x14ac:dyDescent="0.35">
      <c r="AS38" s="11">
        <v>0</v>
      </c>
      <c r="AT38" s="11">
        <f>AT37</f>
        <v>-0.5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59" priority="10">
      <formula>OR($E$16=7,$E$16=8,$E$16=9,$E$16=10)</formula>
    </cfRule>
  </conditionalFormatting>
  <conditionalFormatting sqref="H10:H13">
    <cfRule type="expression" dxfId="58" priority="6">
      <formula>OR($E$16=10)</formula>
    </cfRule>
  </conditionalFormatting>
  <conditionalFormatting sqref="H9:J9">
    <cfRule type="expression" dxfId="57" priority="5">
      <formula>OR($E$16=10)</formula>
    </cfRule>
  </conditionalFormatting>
  <conditionalFormatting sqref="H14:J14">
    <cfRule type="expression" dxfId="56" priority="4">
      <formula>OR($E$16=10)</formula>
    </cfRule>
  </conditionalFormatting>
  <conditionalFormatting sqref="I11:I13">
    <cfRule type="expression" dxfId="55" priority="8">
      <formula>OR($E$16=10)</formula>
    </cfRule>
  </conditionalFormatting>
  <conditionalFormatting sqref="I10:J10">
    <cfRule type="expression" dxfId="54" priority="9">
      <formula>OR($E$16=10)</formula>
    </cfRule>
  </conditionalFormatting>
  <conditionalFormatting sqref="J11:J13">
    <cfRule type="expression" dxfId="53" priority="7">
      <formula>OR($E$16=10)</formula>
    </cfRule>
  </conditionalFormatting>
  <conditionalFormatting sqref="K9">
    <cfRule type="expression" dxfId="52" priority="2">
      <formula>OR($E$16=10)</formula>
    </cfRule>
  </conditionalFormatting>
  <conditionalFormatting sqref="K10:K13">
    <cfRule type="expression" dxfId="51" priority="3">
      <formula>OR($E$16=10)</formula>
    </cfRule>
  </conditionalFormatting>
  <conditionalFormatting sqref="K14">
    <cfRule type="expression" dxfId="50" priority="1">
      <formula>OR($E$16=10)</formula>
    </cfRule>
  </conditionalFormatting>
  <conditionalFormatting sqref="M14:N14">
    <cfRule type="cellIs" dxfId="49" priority="11" operator="equal">
      <formula>"Aumentar h!!!"</formula>
    </cfRule>
    <cfRule type="cellIs" dxfId="48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3984-66AA-461B-91D0-E90C907070FB}">
  <dimension ref="B1:BO41"/>
  <sheetViews>
    <sheetView zoomScale="120" zoomScaleNormal="120" workbookViewId="0">
      <selection activeCell="E8" sqref="E8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98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</v>
      </c>
      <c r="AC4" s="11">
        <f t="shared" ref="AC4:AC12" si="0">1-AB4</f>
        <v>1</v>
      </c>
      <c r="AD4" s="11">
        <f>5*AB4/384</f>
        <v>0</v>
      </c>
      <c r="AE4" s="11">
        <f>AB4/8</f>
        <v>0</v>
      </c>
      <c r="AF4" s="11">
        <f>AC4*AB18^2/8</f>
        <v>0</v>
      </c>
      <c r="AG4" s="11">
        <v>0</v>
      </c>
      <c r="AH4" s="11">
        <v>0</v>
      </c>
      <c r="AI4" s="11">
        <f>AC4*AB18/2</f>
        <v>0</v>
      </c>
      <c r="AJ4" s="11">
        <f>AB4/2</f>
        <v>0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1.177613765822785</v>
      </c>
      <c r="AA5" s="11">
        <v>2</v>
      </c>
      <c r="AB5" s="11">
        <f>5*AB18^4/(2+5*AB18^4)</f>
        <v>0</v>
      </c>
      <c r="AC5" s="11">
        <f t="shared" si="0"/>
        <v>1</v>
      </c>
      <c r="AD5" s="11">
        <f>2*AB5/384</f>
        <v>0</v>
      </c>
      <c r="AE5" s="11">
        <f>AB5/14.22</f>
        <v>0</v>
      </c>
      <c r="AF5" s="11">
        <f>AC5*AB18^2/8</f>
        <v>0</v>
      </c>
      <c r="AG5" s="11">
        <f>-AB5/8</f>
        <v>0</v>
      </c>
      <c r="AH5" s="11">
        <v>0</v>
      </c>
      <c r="AI5" s="11">
        <f>AC5*AB18/2</f>
        <v>0</v>
      </c>
      <c r="AJ5" s="11">
        <f>3*AB5/8</f>
        <v>0</v>
      </c>
      <c r="AK5" s="11">
        <v>0</v>
      </c>
      <c r="AL5" s="11">
        <f>5*AB5/8</f>
        <v>0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</v>
      </c>
      <c r="AA6" s="11" t="s">
        <v>61</v>
      </c>
      <c r="AB6" s="11" t="e">
        <f>5*AB18^-4/(2+5*AB18^-4)</f>
        <v>#DIV/0!</v>
      </c>
      <c r="AC6" s="11" t="e">
        <f t="shared" si="0"/>
        <v>#DIV/0!</v>
      </c>
      <c r="AD6" s="11" t="e">
        <f>2*AB6/384*AB18^4</f>
        <v>#DIV/0!</v>
      </c>
      <c r="AE6" s="11" t="e">
        <f>AC6*AB18^2/8/AB18^2</f>
        <v>#DIV/0!</v>
      </c>
      <c r="AF6" s="11" t="e">
        <f>AB6/14.22*AB18^2</f>
        <v>#DIV/0!</v>
      </c>
      <c r="AG6" s="11">
        <v>0</v>
      </c>
      <c r="AH6" s="11" t="e">
        <f>-AB6/8*AB18^2</f>
        <v>#DIV/0!</v>
      </c>
      <c r="AI6" s="11" t="e">
        <f>3*AB6/8*AB18</f>
        <v>#DIV/0!</v>
      </c>
      <c r="AJ6" s="11" t="e">
        <f>AC6*AB18/2/AB18</f>
        <v>#DIV/0!</v>
      </c>
      <c r="AK6" s="11" t="e">
        <f>5*AB6/8*AB18</f>
        <v>#DIV/0!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1.4550000000000001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-2.0932084687500003</v>
      </c>
      <c r="AA7" s="11">
        <v>3</v>
      </c>
      <c r="AB7" s="11">
        <f>5*AB18^4/(1+5*AB18^4)</f>
        <v>0</v>
      </c>
      <c r="AC7" s="11">
        <f t="shared" si="0"/>
        <v>1</v>
      </c>
      <c r="AD7" s="11">
        <f>AB7/384</f>
        <v>0</v>
      </c>
      <c r="AE7" s="11">
        <f>AB7/24</f>
        <v>0</v>
      </c>
      <c r="AF7" s="11">
        <f>AC7*AB18^2/8</f>
        <v>0</v>
      </c>
      <c r="AG7" s="11">
        <f>-AB7/12</f>
        <v>0</v>
      </c>
      <c r="AH7" s="11">
        <v>0</v>
      </c>
      <c r="AI7" s="11">
        <f>AC7*AB18/2</f>
        <v>0</v>
      </c>
      <c r="AJ7" s="11">
        <v>0</v>
      </c>
      <c r="AK7" s="11">
        <v>0</v>
      </c>
      <c r="AL7" s="11">
        <f>AB7/2</f>
        <v>0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/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 t="e">
        <f>5*AB18^-4/(1+5*AB18^-4)</f>
        <v>#DIV/0!</v>
      </c>
      <c r="AC8" s="11" t="e">
        <f t="shared" si="0"/>
        <v>#DIV/0!</v>
      </c>
      <c r="AD8" s="11" t="e">
        <f>AB8/384*AB18^4</f>
        <v>#DIV/0!</v>
      </c>
      <c r="AE8" s="11" t="e">
        <f>AC8*AB18^2/8/AB18^2</f>
        <v>#DIV/0!</v>
      </c>
      <c r="AF8" s="11" t="e">
        <f>AB8/24*AB18^2</f>
        <v>#DIV/0!</v>
      </c>
      <c r="AG8" s="11">
        <v>0</v>
      </c>
      <c r="AH8" s="11" t="e">
        <f>-AB8/12*AB18^2</f>
        <v>#DIV/0!</v>
      </c>
      <c r="AI8" s="11">
        <v>0</v>
      </c>
      <c r="AJ8" s="11" t="e">
        <f>AC8*AB18/2/AB18</f>
        <v>#DIV/0!</v>
      </c>
      <c r="AK8" s="11" t="e">
        <f>AB8/2*AB18</f>
        <v>#DIV/0!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</v>
      </c>
      <c r="AC9" s="11">
        <f t="shared" si="0"/>
        <v>1</v>
      </c>
      <c r="AD9" s="11">
        <f>2*AB9/384</f>
        <v>0</v>
      </c>
      <c r="AE9" s="11">
        <f>AB9/14.22</f>
        <v>0</v>
      </c>
      <c r="AF9" s="11">
        <f>AC9*AB18^2/14.22</f>
        <v>0</v>
      </c>
      <c r="AG9" s="11">
        <f>-AB9/8</f>
        <v>0</v>
      </c>
      <c r="AH9" s="11">
        <f>-AC9*AB18^2/8</f>
        <v>0</v>
      </c>
      <c r="AI9" s="11">
        <f>3*AC9*AB18/8</f>
        <v>0</v>
      </c>
      <c r="AJ9" s="11">
        <f>3*AB9/8</f>
        <v>0</v>
      </c>
      <c r="AK9" s="11">
        <f>5*AC9*AB18/8</f>
        <v>0</v>
      </c>
      <c r="AL9" s="11">
        <f>5*AB9/8</f>
        <v>0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</v>
      </c>
      <c r="AC10" s="11">
        <f t="shared" si="0"/>
        <v>1</v>
      </c>
      <c r="AD10" s="11">
        <f>AB10/384</f>
        <v>0</v>
      </c>
      <c r="AE10" s="11">
        <f>AB10/24</f>
        <v>0</v>
      </c>
      <c r="AF10" s="11">
        <f>AC10*AB18^2/14.22</f>
        <v>0</v>
      </c>
      <c r="AG10" s="11">
        <f>-AB10/12</f>
        <v>0</v>
      </c>
      <c r="AH10" s="11">
        <f>-AC10*AB18^2/8</f>
        <v>0</v>
      </c>
      <c r="AI10" s="11">
        <f>3*AC10*AB18/8</f>
        <v>0</v>
      </c>
      <c r="AJ10" s="11">
        <v>0</v>
      </c>
      <c r="AK10" s="11">
        <f>5*AC10*AB18/8</f>
        <v>0</v>
      </c>
      <c r="AL10" s="11">
        <f>AB10/2</f>
        <v>0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2.4701250279017865E-2</v>
      </c>
      <c r="P11" s="12" t="s">
        <v>56</v>
      </c>
      <c r="Q11" s="24">
        <f>AB27*J6*E7</f>
        <v>0</v>
      </c>
      <c r="AA11" s="11" t="s">
        <v>63</v>
      </c>
      <c r="AB11" s="11" t="e">
        <f>2*AB18^-4/(1+2*AB18^-4)</f>
        <v>#DIV/0!</v>
      </c>
      <c r="AC11" s="11" t="e">
        <f t="shared" si="0"/>
        <v>#DIV/0!</v>
      </c>
      <c r="AD11" s="11" t="e">
        <f>AB11/384*AB18^4</f>
        <v>#DIV/0!</v>
      </c>
      <c r="AE11" s="11" t="e">
        <f>AC11*AB18^2/14.22/AB18^2</f>
        <v>#DIV/0!</v>
      </c>
      <c r="AF11" s="11" t="e">
        <f>AB11/24*AB18^2</f>
        <v>#DIV/0!</v>
      </c>
      <c r="AG11" s="11" t="e">
        <f>-AC11*AB18^2/8/AB18^2</f>
        <v>#DIV/0!</v>
      </c>
      <c r="AH11" s="11" t="e">
        <f>-AB11/12*AB18^2</f>
        <v>#DIV/0!</v>
      </c>
      <c r="AI11" s="11">
        <v>0</v>
      </c>
      <c r="AJ11" s="11" t="e">
        <f>3*AC11*AB18/8/AB18</f>
        <v>#DIV/0!</v>
      </c>
      <c r="AK11" s="11" t="e">
        <f>AB11/2*AB18</f>
        <v>#DIV/0!</v>
      </c>
      <c r="AL11" s="11" t="e">
        <f>5*AC11*AB18/8/AB18</f>
        <v>#DIV/0!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8.6454375976562525E-2</v>
      </c>
      <c r="P12" s="17" t="s">
        <v>57</v>
      </c>
      <c r="Q12" s="25">
        <f>AB28*J6*E7</f>
        <v>4.3158937499999999</v>
      </c>
      <c r="AA12" s="11">
        <v>6</v>
      </c>
      <c r="AB12" s="11">
        <f>AB18^4/(1+AB18^4)</f>
        <v>0</v>
      </c>
      <c r="AC12" s="11">
        <f t="shared" si="0"/>
        <v>1</v>
      </c>
      <c r="AD12" s="11">
        <f>AB12/384</f>
        <v>0</v>
      </c>
      <c r="AE12" s="11">
        <f>AB12/24</f>
        <v>0</v>
      </c>
      <c r="AF12" s="11">
        <f>AC12*AB18^2/24</f>
        <v>0</v>
      </c>
      <c r="AG12" s="11">
        <f>-AB12/12</f>
        <v>0</v>
      </c>
      <c r="AH12" s="11">
        <f>-AC12*AB18^2/12</f>
        <v>0</v>
      </c>
      <c r="AI12" s="11">
        <v>0</v>
      </c>
      <c r="AJ12" s="11">
        <v>0</v>
      </c>
      <c r="AK12" s="11">
        <f>AC12*AB18/2</f>
        <v>0</v>
      </c>
      <c r="AL12" s="11">
        <f>AB12/2</f>
        <v>0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5.82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7.1931562499999995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8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1.177613765822785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</v>
      </c>
      <c r="AF21" s="29">
        <f>IF(AF22=0,"",Q7)</f>
        <v>-2.0932084687500003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5.208333333333333E-3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 t="str">
        <f>IF(OR(E16=7,E16=8,E16=9,E16=10),"",Q6)</f>
        <v/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7.0323488045007029E-2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0</v>
      </c>
      <c r="AK23" s="11">
        <f>IF(OR(E16=7,E16=8,E16=9,E16=10),0,1)</f>
        <v>0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0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0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-0.125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7.1931562499999995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0.375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0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0.625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4.3158937499999999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0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5</v>
      </c>
      <c r="AE33" s="11">
        <v>0</v>
      </c>
      <c r="AF33" s="11">
        <f>IF(OR(E16&lt;7,E16="2A",E16="3A",E16="5A"),0,1)</f>
        <v>1</v>
      </c>
      <c r="AI33" s="22">
        <f>AS8</f>
        <v>5</v>
      </c>
      <c r="AJ33" s="11">
        <f>AJ24</f>
        <v>0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0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5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47" priority="10">
      <formula>OR($E$16=7,$E$16=8,$E$16=9,$E$16=10)</formula>
    </cfRule>
  </conditionalFormatting>
  <conditionalFormatting sqref="H10:H13">
    <cfRule type="expression" dxfId="46" priority="6">
      <formula>OR($E$16=10)</formula>
    </cfRule>
  </conditionalFormatting>
  <conditionalFormatting sqref="H9:J9">
    <cfRule type="expression" dxfId="45" priority="5">
      <formula>OR($E$16=10)</formula>
    </cfRule>
  </conditionalFormatting>
  <conditionalFormatting sqref="H14:J14">
    <cfRule type="expression" dxfId="44" priority="4">
      <formula>OR($E$16=10)</formula>
    </cfRule>
  </conditionalFormatting>
  <conditionalFormatting sqref="I11:I13">
    <cfRule type="expression" dxfId="43" priority="8">
      <formula>OR($E$16=10)</formula>
    </cfRule>
  </conditionalFormatting>
  <conditionalFormatting sqref="I10:J10">
    <cfRule type="expression" dxfId="42" priority="9">
      <formula>OR($E$16=10)</formula>
    </cfRule>
  </conditionalFormatting>
  <conditionalFormatting sqref="J11:J13">
    <cfRule type="expression" dxfId="41" priority="7">
      <formula>OR($E$16=10)</formula>
    </cfRule>
  </conditionalFormatting>
  <conditionalFormatting sqref="K9">
    <cfRule type="expression" dxfId="40" priority="2">
      <formula>OR($E$16=10)</formula>
    </cfRule>
  </conditionalFormatting>
  <conditionalFormatting sqref="K10:K13">
    <cfRule type="expression" dxfId="39" priority="3">
      <formula>OR($E$16=10)</formula>
    </cfRule>
  </conditionalFormatting>
  <conditionalFormatting sqref="K14">
    <cfRule type="expression" dxfId="38" priority="1">
      <formula>OR($E$16=10)</formula>
    </cfRule>
  </conditionalFormatting>
  <conditionalFormatting sqref="M14:N14">
    <cfRule type="cellIs" dxfId="37" priority="11" operator="equal">
      <formula>"Aumentar h!!!"</formula>
    </cfRule>
    <cfRule type="cellIs" dxfId="36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01BE-7DFF-4482-B325-41A121EFAED2}">
  <dimension ref="B1:BO41"/>
  <sheetViews>
    <sheetView zoomScale="120" zoomScaleNormal="120" workbookViewId="0">
      <selection activeCell="E8" sqref="E8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99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</v>
      </c>
      <c r="AC4" s="11">
        <f t="shared" ref="AC4:AC12" si="0">1-AB4</f>
        <v>1</v>
      </c>
      <c r="AD4" s="11">
        <f>5*AB4/384</f>
        <v>0</v>
      </c>
      <c r="AE4" s="11">
        <f>AB4/8</f>
        <v>0</v>
      </c>
      <c r="AF4" s="11">
        <f>AC4*AB18^2/8</f>
        <v>0</v>
      </c>
      <c r="AG4" s="11">
        <v>0</v>
      </c>
      <c r="AH4" s="11">
        <v>0</v>
      </c>
      <c r="AI4" s="11">
        <f>AC4*AB18/2</f>
        <v>0</v>
      </c>
      <c r="AJ4" s="11">
        <f>AB4/2</f>
        <v>0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4.6000000000000005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0.65675246875000004</v>
      </c>
      <c r="AA5" s="11">
        <v>2</v>
      </c>
      <c r="AB5" s="11">
        <f>5*AB18^4/(2+5*AB18^4)</f>
        <v>0</v>
      </c>
      <c r="AC5" s="11">
        <f t="shared" si="0"/>
        <v>1</v>
      </c>
      <c r="AD5" s="11">
        <f>2*AB5/384</f>
        <v>0</v>
      </c>
      <c r="AE5" s="11">
        <f>AB5/14.22</f>
        <v>0</v>
      </c>
      <c r="AF5" s="11">
        <f>AC5*AB18^2/8</f>
        <v>0</v>
      </c>
      <c r="AG5" s="11">
        <f>-AB5/8</f>
        <v>0</v>
      </c>
      <c r="AH5" s="11">
        <v>0</v>
      </c>
      <c r="AI5" s="11">
        <f>AC5*AB18/2</f>
        <v>0</v>
      </c>
      <c r="AJ5" s="11">
        <f>3*AB5/8</f>
        <v>0</v>
      </c>
      <c r="AK5" s="11">
        <v>0</v>
      </c>
      <c r="AL5" s="11">
        <f>5*AB5/8</f>
        <v>0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7.91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0</v>
      </c>
      <c r="AA6" s="11" t="s">
        <v>61</v>
      </c>
      <c r="AB6" s="11" t="e">
        <f>5*AB18^-4/(2+5*AB18^-4)</f>
        <v>#DIV/0!</v>
      </c>
      <c r="AC6" s="11" t="e">
        <f t="shared" si="0"/>
        <v>#DIV/0!</v>
      </c>
      <c r="AD6" s="11" t="e">
        <f>2*AB6/384*AB18^4</f>
        <v>#DIV/0!</v>
      </c>
      <c r="AE6" s="11" t="e">
        <f>AC6*AB18^2/8/AB18^2</f>
        <v>#DIV/0!</v>
      </c>
      <c r="AF6" s="11" t="e">
        <f>AB6/14.22*AB18^2</f>
        <v>#DIV/0!</v>
      </c>
      <c r="AG6" s="11">
        <v>0</v>
      </c>
      <c r="AH6" s="11" t="e">
        <f>-AB6/8*AB18^2</f>
        <v>#DIV/0!</v>
      </c>
      <c r="AI6" s="11" t="e">
        <f>3*AB6/8*AB18</f>
        <v>#DIV/0!</v>
      </c>
      <c r="AJ6" s="11" t="e">
        <f>AC6*AB18/2/AB18</f>
        <v>#DIV/0!</v>
      </c>
      <c r="AK6" s="11" t="e">
        <f>5*AB6/8*AB18</f>
        <v>#DIV/0!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0.81500000000000006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0</v>
      </c>
      <c r="AA7" s="11">
        <v>3</v>
      </c>
      <c r="AB7" s="11">
        <f>5*AB18^4/(1+5*AB18^4)</f>
        <v>0</v>
      </c>
      <c r="AC7" s="11">
        <f t="shared" si="0"/>
        <v>1</v>
      </c>
      <c r="AD7" s="11">
        <f>AB7/384</f>
        <v>0</v>
      </c>
      <c r="AE7" s="11">
        <f>AB7/24</f>
        <v>0</v>
      </c>
      <c r="AF7" s="11">
        <f>AC7*AB18^2/8</f>
        <v>0</v>
      </c>
      <c r="AG7" s="11">
        <f>-AB7/12</f>
        <v>0</v>
      </c>
      <c r="AH7" s="11">
        <v>0</v>
      </c>
      <c r="AI7" s="11">
        <f>AC7*AB18/2</f>
        <v>0</v>
      </c>
      <c r="AJ7" s="11">
        <v>0</v>
      </c>
      <c r="AK7" s="11">
        <v>0</v>
      </c>
      <c r="AL7" s="11">
        <f>AB7/2</f>
        <v>0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/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0</v>
      </c>
      <c r="AA8" s="11" t="s">
        <v>62</v>
      </c>
      <c r="AB8" s="11" t="e">
        <f>5*AB18^-4/(1+5*AB18^-4)</f>
        <v>#DIV/0!</v>
      </c>
      <c r="AC8" s="11" t="e">
        <f t="shared" si="0"/>
        <v>#DIV/0!</v>
      </c>
      <c r="AD8" s="11" t="e">
        <f>AB8/384*AB18^4</f>
        <v>#DIV/0!</v>
      </c>
      <c r="AE8" s="11" t="e">
        <f>AC8*AB18^2/8/AB18^2</f>
        <v>#DIV/0!</v>
      </c>
      <c r="AF8" s="11" t="e">
        <f>AB8/24*AB18^2</f>
        <v>#DIV/0!</v>
      </c>
      <c r="AG8" s="11">
        <v>0</v>
      </c>
      <c r="AH8" s="11" t="e">
        <f>-AB8/12*AB18^2</f>
        <v>#DIV/0!</v>
      </c>
      <c r="AI8" s="11">
        <v>0</v>
      </c>
      <c r="AJ8" s="11" t="e">
        <f>AC8*AB18/2/AB18</f>
        <v>#DIV/0!</v>
      </c>
      <c r="AK8" s="11" t="e">
        <f>AB8/2*AB18</f>
        <v>#DIV/0!</v>
      </c>
      <c r="AL8" s="11">
        <v>0</v>
      </c>
      <c r="AS8" s="22">
        <v>5</v>
      </c>
      <c r="AT8" s="22">
        <v>6</v>
      </c>
      <c r="BB8" s="11">
        <f>BA10</f>
        <v>142.85714285714286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</v>
      </c>
      <c r="AC9" s="11">
        <f t="shared" si="0"/>
        <v>1</v>
      </c>
      <c r="AD9" s="11">
        <f>2*AB9/384</f>
        <v>0</v>
      </c>
      <c r="AE9" s="11">
        <f>AB9/14.22</f>
        <v>0</v>
      </c>
      <c r="AF9" s="11">
        <f>AC9*AB18^2/14.22</f>
        <v>0</v>
      </c>
      <c r="AG9" s="11">
        <f>-AB9/8</f>
        <v>0</v>
      </c>
      <c r="AH9" s="11">
        <f>-AC9*AB18^2/8</f>
        <v>0</v>
      </c>
      <c r="AI9" s="11">
        <f>3*AC9*AB18/8</f>
        <v>0</v>
      </c>
      <c r="AJ9" s="11">
        <f>3*AB9/8</f>
        <v>0</v>
      </c>
      <c r="AK9" s="11">
        <f>5*AC9*AB18/8</f>
        <v>0</v>
      </c>
      <c r="AL9" s="11">
        <f>5*AB9/8</f>
        <v>0</v>
      </c>
      <c r="BB9" s="11">
        <f>BA10</f>
        <v>142.85714285714286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</v>
      </c>
      <c r="AC10" s="11">
        <f t="shared" si="0"/>
        <v>1</v>
      </c>
      <c r="AD10" s="11">
        <f>AB10/384</f>
        <v>0</v>
      </c>
      <c r="AE10" s="11">
        <f>AB10/24</f>
        <v>0</v>
      </c>
      <c r="AF10" s="11">
        <f>AC10*AB18^2/14.22</f>
        <v>0</v>
      </c>
      <c r="AG10" s="11">
        <f>-AB10/12</f>
        <v>0</v>
      </c>
      <c r="AH10" s="11">
        <f>-AC10*AB18^2/8</f>
        <v>0</v>
      </c>
      <c r="AI10" s="11">
        <f>3*AC10*AB18/8</f>
        <v>0</v>
      </c>
      <c r="AJ10" s="11">
        <v>0</v>
      </c>
      <c r="AK10" s="11">
        <f>5*AC10*AB18/8</f>
        <v>0</v>
      </c>
      <c r="AL10" s="11">
        <f>AB10/2</f>
        <v>0</v>
      </c>
      <c r="AY10" s="11">
        <f>-AT11*AT12</f>
        <v>0</v>
      </c>
      <c r="BA10" s="11">
        <f>1000*(AY10-AY$15)/(AY$16-AY$15)</f>
        <v>142.85714285714286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4.1500000000000004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6.0790736693259505E-3</v>
      </c>
      <c r="P11" s="12" t="s">
        <v>56</v>
      </c>
      <c r="Q11" s="24">
        <f>AB27*J6*E7</f>
        <v>0</v>
      </c>
      <c r="AA11" s="11" t="s">
        <v>63</v>
      </c>
      <c r="AB11" s="11" t="e">
        <f>2*AB18^-4/(1+2*AB18^-4)</f>
        <v>#DIV/0!</v>
      </c>
      <c r="AC11" s="11" t="e">
        <f t="shared" si="0"/>
        <v>#DIV/0!</v>
      </c>
      <c r="AD11" s="11" t="e">
        <f>AB11/384*AB18^4</f>
        <v>#DIV/0!</v>
      </c>
      <c r="AE11" s="11" t="e">
        <f>AC11*AB18^2/14.22/AB18^2</f>
        <v>#DIV/0!</v>
      </c>
      <c r="AF11" s="11" t="e">
        <f>AB11/24*AB18^2</f>
        <v>#DIV/0!</v>
      </c>
      <c r="AG11" s="11" t="e">
        <f>-AC11*AB18^2/8/AB18^2</f>
        <v>#DIV/0!</v>
      </c>
      <c r="AH11" s="11" t="e">
        <f>-AB11/12*AB18^2</f>
        <v>#DIV/0!</v>
      </c>
      <c r="AI11" s="11">
        <v>0</v>
      </c>
      <c r="AJ11" s="11" t="e">
        <f>3*AC11*AB18/8/AB18</f>
        <v>#DIV/0!</v>
      </c>
      <c r="AK11" s="11" t="e">
        <f>AB11/2*AB18</f>
        <v>#DIV/0!</v>
      </c>
      <c r="AL11" s="11" t="e">
        <f>5*AC11*AB18/8/AB18</f>
        <v>#DIV/0!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2.1276757842640825E-2</v>
      </c>
      <c r="P12" s="17" t="s">
        <v>57</v>
      </c>
      <c r="Q12" s="25">
        <f>AB28*J6*E7</f>
        <v>3.2233250000000004</v>
      </c>
      <c r="AA12" s="11">
        <v>6</v>
      </c>
      <c r="AB12" s="11">
        <f>AB18^4/(1+AB18^4)</f>
        <v>0</v>
      </c>
      <c r="AC12" s="11">
        <f t="shared" si="0"/>
        <v>1</v>
      </c>
      <c r="AD12" s="11">
        <f>AB12/384</f>
        <v>0</v>
      </c>
      <c r="AE12" s="11">
        <f>AB12/24</f>
        <v>0</v>
      </c>
      <c r="AF12" s="11">
        <f>AC12*AB18^2/24</f>
        <v>0</v>
      </c>
      <c r="AG12" s="11">
        <f>-AB12/12</f>
        <v>0</v>
      </c>
      <c r="AH12" s="11">
        <f>-AC12*AB18^2/12</f>
        <v>0</v>
      </c>
      <c r="AI12" s="11">
        <v>0</v>
      </c>
      <c r="AJ12" s="11">
        <v>0</v>
      </c>
      <c r="AK12" s="11">
        <f>AC12*AB18/2</f>
        <v>0</v>
      </c>
      <c r="AL12" s="11">
        <f>AB12/2</f>
        <v>0</v>
      </c>
      <c r="AS12" s="11" t="s">
        <v>7</v>
      </c>
      <c r="AT12" s="11">
        <f>IF(OR(E16=1,E16=7,E16="2A",E16="3A",E16="5A"),0,1)</f>
        <v>0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3.2600000000000002</v>
      </c>
      <c r="P13" s="12" t="s">
        <v>58</v>
      </c>
      <c r="Q13" s="24">
        <f>AB29*J6*E7</f>
        <v>0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0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7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0.65675246875000004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</v>
      </c>
      <c r="AF21" s="29" t="str">
        <f>IF(AF22=0,"",Q7)</f>
        <v/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1.3020833333333334E-2</v>
      </c>
      <c r="AD22" s="11">
        <f>-(1-AG18)/2*AS8*AF22</f>
        <v>0</v>
      </c>
      <c r="AE22" s="11">
        <f>AE19</f>
        <v>3</v>
      </c>
      <c r="AF22" s="11">
        <f>IF(OR(E16=1,E16="2A",E16="3A",E16="5A",E16=7),0,1)</f>
        <v>0</v>
      </c>
      <c r="AI22" s="11" t="s">
        <v>4</v>
      </c>
      <c r="AJ22" s="11" t="s">
        <v>5</v>
      </c>
      <c r="AK22" s="29" t="str">
        <f>IF(OR(E16=7,E16=8,E16=9,E16=10),"",Q6)</f>
        <v/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0.125</v>
      </c>
      <c r="AC23" s="32"/>
      <c r="AD23" s="11">
        <f>-AD22</f>
        <v>0</v>
      </c>
      <c r="AE23" s="11">
        <f>AE20</f>
        <v>3</v>
      </c>
      <c r="AF23" s="11">
        <f>IF(OR(E16=1,E16="2A",E16="3A",E16="5A",E16=7),0,1)</f>
        <v>0</v>
      </c>
      <c r="AI23" s="11">
        <f>AS8/2</f>
        <v>2.5</v>
      </c>
      <c r="AJ23" s="11">
        <f>(AT8/2-(1-AL22)/2*AT8)*AK23</f>
        <v>0</v>
      </c>
      <c r="AK23" s="11">
        <f>IF(OR(E16=7,E16=8,E16=9,E16=10),0,1)</f>
        <v>0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0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0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0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3.2233250000000004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0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0.5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0</v>
      </c>
      <c r="AS28" s="11">
        <f>-AT11*AT12</f>
        <v>0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0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3.2233250000000004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0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5</v>
      </c>
      <c r="AE33" s="11">
        <v>0</v>
      </c>
      <c r="AF33" s="11">
        <f>IF(OR(E16&lt;7,E16="2A",E16="3A",E16="5A"),0,1)</f>
        <v>1</v>
      </c>
      <c r="AI33" s="22">
        <f>AS8</f>
        <v>5</v>
      </c>
      <c r="AJ33" s="11">
        <f>AJ24</f>
        <v>0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0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5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35" priority="10">
      <formula>OR($E$16=7,$E$16=8,$E$16=9,$E$16=10)</formula>
    </cfRule>
  </conditionalFormatting>
  <conditionalFormatting sqref="H10:H13">
    <cfRule type="expression" dxfId="34" priority="6">
      <formula>OR($E$16=10)</formula>
    </cfRule>
  </conditionalFormatting>
  <conditionalFormatting sqref="H9:J9">
    <cfRule type="expression" dxfId="33" priority="5">
      <formula>OR($E$16=10)</formula>
    </cfRule>
  </conditionalFormatting>
  <conditionalFormatting sqref="H14:J14">
    <cfRule type="expression" dxfId="32" priority="4">
      <formula>OR($E$16=10)</formula>
    </cfRule>
  </conditionalFormatting>
  <conditionalFormatting sqref="I11:I13">
    <cfRule type="expression" dxfId="31" priority="8">
      <formula>OR($E$16=10)</formula>
    </cfRule>
  </conditionalFormatting>
  <conditionalFormatting sqref="I10:J10">
    <cfRule type="expression" dxfId="30" priority="9">
      <formula>OR($E$16=10)</formula>
    </cfRule>
  </conditionalFormatting>
  <conditionalFormatting sqref="J11:J13">
    <cfRule type="expression" dxfId="29" priority="7">
      <formula>OR($E$16=10)</formula>
    </cfRule>
  </conditionalFormatting>
  <conditionalFormatting sqref="K9">
    <cfRule type="expression" dxfId="28" priority="2">
      <formula>OR($E$16=10)</formula>
    </cfRule>
  </conditionalFormatting>
  <conditionalFormatting sqref="K10:K13">
    <cfRule type="expression" dxfId="27" priority="3">
      <formula>OR($E$16=10)</formula>
    </cfRule>
  </conditionalFormatting>
  <conditionalFormatting sqref="K14">
    <cfRule type="expression" dxfId="26" priority="1">
      <formula>OR($E$16=10)</formula>
    </cfRule>
  </conditionalFormatting>
  <conditionalFormatting sqref="M14:N14">
    <cfRule type="cellIs" dxfId="25" priority="11" operator="equal">
      <formula>"Aumentar h!!!"</formula>
    </cfRule>
    <cfRule type="cellIs" dxfId="24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BA60-8F49-49D3-9FC7-A31AC9EFD09C}">
  <dimension ref="B1:BO41"/>
  <sheetViews>
    <sheetView zoomScale="120" zoomScaleNormal="120" workbookViewId="0">
      <selection activeCell="C5" sqref="C5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100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0.30230044665965539</v>
      </c>
      <c r="AC4" s="11">
        <f t="shared" ref="AC4:AC12" si="0">1-AB4</f>
        <v>0.69769955334034461</v>
      </c>
      <c r="AD4" s="11">
        <f>5*AB4/384</f>
        <v>3.9362037325475956E-3</v>
      </c>
      <c r="AE4" s="11">
        <f>AB4/8</f>
        <v>3.7787555832456923E-2</v>
      </c>
      <c r="AF4" s="11">
        <f>AC4*AB18^2/8</f>
        <v>5.7406838471266347E-2</v>
      </c>
      <c r="AG4" s="11">
        <v>0</v>
      </c>
      <c r="AH4" s="11">
        <v>0</v>
      </c>
      <c r="AI4" s="11">
        <f>AC4*AB18/2</f>
        <v>0.28302906409089451</v>
      </c>
      <c r="AJ4" s="11">
        <f>AB4/2</f>
        <v>0.15115022332982769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3.8499999999999996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0.82595762106562765</v>
      </c>
      <c r="AA5" s="11">
        <v>2</v>
      </c>
      <c r="AB5" s="11">
        <f>5*AB18^4/(2+5*AB18^4)</f>
        <v>0.51997025578763334</v>
      </c>
      <c r="AC5" s="11">
        <f t="shared" si="0"/>
        <v>0.48002974421236666</v>
      </c>
      <c r="AD5" s="11">
        <f>2*AB5/384</f>
        <v>2.7081784155605902E-3</v>
      </c>
      <c r="AE5" s="11">
        <f>AB5/14.22</f>
        <v>3.656612206664088E-2</v>
      </c>
      <c r="AF5" s="11">
        <f>AC5*AB18^2/8</f>
        <v>3.9496929380948113E-2</v>
      </c>
      <c r="AG5" s="11">
        <f>-AB5/8</f>
        <v>-6.4996281973454167E-2</v>
      </c>
      <c r="AH5" s="11">
        <v>0</v>
      </c>
      <c r="AI5" s="11">
        <f>AC5*AB18/2</f>
        <v>0.19472904718048836</v>
      </c>
      <c r="AJ5" s="11">
        <f>3*AB5/8</f>
        <v>0.1949888459203625</v>
      </c>
      <c r="AK5" s="11">
        <v>0</v>
      </c>
      <c r="AL5" s="11">
        <f>5*AB5/8</f>
        <v>0.32498140986727087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6.3699999999999992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1.7648304649210529</v>
      </c>
      <c r="AA6" s="11" t="s">
        <v>61</v>
      </c>
      <c r="AB6" s="11">
        <f>5*AB18^-4/(2+5*AB18^-4)</f>
        <v>0.85228773026541127</v>
      </c>
      <c r="AC6" s="11">
        <f t="shared" si="0"/>
        <v>0.14771226973458873</v>
      </c>
      <c r="AD6" s="11">
        <f>2*AB6/384*AB18^4</f>
        <v>1.9233368455024579E-3</v>
      </c>
      <c r="AE6" s="11">
        <f>AC6*AB18^2/8/AB18^2</f>
        <v>1.8464033716823591E-2</v>
      </c>
      <c r="AF6" s="11">
        <f>AB6/14.22*AB18^2</f>
        <v>3.9452253212142248E-2</v>
      </c>
      <c r="AG6" s="11">
        <v>0</v>
      </c>
      <c r="AH6" s="11">
        <f>-AB6/8*AB18^2</f>
        <v>-7.0126380084582843E-2</v>
      </c>
      <c r="AI6" s="11">
        <f>3*AB6/8*AB18</f>
        <v>0.25930452170810864</v>
      </c>
      <c r="AJ6" s="11">
        <f>AC6*AB18/2/AB18</f>
        <v>7.3856134867294365E-2</v>
      </c>
      <c r="AK6" s="11">
        <f>5*AB6/8*AB18</f>
        <v>0.43217420284684771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2.65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0</v>
      </c>
      <c r="AA7" s="11">
        <v>3</v>
      </c>
      <c r="AB7" s="11">
        <f>5*AB18^4/(1+5*AB18^4)</f>
        <v>0.68418477770565311</v>
      </c>
      <c r="AC7" s="11">
        <f t="shared" si="0"/>
        <v>0.31581522229434689</v>
      </c>
      <c r="AD7" s="11">
        <f>AB7/384</f>
        <v>1.7817311919418051E-3</v>
      </c>
      <c r="AE7" s="11">
        <f>AB7/24</f>
        <v>2.8507699071068881E-2</v>
      </c>
      <c r="AF7" s="11">
        <f>AC7*AB18^2/8</f>
        <v>2.5985330456668187E-2</v>
      </c>
      <c r="AG7" s="11">
        <f>-AB7/12</f>
        <v>-5.7015398142137762E-2</v>
      </c>
      <c r="AH7" s="11">
        <v>0</v>
      </c>
      <c r="AI7" s="11">
        <f>AC7*AB18/2</f>
        <v>0.12811372225148035</v>
      </c>
      <c r="AJ7" s="11">
        <v>0</v>
      </c>
      <c r="AK7" s="11">
        <v>0</v>
      </c>
      <c r="AL7" s="11">
        <f>AB7/2</f>
        <v>0.34209238885282656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>
        <f>VLOOKUP(C3,Resumo!B9:N28,9,FALSE)</f>
        <v>2.15</v>
      </c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-3.1369861513971715</v>
      </c>
      <c r="AA8" s="11" t="s">
        <v>62</v>
      </c>
      <c r="AB8" s="11">
        <f>5*AB18^-4/(1+5*AB18^-4)</f>
        <v>0.92025414447169973</v>
      </c>
      <c r="AC8" s="11">
        <f t="shared" si="0"/>
        <v>7.9745855528300269E-2</v>
      </c>
      <c r="AD8" s="11">
        <f>AB8/384*AB18^4</f>
        <v>1.0383574938580768E-3</v>
      </c>
      <c r="AE8" s="11">
        <f>AC8*AB18^2/8/AB18^2</f>
        <v>9.9682319410375336E-3</v>
      </c>
      <c r="AF8" s="11">
        <f>AB8/24*AB18^2</f>
        <v>2.5239556086510222E-2</v>
      </c>
      <c r="AG8" s="11">
        <v>0</v>
      </c>
      <c r="AH8" s="11">
        <f>-AB8/12*AB18^2</f>
        <v>-5.0479112173020445E-2</v>
      </c>
      <c r="AI8" s="11">
        <v>0</v>
      </c>
      <c r="AJ8" s="11">
        <f>AC8*AB18/2/AB18</f>
        <v>3.9872927764150135E-2</v>
      </c>
      <c r="AK8" s="11">
        <f>AB8/2*AB18</f>
        <v>0.37331064351210463</v>
      </c>
      <c r="AL8" s="11">
        <v>0</v>
      </c>
      <c r="AS8" s="22">
        <v>5</v>
      </c>
      <c r="AT8" s="22">
        <v>6</v>
      </c>
      <c r="BB8" s="11">
        <f>BA10</f>
        <v>142.85714285714286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0.30230044665965539</v>
      </c>
      <c r="AC9" s="11">
        <f t="shared" si="0"/>
        <v>0.69769955334034461</v>
      </c>
      <c r="AD9" s="11">
        <f>2*AB9/384</f>
        <v>1.5744814930190385E-3</v>
      </c>
      <c r="AE9" s="11">
        <f>AB9/14.22</f>
        <v>2.1258821846670561E-2</v>
      </c>
      <c r="AF9" s="11">
        <f>AC9*AB18^2/14.22</f>
        <v>3.2296392951485987E-2</v>
      </c>
      <c r="AG9" s="11">
        <f>-AB9/8</f>
        <v>-3.7787555832456923E-2</v>
      </c>
      <c r="AH9" s="11">
        <f>-AC9*AB18^2/8</f>
        <v>-5.7406838471266347E-2</v>
      </c>
      <c r="AI9" s="11">
        <f>3*AC9*AB18/8</f>
        <v>0.2122717980681709</v>
      </c>
      <c r="AJ9" s="11">
        <f>3*AB9/8</f>
        <v>0.11336266749737077</v>
      </c>
      <c r="AK9" s="11">
        <f>5*AC9*AB18/8</f>
        <v>0.35378633011361815</v>
      </c>
      <c r="AL9" s="11">
        <f>5*AB9/8</f>
        <v>0.1889377791622846</v>
      </c>
      <c r="BB9" s="11">
        <f>BA10</f>
        <v>142.85714285714286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0.46425607460251289</v>
      </c>
      <c r="AC10" s="11">
        <f t="shared" si="0"/>
        <v>0.53574392539748716</v>
      </c>
      <c r="AD10" s="11">
        <f>AB10/384</f>
        <v>1.2090001942773774E-3</v>
      </c>
      <c r="AE10" s="11">
        <f>AB10/24</f>
        <v>1.9344003108438038E-2</v>
      </c>
      <c r="AF10" s="11">
        <f>AC10*AB18^2/14.22</f>
        <v>2.4799494643747415E-2</v>
      </c>
      <c r="AG10" s="11">
        <f>-AB10/12</f>
        <v>-3.8688006216876077E-2</v>
      </c>
      <c r="AH10" s="11">
        <f>-AC10*AB18^2/8</f>
        <v>-4.4081101729261031E-2</v>
      </c>
      <c r="AI10" s="11">
        <f>3*AC10*AB18/8</f>
        <v>0.16299756220819775</v>
      </c>
      <c r="AJ10" s="11">
        <v>0</v>
      </c>
      <c r="AK10" s="11">
        <f>5*AC10*AB18/8</f>
        <v>0.27166260368032957</v>
      </c>
      <c r="AL10" s="11">
        <f>AB10/2</f>
        <v>0.23212803730125645</v>
      </c>
      <c r="AY10" s="11">
        <f>-AT11*AT12</f>
        <v>0</v>
      </c>
      <c r="BA10" s="11">
        <f>1000*(AY10-AY$15)/(AY$16-AY$15)</f>
        <v>142.85714285714286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3.55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8.4005928540865471E-2</v>
      </c>
      <c r="P11" s="12" t="s">
        <v>56</v>
      </c>
      <c r="Q11" s="24">
        <f>AB27*J6*E7</f>
        <v>4.3771899786937274</v>
      </c>
      <c r="AA11" s="11" t="s">
        <v>63</v>
      </c>
      <c r="AB11" s="11">
        <f>2*AB18^-4/(1+2*AB18^-4)</f>
        <v>0.82193524992990796</v>
      </c>
      <c r="AC11" s="11">
        <f t="shared" si="0"/>
        <v>0.17806475007009204</v>
      </c>
      <c r="AD11" s="11">
        <f>AB11/384*AB18^4</f>
        <v>9.2742057328172947E-4</v>
      </c>
      <c r="AE11" s="11">
        <f>AC11*AB18^2/14.22/AB18^2</f>
        <v>1.2522134322791282E-2</v>
      </c>
      <c r="AF11" s="11">
        <f>AB11/24*AB18^2</f>
        <v>2.254299093865551E-2</v>
      </c>
      <c r="AG11" s="11">
        <f>-AC11*AB18^2/8/AB18^2</f>
        <v>-2.2258093758761505E-2</v>
      </c>
      <c r="AH11" s="11">
        <f>-AB11/12*AB18^2</f>
        <v>-4.508598187731102E-2</v>
      </c>
      <c r="AI11" s="11">
        <v>0</v>
      </c>
      <c r="AJ11" s="11">
        <f>3*AC11*AB18/8/AB18</f>
        <v>6.6774281276284514E-2</v>
      </c>
      <c r="AK11" s="11">
        <f>AB11/2*AB18</f>
        <v>0.33342656365081175</v>
      </c>
      <c r="AL11" s="11">
        <f>5*AC11*AB18/8/AB18</f>
        <v>0.11129046879380752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0</v>
      </c>
      <c r="BD11" s="11">
        <f>AT8-BC11</f>
        <v>6</v>
      </c>
      <c r="BE11" s="11">
        <f>AT13*AT11</f>
        <v>0.5</v>
      </c>
    </row>
    <row r="12" spans="2:57" x14ac:dyDescent="0.35">
      <c r="B12" s="63"/>
      <c r="C12" s="1"/>
      <c r="D12" s="2" t="s">
        <v>47</v>
      </c>
      <c r="E12" s="4">
        <f>VLOOKUP(C3,Resumo!B9:N28,11,FALSE)</f>
        <v>1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0.29402074989302918</v>
      </c>
      <c r="P12" s="17" t="s">
        <v>57</v>
      </c>
      <c r="Q12" s="25">
        <f>AB28*J6*E7</f>
        <v>1.2467284846273623</v>
      </c>
      <c r="AA12" s="11">
        <v>6</v>
      </c>
      <c r="AB12" s="11">
        <f>AB18^4/(1+AB18^4)</f>
        <v>0.30230044665965539</v>
      </c>
      <c r="AC12" s="11">
        <f t="shared" si="0"/>
        <v>0.69769955334034461</v>
      </c>
      <c r="AD12" s="11">
        <f>AB12/384</f>
        <v>7.8724074650951927E-4</v>
      </c>
      <c r="AE12" s="11">
        <f>AB12/24</f>
        <v>1.2595851944152308E-2</v>
      </c>
      <c r="AF12" s="11">
        <f>AC12*AB18^2/24</f>
        <v>1.9135612823755449E-2</v>
      </c>
      <c r="AG12" s="11">
        <f>-AB12/12</f>
        <v>-2.5191703888304617E-2</v>
      </c>
      <c r="AH12" s="11">
        <f>-AC12*AB18^2/12</f>
        <v>-3.8271225647510898E-2</v>
      </c>
      <c r="AI12" s="11">
        <v>0</v>
      </c>
      <c r="AJ12" s="11">
        <v>0</v>
      </c>
      <c r="AK12" s="11">
        <f>AC12*AB18/2</f>
        <v>0.28302906409089451</v>
      </c>
      <c r="AL12" s="11">
        <f>AB12/2</f>
        <v>0.15115022332982769</v>
      </c>
      <c r="AS12" s="11" t="s">
        <v>7</v>
      </c>
      <c r="AT12" s="11">
        <f>IF(OR(E16=1,E16=7,E16="2A",E16="3A",E16="5A"),0,1)</f>
        <v>0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0</v>
      </c>
      <c r="BD12" s="11">
        <f>BD11</f>
        <v>6</v>
      </c>
      <c r="BE12" s="11">
        <f>BE11</f>
        <v>0.5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8.6</v>
      </c>
      <c r="P13" s="12" t="s">
        <v>58</v>
      </c>
      <c r="Q13" s="24">
        <f>AB29*J6*E7</f>
        <v>7.2953166311562123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1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0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0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 t="str">
        <f>VLOOKUP(C3,Resumo!B9:N28,13,FALSE)</f>
        <v>2A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0.81132075471698117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0.82595762106562765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0.85228773026541127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0.14771226973458873</v>
      </c>
      <c r="AF21" s="29" t="str">
        <f>IF(AF22=0,"",Q7)</f>
        <v/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1.9233368455024579E-3</v>
      </c>
      <c r="AD22" s="11">
        <f>-(1-AG18)/2*AS8*AF22</f>
        <v>0</v>
      </c>
      <c r="AE22" s="11">
        <f>AE19</f>
        <v>3</v>
      </c>
      <c r="AF22" s="11">
        <f>IF(OR(E16=1,E16="2A",E16="3A",E16="5A",E16=7),0,1)</f>
        <v>0</v>
      </c>
      <c r="AI22" s="11" t="s">
        <v>4</v>
      </c>
      <c r="AJ22" s="11" t="s">
        <v>5</v>
      </c>
      <c r="AK22" s="29">
        <f>IF(OR(E16=7,E16=8,E16=9,E16=10),"",Q6)</f>
        <v>1.7648304649210529</v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1.8464033716823591E-2</v>
      </c>
      <c r="AC23" s="32"/>
      <c r="AD23" s="11">
        <f>-AD22</f>
        <v>0</v>
      </c>
      <c r="AE23" s="11">
        <f>AE20</f>
        <v>3</v>
      </c>
      <c r="AF23" s="11">
        <f>IF(OR(E16=1,E16="2A",E16="3A",E16="5A",E16=7),0,1)</f>
        <v>0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3.9452253212142248E-2</v>
      </c>
      <c r="AF24" s="29">
        <f>IF(AF26=0,"",Q8)</f>
        <v>-3.1369861513971715</v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0</v>
      </c>
      <c r="AD25" s="11">
        <f>AS8/2</f>
        <v>2.5</v>
      </c>
      <c r="AE25" s="11">
        <f>(AT8+(1-AG24)/2*AT8)*AF25</f>
        <v>6.6</v>
      </c>
      <c r="AF25" s="11">
        <f>IF(OR(E16=6,E16="2A",E16="3A",E16="5A"),1,0)</f>
        <v>1</v>
      </c>
      <c r="AK25" s="29">
        <f>IF(OR(E16=1,E16=7,E16="2A",E16="3A",E16="5A"),Q12,Q14)</f>
        <v>1.2467284846273623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-7.0126380084582843E-2</v>
      </c>
      <c r="AD26" s="11">
        <f>AD25</f>
        <v>2.5</v>
      </c>
      <c r="AE26" s="11">
        <f>(AT8-(AE25-AT8))*AF26</f>
        <v>5.4</v>
      </c>
      <c r="AF26" s="11">
        <f>IF(OR(E16=6,E16="2A",E16="3A",E16="5A"),1,0)</f>
        <v>1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0.25930452170810864</v>
      </c>
      <c r="AF27" s="29" t="str">
        <f>IF(AF28=0,"",Q8)</f>
        <v/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7.3856134867294365E-2</v>
      </c>
      <c r="AD28" s="11">
        <f>AD25</f>
        <v>2.5</v>
      </c>
      <c r="AE28" s="11">
        <f>(1-AG24)/2*AT8*AF28</f>
        <v>0</v>
      </c>
      <c r="AF28" s="11">
        <f>IF(OR(E16="3A",E16="5A",E16=4,E16=5,E16=6),1,0)</f>
        <v>0</v>
      </c>
      <c r="AK28" s="29">
        <f>IF(OR(E16=4,E16=5,E16=6,E16=7,E16=8,E16=9,E16=10,E16="3A",E16="5A"),Q13,Q11)</f>
        <v>4.3771899786937274</v>
      </c>
      <c r="AS28" s="11">
        <f>-AT11*AT12</f>
        <v>0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0.43217420284684771</v>
      </c>
      <c r="AD29" s="11">
        <f>AD26</f>
        <v>2.5</v>
      </c>
      <c r="AE29" s="11">
        <f>-AE28</f>
        <v>0</v>
      </c>
      <c r="AF29" s="11">
        <f>IF(OR(E16="3A",E16="5A",E16=4,E16=5,E16=6),1,0)</f>
        <v>0</v>
      </c>
      <c r="AI29" s="11">
        <f>0.4*AS8</f>
        <v>2</v>
      </c>
      <c r="AJ29" s="11">
        <v>0</v>
      </c>
      <c r="AS29" s="11">
        <f>AS28</f>
        <v>0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0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1.2467284846273623</v>
      </c>
      <c r="AS31" s="11">
        <v>0</v>
      </c>
      <c r="AT31" s="11">
        <f>AT30+AT11*AT13</f>
        <v>6.5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6.5</v>
      </c>
    </row>
    <row r="33" spans="13:46" x14ac:dyDescent="0.3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7.2953166311562123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0</v>
      </c>
    </row>
    <row r="38" spans="13:46" x14ac:dyDescent="0.35">
      <c r="AS38" s="11">
        <v>0</v>
      </c>
      <c r="AT38" s="11">
        <f>AT37</f>
        <v>0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23" priority="10">
      <formula>OR($E$16=7,$E$16=8,$E$16=9,$E$16=10)</formula>
    </cfRule>
  </conditionalFormatting>
  <conditionalFormatting sqref="H10:H13">
    <cfRule type="expression" dxfId="22" priority="6">
      <formula>OR($E$16=10)</formula>
    </cfRule>
  </conditionalFormatting>
  <conditionalFormatting sqref="H9:J9">
    <cfRule type="expression" dxfId="21" priority="5">
      <formula>OR($E$16=10)</formula>
    </cfRule>
  </conditionalFormatting>
  <conditionalFormatting sqref="H14:J14">
    <cfRule type="expression" dxfId="20" priority="4">
      <formula>OR($E$16=10)</formula>
    </cfRule>
  </conditionalFormatting>
  <conditionalFormatting sqref="I11:I13">
    <cfRule type="expression" dxfId="19" priority="8">
      <formula>OR($E$16=10)</formula>
    </cfRule>
  </conditionalFormatting>
  <conditionalFormatting sqref="I10:J10">
    <cfRule type="expression" dxfId="18" priority="9">
      <formula>OR($E$16=10)</formula>
    </cfRule>
  </conditionalFormatting>
  <conditionalFormatting sqref="J11:J13">
    <cfRule type="expression" dxfId="17" priority="7">
      <formula>OR($E$16=10)</formula>
    </cfRule>
  </conditionalFormatting>
  <conditionalFormatting sqref="K9">
    <cfRule type="expression" dxfId="16" priority="2">
      <formula>OR($E$16=10)</formula>
    </cfRule>
  </conditionalFormatting>
  <conditionalFormatting sqref="K10:K13">
    <cfRule type="expression" dxfId="15" priority="3">
      <formula>OR($E$16=10)</formula>
    </cfRule>
  </conditionalFormatting>
  <conditionalFormatting sqref="K14">
    <cfRule type="expression" dxfId="14" priority="1">
      <formula>OR($E$16=10)</formula>
    </cfRule>
  </conditionalFormatting>
  <conditionalFormatting sqref="M14:N14">
    <cfRule type="cellIs" dxfId="13" priority="11" operator="equal">
      <formula>"Aumentar h!!!"</formula>
    </cfRule>
    <cfRule type="cellIs" dxfId="12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A0E0-5C5F-4E07-BCFE-14496F3488EA}">
  <dimension ref="B1:BO41"/>
  <sheetViews>
    <sheetView zoomScale="120" zoomScaleNormal="120" workbookViewId="0">
      <selection activeCell="E23" sqref="E23"/>
    </sheetView>
  </sheetViews>
  <sheetFormatPr defaultColWidth="9.1796875" defaultRowHeight="14.5" x14ac:dyDescent="0.35"/>
  <cols>
    <col min="1" max="2" width="4.54296875" style="10" customWidth="1"/>
    <col min="3" max="3" width="9.1796875" style="10"/>
    <col min="4" max="4" width="4.54296875" style="10" customWidth="1"/>
    <col min="5" max="5" width="13.7265625" style="10" customWidth="1"/>
    <col min="6" max="6" width="9.1796875" style="10"/>
    <col min="7" max="7" width="4.54296875" style="10" customWidth="1"/>
    <col min="8" max="8" width="9.1796875" style="10"/>
    <col min="9" max="9" width="6" style="10" customWidth="1"/>
    <col min="10" max="10" width="12.26953125" style="10" customWidth="1"/>
    <col min="11" max="12" width="2.26953125" style="10" customWidth="1"/>
    <col min="13" max="13" width="7.7265625" style="10" customWidth="1"/>
    <col min="14" max="14" width="10.54296875" style="10" customWidth="1"/>
    <col min="15" max="15" width="4.54296875" style="10" customWidth="1"/>
    <col min="16" max="16" width="6" style="10" bestFit="1" customWidth="1"/>
    <col min="17" max="17" width="14.54296875" style="10" bestFit="1" customWidth="1"/>
    <col min="18" max="18" width="9.1796875" style="10"/>
    <col min="19" max="19" width="5.1796875" style="10" customWidth="1"/>
    <col min="20" max="20" width="13.1796875" style="10" customWidth="1"/>
    <col min="21" max="25" width="9.1796875" style="10"/>
    <col min="26" max="26" width="9.1796875" style="10" customWidth="1"/>
    <col min="27" max="27" width="5.1796875" style="11" hidden="1" customWidth="1"/>
    <col min="28" max="28" width="12.7265625" style="11" hidden="1" customWidth="1"/>
    <col min="29" max="30" width="12" style="11" hidden="1" customWidth="1"/>
    <col min="31" max="50" width="9.1796875" style="11" hidden="1" customWidth="1"/>
    <col min="51" max="52" width="4.7265625" style="11" hidden="1" customWidth="1"/>
    <col min="53" max="54" width="12" style="11" hidden="1" customWidth="1"/>
    <col min="55" max="55" width="4.7265625" style="11" hidden="1" customWidth="1"/>
    <col min="56" max="56" width="4" style="11" hidden="1" customWidth="1"/>
    <col min="57" max="57" width="2.7265625" style="11" hidden="1" customWidth="1"/>
    <col min="58" max="67" width="9.1796875" style="11" customWidth="1"/>
    <col min="68" max="16384" width="9.1796875" style="10"/>
  </cols>
  <sheetData>
    <row r="1" spans="2:57" ht="15" thickBot="1" x14ac:dyDescent="0.4"/>
    <row r="2" spans="2:57" ht="15" customHeight="1" thickBot="1" x14ac:dyDescent="0.4">
      <c r="B2" s="62"/>
      <c r="C2" s="65"/>
      <c r="D2" s="65"/>
      <c r="E2" s="65"/>
      <c r="F2" s="65"/>
      <c r="G2" s="58"/>
    </row>
    <row r="3" spans="2:57" x14ac:dyDescent="0.35">
      <c r="B3" s="63"/>
      <c r="C3" s="72" t="s">
        <v>101</v>
      </c>
      <c r="D3" s="73"/>
      <c r="E3" s="73"/>
      <c r="F3" s="74"/>
      <c r="G3" s="59"/>
      <c r="AA3" s="11" t="s">
        <v>19</v>
      </c>
      <c r="AB3" s="11" t="s">
        <v>15</v>
      </c>
      <c r="AC3" s="11" t="s">
        <v>16</v>
      </c>
      <c r="AD3" s="11" t="s">
        <v>20</v>
      </c>
      <c r="AE3" s="11" t="s">
        <v>17</v>
      </c>
      <c r="AF3" s="11" t="s">
        <v>18</v>
      </c>
      <c r="AG3" s="11" t="s">
        <v>21</v>
      </c>
      <c r="AH3" s="11" t="s">
        <v>22</v>
      </c>
      <c r="AI3" s="11" t="s">
        <v>23</v>
      </c>
      <c r="AJ3" s="11" t="s">
        <v>24</v>
      </c>
      <c r="AK3" s="11" t="s">
        <v>25</v>
      </c>
      <c r="AL3" s="11" t="s">
        <v>26</v>
      </c>
    </row>
    <row r="4" spans="2:57" ht="15" thickBot="1" x14ac:dyDescent="0.4">
      <c r="B4" s="63"/>
      <c r="C4" s="75"/>
      <c r="D4" s="76"/>
      <c r="E4" s="76"/>
      <c r="F4" s="77"/>
      <c r="G4" s="59"/>
      <c r="I4" s="69" t="s">
        <v>48</v>
      </c>
      <c r="J4" s="70"/>
      <c r="M4" s="69" t="s">
        <v>37</v>
      </c>
      <c r="N4" s="70"/>
      <c r="P4" s="67" t="s">
        <v>44</v>
      </c>
      <c r="Q4" s="68"/>
      <c r="AA4" s="11">
        <v>1</v>
      </c>
      <c r="AB4" s="11">
        <f>AB18^4/(1+AB18^4)</f>
        <v>0.13904670379751727</v>
      </c>
      <c r="AC4" s="11">
        <f t="shared" ref="AC4:AC12" si="0">1-AB4</f>
        <v>0.86095329620248273</v>
      </c>
      <c r="AD4" s="11">
        <f>5*AB4/384</f>
        <v>1.8105039556968394E-3</v>
      </c>
      <c r="AE4" s="11">
        <f>AB4/8</f>
        <v>1.7380837974689659E-2</v>
      </c>
      <c r="AF4" s="11">
        <f>AC4*AB18^2/8</f>
        <v>4.3249407141992054E-2</v>
      </c>
      <c r="AG4" s="11">
        <v>0</v>
      </c>
      <c r="AH4" s="11">
        <v>0</v>
      </c>
      <c r="AI4" s="11">
        <f>AC4*AB18/2</f>
        <v>0.27289455706445032</v>
      </c>
      <c r="AJ4" s="11">
        <f>AB4/2</f>
        <v>6.9523351898758634E-2</v>
      </c>
      <c r="AK4" s="11">
        <v>0</v>
      </c>
      <c r="AL4" s="11">
        <v>0</v>
      </c>
    </row>
    <row r="5" spans="2:57" x14ac:dyDescent="0.35">
      <c r="B5" s="63"/>
      <c r="C5" s="1"/>
      <c r="D5" s="1"/>
      <c r="E5" s="1"/>
      <c r="F5" s="1"/>
      <c r="G5" s="59"/>
      <c r="I5" s="12" t="s">
        <v>49</v>
      </c>
      <c r="J5" s="13">
        <f>E11+E13*E12</f>
        <v>6.0604882080480289</v>
      </c>
      <c r="M5" s="12" t="s">
        <v>51</v>
      </c>
      <c r="N5" s="14">
        <f>MIN(0.8+0.2*E19/80,1)</f>
        <v>0.86250000000000004</v>
      </c>
      <c r="P5" s="12" t="s">
        <v>52</v>
      </c>
      <c r="Q5" s="15">
        <f>AB23*J6*E7^2</f>
        <v>1.3376230068315269</v>
      </c>
      <c r="AA5" s="11">
        <v>2</v>
      </c>
      <c r="AB5" s="11">
        <f>5*AB18^4/(2+5*AB18^4)</f>
        <v>0.28762648706659028</v>
      </c>
      <c r="AC5" s="11">
        <f t="shared" si="0"/>
        <v>0.71237351293340967</v>
      </c>
      <c r="AD5" s="11">
        <f>2*AB5/384</f>
        <v>1.4980546201384911E-3</v>
      </c>
      <c r="AE5" s="11">
        <f>AB5/14.22</f>
        <v>2.0226897824654731E-2</v>
      </c>
      <c r="AF5" s="11">
        <f>AC5*AB18^2/8</f>
        <v>3.5785602115613727E-2</v>
      </c>
      <c r="AG5" s="11">
        <f>-AB5/8</f>
        <v>-3.5953310883323784E-2</v>
      </c>
      <c r="AH5" s="11">
        <v>0</v>
      </c>
      <c r="AI5" s="11">
        <f>AC5*AB18/2</f>
        <v>0.22579953539162567</v>
      </c>
      <c r="AJ5" s="11">
        <f>3*AB5/8</f>
        <v>0.10785993264997135</v>
      </c>
      <c r="AK5" s="11">
        <v>0</v>
      </c>
      <c r="AL5" s="11">
        <f>5*AB5/8</f>
        <v>0.17976655441661893</v>
      </c>
    </row>
    <row r="6" spans="2:57" x14ac:dyDescent="0.35">
      <c r="B6" s="63"/>
      <c r="C6" s="1"/>
      <c r="D6" s="80" t="s">
        <v>32</v>
      </c>
      <c r="E6" s="81"/>
      <c r="F6" s="1"/>
      <c r="G6" s="59"/>
      <c r="I6" s="12" t="s">
        <v>50</v>
      </c>
      <c r="J6" s="13">
        <f>(E12+E11)*IF(E16=10,1.4*MAX(1.95-0.05*E23*100,1),1.4)</f>
        <v>9.9546834912672395</v>
      </c>
      <c r="M6" s="12" t="s">
        <v>29</v>
      </c>
      <c r="N6" s="16">
        <f>E20*5600*E19^0.5</f>
        <v>33600</v>
      </c>
      <c r="P6" s="17" t="s">
        <v>53</v>
      </c>
      <c r="Q6" s="18">
        <f>AB24*J6*E7^2</f>
        <v>3.3284587376740267</v>
      </c>
      <c r="AA6" s="11" t="s">
        <v>61</v>
      </c>
      <c r="AB6" s="11">
        <f>5*AB18^-4/(2+5*AB18^-4)</f>
        <v>0.93931880651940769</v>
      </c>
      <c r="AC6" s="11">
        <f t="shared" si="0"/>
        <v>6.068119348059231E-2</v>
      </c>
      <c r="AD6" s="11">
        <f>2*AB6/384*AB18^4</f>
        <v>7.9011970677854654E-4</v>
      </c>
      <c r="AE6" s="11">
        <f>AC6*AB18^2/8/AB18^2</f>
        <v>7.5851491850740388E-3</v>
      </c>
      <c r="AF6" s="11">
        <f>AB6/14.22*AB18^2</f>
        <v>2.6546298512544728E-2</v>
      </c>
      <c r="AG6" s="11">
        <v>0</v>
      </c>
      <c r="AH6" s="11">
        <f>-AB6/8*AB18^2</f>
        <v>-4.7186045606048256E-2</v>
      </c>
      <c r="AI6" s="11">
        <f>3*AB6/8*AB18</f>
        <v>0.22330043114249473</v>
      </c>
      <c r="AJ6" s="11">
        <f>AC6*AB18/2/AB18</f>
        <v>3.0340596740296159E-2</v>
      </c>
      <c r="AK6" s="11">
        <f>5*AB6/8*AB18</f>
        <v>0.37216738523749121</v>
      </c>
      <c r="AL6" s="11">
        <v>0</v>
      </c>
      <c r="BC6" s="11" t="s">
        <v>11</v>
      </c>
      <c r="BD6" s="11" t="s">
        <v>12</v>
      </c>
      <c r="BE6" s="11" t="s">
        <v>13</v>
      </c>
    </row>
    <row r="7" spans="2:57" x14ac:dyDescent="0.35">
      <c r="B7" s="63"/>
      <c r="C7" s="1"/>
      <c r="D7" s="2" t="s">
        <v>2</v>
      </c>
      <c r="E7" s="3">
        <f>VLOOKUP(C3,Resumo!B9:N28,5,FALSE)</f>
        <v>3.7070000000000003</v>
      </c>
      <c r="F7" s="1"/>
      <c r="G7" s="59"/>
      <c r="M7" s="12" t="s">
        <v>27</v>
      </c>
      <c r="N7" s="16">
        <f>N6*N5</f>
        <v>28980</v>
      </c>
      <c r="P7" s="12" t="s">
        <v>54</v>
      </c>
      <c r="Q7" s="15">
        <f>(AB25*J6*E7^2-IF(E16=10,MAX(1.95-0.05*E23*100,1)*(1.4*J12*J13+1.4*J11*E7),0))</f>
        <v>-2.3776248946430392</v>
      </c>
      <c r="AA7" s="11">
        <v>3</v>
      </c>
      <c r="AB7" s="11">
        <f>5*AB18^4/(1+5*AB18^4)</f>
        <v>0.44675453628147604</v>
      </c>
      <c r="AC7" s="11">
        <f t="shared" si="0"/>
        <v>0.55324546371852401</v>
      </c>
      <c r="AD7" s="11">
        <f>AB7/384</f>
        <v>1.1634232715663439E-3</v>
      </c>
      <c r="AE7" s="11">
        <f>AB7/24</f>
        <v>1.8614772345061502E-2</v>
      </c>
      <c r="AF7" s="11">
        <f>AC7*AB18^2/8</f>
        <v>2.7791912076256524E-2</v>
      </c>
      <c r="AG7" s="11">
        <f>-AB7/12</f>
        <v>-3.7229544690123004E-2</v>
      </c>
      <c r="AH7" s="11">
        <v>0</v>
      </c>
      <c r="AI7" s="11">
        <f>AC7*AB18/2</f>
        <v>0.17536105202839647</v>
      </c>
      <c r="AJ7" s="11">
        <v>0</v>
      </c>
      <c r="AK7" s="11">
        <v>0</v>
      </c>
      <c r="AL7" s="11">
        <f>AB7/2</f>
        <v>0.22337726814073802</v>
      </c>
      <c r="AS7" s="11" t="s">
        <v>2</v>
      </c>
      <c r="AT7" s="11" t="s">
        <v>3</v>
      </c>
      <c r="BB7" s="11">
        <v>0</v>
      </c>
      <c r="BC7" s="11">
        <v>0</v>
      </c>
      <c r="BD7" s="11">
        <v>0</v>
      </c>
      <c r="BE7" s="11">
        <v>0</v>
      </c>
    </row>
    <row r="8" spans="2:57" x14ac:dyDescent="0.35">
      <c r="B8" s="63"/>
      <c r="C8" s="1"/>
      <c r="D8" s="2" t="s">
        <v>3</v>
      </c>
      <c r="E8" s="3">
        <f>VLOOKUP(C3,Resumo!B9:N28,9,FALSE)</f>
        <v>2.35</v>
      </c>
      <c r="F8" s="1"/>
      <c r="G8" s="59"/>
      <c r="M8" s="12" t="s">
        <v>30</v>
      </c>
      <c r="N8" s="19">
        <f>N7*10^6*E23^3/(12*(1-0.2^2))/1000</f>
        <v>4347</v>
      </c>
      <c r="P8" s="20" t="s">
        <v>55</v>
      </c>
      <c r="Q8" s="21">
        <f>AB26*J6*E7^2</f>
        <v>-5.9163354062155831</v>
      </c>
      <c r="AA8" s="11" t="s">
        <v>62</v>
      </c>
      <c r="AB8" s="11">
        <f>5*AB18^-4/(1+5*AB18^-4)</f>
        <v>0.9687100474266529</v>
      </c>
      <c r="AC8" s="11">
        <f t="shared" si="0"/>
        <v>3.1289952573347102E-2</v>
      </c>
      <c r="AD8" s="11">
        <f>AB8/384*AB18^4</f>
        <v>4.0742125746545704E-4</v>
      </c>
      <c r="AE8" s="11">
        <f>AC8*AB18^2/8/AB18^2</f>
        <v>3.9112440716683877E-3</v>
      </c>
      <c r="AF8" s="11">
        <f>AB8/24*AB18^2</f>
        <v>1.6220831578395101E-2</v>
      </c>
      <c r="AG8" s="11">
        <v>0</v>
      </c>
      <c r="AH8" s="11">
        <f>-AB8/12*AB18^2</f>
        <v>-3.2441663156790201E-2</v>
      </c>
      <c r="AI8" s="11">
        <v>0</v>
      </c>
      <c r="AJ8" s="11">
        <f>AC8*AB18/2/AB18</f>
        <v>1.5644976286673551E-2</v>
      </c>
      <c r="AK8" s="11">
        <f>AB8/2*AB18</f>
        <v>0.30704998805673517</v>
      </c>
      <c r="AL8" s="11">
        <v>0</v>
      </c>
      <c r="AS8" s="22">
        <v>5</v>
      </c>
      <c r="AT8" s="22">
        <v>6</v>
      </c>
      <c r="BB8" s="11">
        <f>BA10</f>
        <v>71.428571428571431</v>
      </c>
      <c r="BC8" s="11">
        <v>0</v>
      </c>
      <c r="BD8" s="11">
        <v>0</v>
      </c>
      <c r="BE8" s="11">
        <v>0</v>
      </c>
    </row>
    <row r="9" spans="2:57" x14ac:dyDescent="0.35">
      <c r="B9" s="63"/>
      <c r="C9" s="1"/>
      <c r="D9" s="1"/>
      <c r="E9" s="1"/>
      <c r="F9" s="1"/>
      <c r="G9" s="59"/>
      <c r="H9" s="34"/>
      <c r="I9" s="34"/>
      <c r="J9" s="34"/>
      <c r="K9" s="34"/>
      <c r="AA9" s="11">
        <v>4</v>
      </c>
      <c r="AB9" s="11">
        <f>AB18^4/(1+AB18^4)</f>
        <v>0.13904670379751727</v>
      </c>
      <c r="AC9" s="11">
        <f t="shared" si="0"/>
        <v>0.86095329620248273</v>
      </c>
      <c r="AD9" s="11">
        <f>2*AB9/384</f>
        <v>7.2420158227873581E-4</v>
      </c>
      <c r="AE9" s="11">
        <f>AB9/14.22</f>
        <v>9.7782492122023383E-3</v>
      </c>
      <c r="AF9" s="11">
        <f>AC9*AB18^2/14.22</f>
        <v>2.4331593328828158E-2</v>
      </c>
      <c r="AG9" s="11">
        <f>-AB9/8</f>
        <v>-1.7380837974689659E-2</v>
      </c>
      <c r="AH9" s="11">
        <f>-AC9*AB18^2/8</f>
        <v>-4.3249407141992054E-2</v>
      </c>
      <c r="AI9" s="11">
        <f>3*AC9*AB18/8</f>
        <v>0.20467091779833771</v>
      </c>
      <c r="AJ9" s="11">
        <f>3*AB9/8</f>
        <v>5.2142513924068976E-2</v>
      </c>
      <c r="AK9" s="11">
        <f>5*AC9*AB18/8</f>
        <v>0.3411181963305629</v>
      </c>
      <c r="AL9" s="11">
        <f>5*AB9/8</f>
        <v>8.6904189873448293E-2</v>
      </c>
      <c r="BB9" s="11">
        <f>BA10</f>
        <v>71.428571428571431</v>
      </c>
      <c r="BC9" s="11">
        <v>0</v>
      </c>
      <c r="BD9" s="11">
        <v>0</v>
      </c>
      <c r="BE9" s="11">
        <f>AT8</f>
        <v>6</v>
      </c>
    </row>
    <row r="10" spans="2:57" x14ac:dyDescent="0.35">
      <c r="B10" s="63"/>
      <c r="C10" s="1"/>
      <c r="D10" s="80" t="s">
        <v>33</v>
      </c>
      <c r="E10" s="81"/>
      <c r="F10" s="1"/>
      <c r="G10" s="59"/>
      <c r="H10" s="34"/>
      <c r="I10" s="61" t="s">
        <v>67</v>
      </c>
      <c r="J10" s="61"/>
      <c r="K10" s="34"/>
      <c r="M10" s="69" t="s">
        <v>40</v>
      </c>
      <c r="N10" s="70"/>
      <c r="P10" s="67" t="s">
        <v>45</v>
      </c>
      <c r="Q10" s="68"/>
      <c r="AA10" s="11">
        <v>5</v>
      </c>
      <c r="AB10" s="11">
        <f>2*AB18^4/(1+2*AB18^4)</f>
        <v>0.24414574632268096</v>
      </c>
      <c r="AC10" s="11">
        <f t="shared" si="0"/>
        <v>0.75585425367731907</v>
      </c>
      <c r="AD10" s="11">
        <f>AB10/384</f>
        <v>6.3579621438198167E-4</v>
      </c>
      <c r="AE10" s="11">
        <f>AB10/24</f>
        <v>1.0172739430111707E-2</v>
      </c>
      <c r="AF10" s="11">
        <f>AC10*AB18^2/14.22</f>
        <v>2.1361365822584799E-2</v>
      </c>
      <c r="AG10" s="11">
        <f>-AB10/12</f>
        <v>-2.0345478860223414E-2</v>
      </c>
      <c r="AH10" s="11">
        <f>-AC10*AB18^2/8</f>
        <v>-3.7969827749644483E-2</v>
      </c>
      <c r="AI10" s="11">
        <f>3*AC10*AB18/8</f>
        <v>0.17968615081012609</v>
      </c>
      <c r="AJ10" s="11">
        <v>0</v>
      </c>
      <c r="AK10" s="11">
        <f>5*AC10*AB18/8</f>
        <v>0.29947691801687681</v>
      </c>
      <c r="AL10" s="11">
        <f>AB10/2</f>
        <v>0.12207287316134048</v>
      </c>
      <c r="AY10" s="11">
        <f>-AT11*AT12</f>
        <v>-0.5</v>
      </c>
      <c r="BA10" s="11">
        <f>1000*(AY10-AY$15)/(AY$16-AY$15)</f>
        <v>71.428571428571431</v>
      </c>
      <c r="BB10" s="11">
        <f>BA11</f>
        <v>142.85714285714286</v>
      </c>
      <c r="BC10" s="11">
        <v>0</v>
      </c>
      <c r="BD10" s="11">
        <v>0</v>
      </c>
      <c r="BE10" s="11">
        <f>BE9</f>
        <v>6</v>
      </c>
    </row>
    <row r="11" spans="2:57" x14ac:dyDescent="0.35">
      <c r="B11" s="63"/>
      <c r="C11" s="1"/>
      <c r="D11" s="2" t="s">
        <v>46</v>
      </c>
      <c r="E11" s="4">
        <f>VLOOKUP(C3,Resumo!B9:N28,10,FALSE)</f>
        <v>5.6104882080480287</v>
      </c>
      <c r="F11" s="1"/>
      <c r="G11" s="59"/>
      <c r="H11" s="34"/>
      <c r="I11" s="35" t="s">
        <v>64</v>
      </c>
      <c r="J11" s="36">
        <v>2.5</v>
      </c>
      <c r="K11" s="34"/>
      <c r="M11" s="12" t="s">
        <v>41</v>
      </c>
      <c r="N11" s="23">
        <f>AB22*J5*E7^4/N8*1000+IF(E16=10,J11*E7^3/(3*N8)*1000,0)</f>
        <v>0.19066359779463449</v>
      </c>
      <c r="P11" s="12" t="s">
        <v>56</v>
      </c>
      <c r="Q11" s="24">
        <f>AB27*J6*E7</f>
        <v>7.5527686036794659</v>
      </c>
      <c r="AA11" s="11" t="s">
        <v>63</v>
      </c>
      <c r="AB11" s="11">
        <f>2*AB18^-4/(1+2*AB18^-4)</f>
        <v>0.9252820024654782</v>
      </c>
      <c r="AC11" s="11">
        <f t="shared" si="0"/>
        <v>7.4717997534521796E-2</v>
      </c>
      <c r="AD11" s="11">
        <f>AB11/384*AB18^4</f>
        <v>3.8915623715896758E-4</v>
      </c>
      <c r="AE11" s="11">
        <f>AC11*AB18^2/14.22/AB18^2</f>
        <v>5.2544302063658082E-3</v>
      </c>
      <c r="AF11" s="11">
        <f>AB11/24*AB18^2</f>
        <v>1.5493638746065647E-2</v>
      </c>
      <c r="AG11" s="11">
        <f>-AC11*AB18^2/8/AB18^2</f>
        <v>-9.3397496918152245E-3</v>
      </c>
      <c r="AH11" s="11">
        <f>-AB11/12*AB18^2</f>
        <v>-3.0987277492131295E-2</v>
      </c>
      <c r="AI11" s="11">
        <v>0</v>
      </c>
      <c r="AJ11" s="11">
        <f>3*AC11*AB18/8/AB18</f>
        <v>2.8019249075445674E-2</v>
      </c>
      <c r="AK11" s="11">
        <f>AB11/2*AB18</f>
        <v>0.29328469190637629</v>
      </c>
      <c r="AL11" s="11">
        <f>5*AC11*AB18/8/AB18</f>
        <v>4.6698748459076123E-2</v>
      </c>
      <c r="AS11" s="11" t="s">
        <v>6</v>
      </c>
      <c r="AT11" s="11">
        <f>MIN(AS8:AT8)/10</f>
        <v>0.5</v>
      </c>
      <c r="AY11" s="11">
        <v>0</v>
      </c>
      <c r="BA11" s="11">
        <f>1000*(AY11-AY$15)/(AY$16-AY$15)</f>
        <v>142.85714285714286</v>
      </c>
      <c r="BB11" s="11">
        <f>BA11</f>
        <v>142.85714285714286</v>
      </c>
      <c r="BC11" s="11">
        <f>-AT15*AT11</f>
        <v>-0.5</v>
      </c>
      <c r="BD11" s="11">
        <f>AT8-BC11</f>
        <v>6.5</v>
      </c>
      <c r="BE11" s="11">
        <f>AT13*AT11</f>
        <v>0</v>
      </c>
    </row>
    <row r="12" spans="2:57" x14ac:dyDescent="0.35">
      <c r="B12" s="63"/>
      <c r="C12" s="1"/>
      <c r="D12" s="2" t="s">
        <v>47</v>
      </c>
      <c r="E12" s="4">
        <f>VLOOKUP(C3,Resumo!B9:N28,11,FALSE)</f>
        <v>1.5</v>
      </c>
      <c r="F12" s="1"/>
      <c r="G12" s="59"/>
      <c r="H12" s="34"/>
      <c r="I12" s="35" t="s">
        <v>65</v>
      </c>
      <c r="J12" s="36">
        <v>1</v>
      </c>
      <c r="K12" s="34"/>
      <c r="M12" s="12" t="s">
        <v>42</v>
      </c>
      <c r="N12" s="23">
        <f>N11*(1+E26)</f>
        <v>0.66732259228122071</v>
      </c>
      <c r="P12" s="17" t="s">
        <v>57</v>
      </c>
      <c r="Q12" s="25">
        <f>AB28*J6*E7</f>
        <v>1.9241636590043478</v>
      </c>
      <c r="AA12" s="11">
        <v>6</v>
      </c>
      <c r="AB12" s="11">
        <f>AB18^4/(1+AB18^4)</f>
        <v>0.13904670379751727</v>
      </c>
      <c r="AC12" s="11">
        <f t="shared" si="0"/>
        <v>0.86095329620248273</v>
      </c>
      <c r="AD12" s="11">
        <f>AB12/384</f>
        <v>3.621007911393679E-4</v>
      </c>
      <c r="AE12" s="11">
        <f>AB12/24</f>
        <v>5.7936126582298865E-3</v>
      </c>
      <c r="AF12" s="11">
        <f>AC12*AB18^2/24</f>
        <v>1.4416469047330684E-2</v>
      </c>
      <c r="AG12" s="11">
        <f>-AB12/12</f>
        <v>-1.1587225316459773E-2</v>
      </c>
      <c r="AH12" s="11">
        <f>-AC12*AB18^2/12</f>
        <v>-2.8832938094661368E-2</v>
      </c>
      <c r="AI12" s="11">
        <v>0</v>
      </c>
      <c r="AJ12" s="11">
        <v>0</v>
      </c>
      <c r="AK12" s="11">
        <f>AC12*AB18/2</f>
        <v>0.27289455706445032</v>
      </c>
      <c r="AL12" s="11">
        <f>AB12/2</f>
        <v>6.9523351898758634E-2</v>
      </c>
      <c r="AS12" s="11" t="s">
        <v>7</v>
      </c>
      <c r="AT12" s="11">
        <f>IF(OR(E16=1,E16=7,E16="2A",E16="3A",E16="5A"),0,1)</f>
        <v>1</v>
      </c>
      <c r="AY12" s="11">
        <f>AS8</f>
        <v>5</v>
      </c>
      <c r="BA12" s="11">
        <f>1000*(AY12-AY$15)/(AY$16-AY$15)</f>
        <v>857.14285714285711</v>
      </c>
      <c r="BB12" s="11">
        <f>BA12</f>
        <v>857.14285714285711</v>
      </c>
      <c r="BC12" s="11">
        <f>BC11</f>
        <v>-0.5</v>
      </c>
      <c r="BD12" s="11">
        <f>BD11</f>
        <v>6.5</v>
      </c>
      <c r="BE12" s="11">
        <f>BE11</f>
        <v>0</v>
      </c>
    </row>
    <row r="13" spans="2:57" x14ac:dyDescent="0.35">
      <c r="B13" s="63"/>
      <c r="C13" s="1"/>
      <c r="D13" s="5" t="s">
        <v>60</v>
      </c>
      <c r="E13" s="6">
        <v>0.3</v>
      </c>
      <c r="F13" s="1"/>
      <c r="G13" s="59"/>
      <c r="H13" s="34"/>
      <c r="I13" s="35" t="s">
        <v>66</v>
      </c>
      <c r="J13" s="37">
        <v>1.2</v>
      </c>
      <c r="K13" s="34"/>
      <c r="M13" s="12" t="s">
        <v>43</v>
      </c>
      <c r="N13" s="23">
        <f>IF(E16=10,E7*1000/125,MIN(E7:E8)/250*1000)</f>
        <v>9.4</v>
      </c>
      <c r="P13" s="12" t="s">
        <v>58</v>
      </c>
      <c r="Q13" s="24">
        <f>AB29*J6*E7</f>
        <v>12.587947672799112</v>
      </c>
      <c r="AA13" s="11">
        <v>7</v>
      </c>
      <c r="AB13" s="11">
        <v>0</v>
      </c>
      <c r="AC13" s="11">
        <v>0</v>
      </c>
      <c r="AD13" s="11">
        <f>5/384</f>
        <v>1.3020833333333334E-2</v>
      </c>
      <c r="AE13" s="11">
        <f>1/8</f>
        <v>0.125</v>
      </c>
      <c r="AF13" s="11">
        <v>0</v>
      </c>
      <c r="AG13" s="11">
        <v>0</v>
      </c>
      <c r="AH13" s="11">
        <v>0</v>
      </c>
      <c r="AI13" s="11">
        <v>0</v>
      </c>
      <c r="AJ13" s="11">
        <f>1/2</f>
        <v>0.5</v>
      </c>
      <c r="AK13" s="11">
        <v>0</v>
      </c>
      <c r="AL13" s="11">
        <v>0</v>
      </c>
      <c r="AS13" s="11" t="s">
        <v>8</v>
      </c>
      <c r="AT13" s="11">
        <f>IF(OR(E16="2A",E16="3A",E16="5A",E16=6),1,0)</f>
        <v>0</v>
      </c>
      <c r="AY13" s="11">
        <f>AS8+AT11*AT14</f>
        <v>5</v>
      </c>
      <c r="BA13" s="11">
        <f>1000*(AY13-AY$15)/(AY$16-AY$15)</f>
        <v>857.14285714285711</v>
      </c>
      <c r="BB13" s="11">
        <f>BA12</f>
        <v>857.14285714285711</v>
      </c>
      <c r="BC13" s="11">
        <v>0</v>
      </c>
      <c r="BD13" s="11">
        <v>0</v>
      </c>
      <c r="BE13" s="11">
        <f>AT8</f>
        <v>6</v>
      </c>
    </row>
    <row r="14" spans="2:57" ht="15" customHeight="1" x14ac:dyDescent="0.35">
      <c r="B14" s="63"/>
      <c r="C14" s="1"/>
      <c r="D14" s="1"/>
      <c r="E14" s="1"/>
      <c r="F14" s="1"/>
      <c r="G14" s="59"/>
      <c r="H14" s="34"/>
      <c r="I14" s="34"/>
      <c r="J14" s="34"/>
      <c r="K14" s="34"/>
      <c r="M14" s="78" t="str">
        <f>IF(N13&gt;=N12,"Ok!","Aumentar h!!!")</f>
        <v>Ok!</v>
      </c>
      <c r="N14" s="79"/>
      <c r="P14" s="20" t="s">
        <v>59</v>
      </c>
      <c r="Q14" s="26">
        <f>AB30*J6*E7</f>
        <v>3.2069394316739133</v>
      </c>
      <c r="AA14" s="11">
        <v>8</v>
      </c>
      <c r="AB14" s="11">
        <v>0</v>
      </c>
      <c r="AC14" s="11">
        <v>0</v>
      </c>
      <c r="AD14" s="11">
        <f>2/384</f>
        <v>5.208333333333333E-3</v>
      </c>
      <c r="AE14" s="11">
        <f>1/14.22</f>
        <v>7.0323488045007029E-2</v>
      </c>
      <c r="AF14" s="11">
        <v>0</v>
      </c>
      <c r="AG14" s="11">
        <f>-1/8</f>
        <v>-0.125</v>
      </c>
      <c r="AH14" s="11">
        <v>0</v>
      </c>
      <c r="AI14" s="11">
        <v>0</v>
      </c>
      <c r="AJ14" s="11">
        <f>3/8</f>
        <v>0.375</v>
      </c>
      <c r="AK14" s="11">
        <v>0</v>
      </c>
      <c r="AL14" s="11">
        <f>5/8</f>
        <v>0.625</v>
      </c>
      <c r="AS14" s="11" t="s">
        <v>9</v>
      </c>
      <c r="AT14" s="11">
        <f>IF(OR(E16=1,E16=2,E16="2A",E16="3A",E16=4,E16=7,E16=8,E16=10),0,1)</f>
        <v>0</v>
      </c>
      <c r="BB14" s="11">
        <f>BA13</f>
        <v>857.14285714285711</v>
      </c>
      <c r="BC14" s="11">
        <v>0</v>
      </c>
      <c r="BD14" s="11">
        <v>0</v>
      </c>
      <c r="BE14" s="11">
        <f>AT8</f>
        <v>6</v>
      </c>
    </row>
    <row r="15" spans="2:57" x14ac:dyDescent="0.35">
      <c r="B15" s="63"/>
      <c r="C15" s="1"/>
      <c r="D15" s="80" t="s">
        <v>34</v>
      </c>
      <c r="E15" s="81"/>
      <c r="F15" s="1"/>
      <c r="G15" s="59"/>
      <c r="AA15" s="11">
        <v>9</v>
      </c>
      <c r="AB15" s="11">
        <v>0</v>
      </c>
      <c r="AC15" s="11">
        <v>0</v>
      </c>
      <c r="AD15" s="11">
        <f>1/384</f>
        <v>2.6041666666666665E-3</v>
      </c>
      <c r="AE15" s="11">
        <f>1/24</f>
        <v>4.1666666666666664E-2</v>
      </c>
      <c r="AF15" s="11">
        <v>0</v>
      </c>
      <c r="AG15" s="11">
        <f>-1/12</f>
        <v>-8.3333333333333329E-2</v>
      </c>
      <c r="AH15" s="11">
        <v>0</v>
      </c>
      <c r="AI15" s="11">
        <v>0</v>
      </c>
      <c r="AJ15" s="11">
        <v>0</v>
      </c>
      <c r="AK15" s="11">
        <v>0</v>
      </c>
      <c r="AL15" s="11">
        <f>1/2</f>
        <v>0.5</v>
      </c>
      <c r="AS15" s="11" t="s">
        <v>10</v>
      </c>
      <c r="AT15" s="11">
        <f>IF(OR(E16="3A",E16="5A",E16=4,E16=5,E16=6),1,0)</f>
        <v>1</v>
      </c>
      <c r="AY15" s="11">
        <f>AS40</f>
        <v>-1</v>
      </c>
      <c r="AZ15" s="11" t="s">
        <v>0</v>
      </c>
      <c r="BB15" s="11">
        <f>BA13</f>
        <v>857.14285714285711</v>
      </c>
      <c r="BC15" s="11">
        <v>0</v>
      </c>
      <c r="BD15" s="11">
        <v>0</v>
      </c>
      <c r="BE15" s="11">
        <v>0</v>
      </c>
    </row>
    <row r="16" spans="2:57" x14ac:dyDescent="0.35">
      <c r="B16" s="63"/>
      <c r="C16" s="1"/>
      <c r="D16" s="2" t="s">
        <v>19</v>
      </c>
      <c r="E16" s="9">
        <f>VLOOKUP(C3,Resumo!B9:N28,13,FALSE)</f>
        <v>4</v>
      </c>
      <c r="F16" s="1"/>
      <c r="G16" s="59"/>
      <c r="AA16" s="11">
        <v>10</v>
      </c>
      <c r="AB16" s="11">
        <v>0</v>
      </c>
      <c r="AC16" s="11">
        <v>0</v>
      </c>
      <c r="AD16" s="11">
        <f>48/384</f>
        <v>0.125</v>
      </c>
      <c r="AE16" s="11">
        <v>0</v>
      </c>
      <c r="AF16" s="11">
        <v>0</v>
      </c>
      <c r="AG16" s="11">
        <f>-1/2</f>
        <v>-0.5</v>
      </c>
      <c r="AH16" s="11">
        <v>0</v>
      </c>
      <c r="AI16" s="11">
        <v>0</v>
      </c>
      <c r="AJ16" s="11">
        <v>0</v>
      </c>
      <c r="AK16" s="11">
        <v>0</v>
      </c>
      <c r="AL16" s="11">
        <v>1</v>
      </c>
      <c r="AY16" s="11">
        <f>AS41</f>
        <v>6</v>
      </c>
      <c r="AZ16" s="11" t="s">
        <v>1</v>
      </c>
      <c r="BB16" s="11">
        <v>1000</v>
      </c>
      <c r="BC16" s="11">
        <v>0</v>
      </c>
      <c r="BD16" s="11">
        <v>0</v>
      </c>
      <c r="BE16" s="11">
        <v>0</v>
      </c>
    </row>
    <row r="17" spans="2:46" x14ac:dyDescent="0.35">
      <c r="B17" s="63"/>
      <c r="C17" s="1"/>
      <c r="D17" s="1"/>
      <c r="E17" s="1"/>
      <c r="F17" s="1"/>
      <c r="G17" s="59"/>
    </row>
    <row r="18" spans="2:46" x14ac:dyDescent="0.35">
      <c r="B18" s="63"/>
      <c r="C18" s="1"/>
      <c r="D18" s="80" t="s">
        <v>35</v>
      </c>
      <c r="E18" s="81"/>
      <c r="F18" s="1"/>
      <c r="G18" s="59"/>
      <c r="J18" s="27"/>
      <c r="AA18" s="28" t="s">
        <v>14</v>
      </c>
      <c r="AB18" s="11">
        <f>E8/E7</f>
        <v>0.63393579714054493</v>
      </c>
      <c r="AD18" s="11" t="s">
        <v>4</v>
      </c>
      <c r="AE18" s="11" t="s">
        <v>5</v>
      </c>
      <c r="AF18" s="29" t="str">
        <f>IF(AF19=0,"",Q7)</f>
        <v/>
      </c>
      <c r="AG18" s="11">
        <v>0.8</v>
      </c>
      <c r="AI18" s="11" t="s">
        <v>4</v>
      </c>
      <c r="AJ18" s="11" t="s">
        <v>5</v>
      </c>
      <c r="AK18" s="29">
        <f>IF(E16=10,"",Q5)</f>
        <v>1.3376230068315269</v>
      </c>
      <c r="AL18" s="11">
        <v>0.8</v>
      </c>
    </row>
    <row r="19" spans="2:46" x14ac:dyDescent="0.35">
      <c r="B19" s="63"/>
      <c r="C19" s="1"/>
      <c r="D19" s="2" t="s">
        <v>28</v>
      </c>
      <c r="E19" s="7">
        <v>25</v>
      </c>
      <c r="F19" s="1"/>
      <c r="G19" s="59"/>
      <c r="AD19" s="11">
        <f>(AS8-(1-AG18)/2*AS8)*AF19</f>
        <v>0</v>
      </c>
      <c r="AE19" s="11">
        <f>AT8/2</f>
        <v>3</v>
      </c>
      <c r="AF19" s="11">
        <f>IF(OR(E16=3,E16=5,E16="5A",E16=6,E16=9),1,0)</f>
        <v>0</v>
      </c>
      <c r="AI19" s="11">
        <f>(AS8/2-(1-AL18)/2*AS8)*AK19</f>
        <v>2</v>
      </c>
      <c r="AJ19" s="11">
        <f>AT8/2</f>
        <v>3</v>
      </c>
      <c r="AK19" s="11">
        <f>IF(E16=10,0,1)</f>
        <v>1</v>
      </c>
    </row>
    <row r="20" spans="2:46" x14ac:dyDescent="0.35">
      <c r="B20" s="63"/>
      <c r="C20" s="1"/>
      <c r="D20" s="5" t="s">
        <v>68</v>
      </c>
      <c r="E20" s="8">
        <v>1.2</v>
      </c>
      <c r="F20" s="1"/>
      <c r="G20" s="59"/>
      <c r="AA20" s="11" t="s">
        <v>15</v>
      </c>
      <c r="AB20" s="11">
        <f>VLOOKUP(E$16,AA$4:AL$16,2,TRUE)</f>
        <v>0.13904670379751727</v>
      </c>
      <c r="AD20" s="11">
        <f>((AS8-AD19)+AS8)*AF20</f>
        <v>0</v>
      </c>
      <c r="AE20" s="11">
        <f>AE19</f>
        <v>3</v>
      </c>
      <c r="AF20" s="11">
        <f>IF(OR(E16=3,E16=5,E16="5A",E16=6,E16=9),1,0)</f>
        <v>0</v>
      </c>
      <c r="AI20" s="11">
        <f>((AS8/2-AI19)+AS8/2)*AK20</f>
        <v>3</v>
      </c>
      <c r="AJ20" s="11">
        <f>AJ19</f>
        <v>3</v>
      </c>
      <c r="AK20" s="11">
        <f>AK19</f>
        <v>1</v>
      </c>
    </row>
    <row r="21" spans="2:46" x14ac:dyDescent="0.35">
      <c r="B21" s="63"/>
      <c r="C21" s="1"/>
      <c r="D21" s="1"/>
      <c r="E21" s="1"/>
      <c r="F21" s="1"/>
      <c r="G21" s="59"/>
      <c r="M21" s="27"/>
      <c r="N21" s="30"/>
      <c r="O21" s="30"/>
      <c r="P21" s="30"/>
      <c r="Q21" s="30"/>
      <c r="R21" s="31"/>
      <c r="AA21" s="11" t="s">
        <v>16</v>
      </c>
      <c r="AB21" s="11">
        <f>VLOOKUP(E$16,AA$4:AL$16,3,TRUE)</f>
        <v>0.86095329620248273</v>
      </c>
      <c r="AF21" s="29">
        <f>IF(AF22=0,"",Q7)</f>
        <v>-2.3776248946430392</v>
      </c>
      <c r="AS21" s="11" t="s">
        <v>4</v>
      </c>
      <c r="AT21" s="11" t="s">
        <v>5</v>
      </c>
    </row>
    <row r="22" spans="2:46" x14ac:dyDescent="0.35">
      <c r="B22" s="63"/>
      <c r="C22" s="1"/>
      <c r="D22" s="80" t="s">
        <v>36</v>
      </c>
      <c r="E22" s="81"/>
      <c r="F22" s="1"/>
      <c r="G22" s="59"/>
      <c r="AA22" s="11" t="s">
        <v>20</v>
      </c>
      <c r="AB22" s="11">
        <f>VLOOKUP(E$16,AA$4:AL$16,4,TRUE)</f>
        <v>7.2420158227873581E-4</v>
      </c>
      <c r="AD22" s="11">
        <f>-(1-AG18)/2*AS8*AF22</f>
        <v>-0.49999999999999989</v>
      </c>
      <c r="AE22" s="11">
        <f>AE19</f>
        <v>3</v>
      </c>
      <c r="AF22" s="11">
        <f>IF(OR(E16=1,E16="2A",E16="3A",E16="5A",E16=7),0,1)</f>
        <v>1</v>
      </c>
      <c r="AI22" s="11" t="s">
        <v>4</v>
      </c>
      <c r="AJ22" s="11" t="s">
        <v>5</v>
      </c>
      <c r="AK22" s="29">
        <f>IF(OR(E16=7,E16=8,E16=9,E16=10),"",Q6)</f>
        <v>3.3284587376740267</v>
      </c>
      <c r="AL22" s="11">
        <v>0.8</v>
      </c>
      <c r="AS22" s="11">
        <v>0</v>
      </c>
      <c r="AT22" s="11">
        <v>0</v>
      </c>
    </row>
    <row r="23" spans="2:46" x14ac:dyDescent="0.35">
      <c r="B23" s="63"/>
      <c r="C23" s="1"/>
      <c r="D23" s="2" t="s">
        <v>31</v>
      </c>
      <c r="E23" s="3">
        <v>0.12</v>
      </c>
      <c r="F23" s="1"/>
      <c r="G23" s="59"/>
      <c r="AA23" s="11" t="s">
        <v>17</v>
      </c>
      <c r="AB23" s="11">
        <f>VLOOKUP(E$16,AA$4:AL$16,5,TRUE)</f>
        <v>9.7782492122023383E-3</v>
      </c>
      <c r="AC23" s="32"/>
      <c r="AD23" s="11">
        <f>-AD22</f>
        <v>0.49999999999999989</v>
      </c>
      <c r="AE23" s="11">
        <f>AE20</f>
        <v>3</v>
      </c>
      <c r="AF23" s="11">
        <f>IF(OR(E16=1,E16="2A",E16="3A",E16="5A",E16=7),0,1)</f>
        <v>1</v>
      </c>
      <c r="AI23" s="11">
        <f>AS8/2</f>
        <v>2.5</v>
      </c>
      <c r="AJ23" s="11">
        <f>(AT8/2-(1-AL22)/2*AT8)*AK23</f>
        <v>2.4000000000000004</v>
      </c>
      <c r="AK23" s="11">
        <f>IF(OR(E16=7,E16=8,E16=9,E16=10),0,1)</f>
        <v>1</v>
      </c>
      <c r="AS23" s="11">
        <f>AS8</f>
        <v>5</v>
      </c>
      <c r="AT23" s="11">
        <v>0</v>
      </c>
    </row>
    <row r="24" spans="2:46" x14ac:dyDescent="0.35">
      <c r="B24" s="63"/>
      <c r="C24" s="1"/>
      <c r="D24" s="1"/>
      <c r="E24" s="1"/>
      <c r="F24" s="1"/>
      <c r="G24" s="59"/>
      <c r="AA24" s="11" t="s">
        <v>18</v>
      </c>
      <c r="AB24" s="11">
        <f>VLOOKUP(E$16,AA$4:AL$16,6,TRUE)</f>
        <v>2.4331593328828158E-2</v>
      </c>
      <c r="AF24" s="29" t="str">
        <f>IF(AF26=0,"",Q8)</f>
        <v/>
      </c>
      <c r="AG24" s="11">
        <v>0.8</v>
      </c>
      <c r="AI24" s="11">
        <f>AI23</f>
        <v>2.5</v>
      </c>
      <c r="AJ24" s="11">
        <f>((AT8/2-AJ23)+AT8/2)*AK23</f>
        <v>3.5999999999999996</v>
      </c>
      <c r="AS24" s="11">
        <f>AS8</f>
        <v>5</v>
      </c>
      <c r="AT24" s="11">
        <f>AT8</f>
        <v>6</v>
      </c>
    </row>
    <row r="25" spans="2:46" x14ac:dyDescent="0.35">
      <c r="B25" s="63"/>
      <c r="C25" s="1"/>
      <c r="D25" s="71" t="s">
        <v>38</v>
      </c>
      <c r="E25" s="71"/>
      <c r="F25" s="1"/>
      <c r="G25" s="59"/>
      <c r="AA25" s="11" t="s">
        <v>21</v>
      </c>
      <c r="AB25" s="11">
        <f>VLOOKUP(E$16,AA$4:AL$16,7,TRUE)</f>
        <v>-1.7380837974689659E-2</v>
      </c>
      <c r="AD25" s="11">
        <f>AS8/2</f>
        <v>2.5</v>
      </c>
      <c r="AE25" s="11">
        <f>(AT8+(1-AG24)/2*AT8)*AF25</f>
        <v>0</v>
      </c>
      <c r="AF25" s="11">
        <f>IF(OR(E16=6,E16="2A",E16="3A",E16="5A"),1,0)</f>
        <v>0</v>
      </c>
      <c r="AK25" s="29">
        <f>IF(OR(E16=1,E16=7,E16="2A",E16="3A",E16="5A"),Q12,Q14)</f>
        <v>3.2069394316739133</v>
      </c>
      <c r="AS25" s="11">
        <v>0</v>
      </c>
      <c r="AT25" s="11">
        <f>AT24</f>
        <v>6</v>
      </c>
    </row>
    <row r="26" spans="2:46" x14ac:dyDescent="0.35">
      <c r="B26" s="63"/>
      <c r="C26" s="1"/>
      <c r="D26" s="38" t="s">
        <v>39</v>
      </c>
      <c r="E26" s="6">
        <v>2.5</v>
      </c>
      <c r="F26" s="1"/>
      <c r="G26" s="59"/>
      <c r="AA26" s="11" t="s">
        <v>22</v>
      </c>
      <c r="AB26" s="11">
        <f>VLOOKUP(E$16,AA$4:AL$16,8,TRUE)</f>
        <v>-4.3249407141992054E-2</v>
      </c>
      <c r="AD26" s="11">
        <f>AD25</f>
        <v>2.5</v>
      </c>
      <c r="AE26" s="11">
        <f>(AT8-(AE25-AT8))*AF26</f>
        <v>0</v>
      </c>
      <c r="AF26" s="11">
        <f>IF(OR(E16=6,E16="2A",E16="3A",E16="5A"),1,0)</f>
        <v>0</v>
      </c>
      <c r="AI26" s="11">
        <v>0</v>
      </c>
      <c r="AJ26" s="11">
        <f>0.4*AT8</f>
        <v>2.4000000000000004</v>
      </c>
      <c r="AS26" s="11">
        <v>0</v>
      </c>
      <c r="AT26" s="11">
        <v>0</v>
      </c>
    </row>
    <row r="27" spans="2:46" ht="15" thickBot="1" x14ac:dyDescent="0.4">
      <c r="B27" s="64"/>
      <c r="C27" s="66"/>
      <c r="D27" s="66"/>
      <c r="E27" s="66"/>
      <c r="F27" s="66"/>
      <c r="G27" s="60"/>
      <c r="AA27" s="11" t="s">
        <v>23</v>
      </c>
      <c r="AB27" s="11">
        <f>VLOOKUP(E$16,AA$4:AL$16,9,TRUE)</f>
        <v>0.20467091779833771</v>
      </c>
      <c r="AF27" s="29">
        <f>IF(AF28=0,"",Q8)</f>
        <v>-5.9163354062155831</v>
      </c>
      <c r="AI27" s="11">
        <v>0</v>
      </c>
      <c r="AJ27" s="11">
        <f>0.6*AT8</f>
        <v>3.5999999999999996</v>
      </c>
      <c r="AS27" s="11">
        <v>0</v>
      </c>
      <c r="AT27" s="11">
        <v>0</v>
      </c>
    </row>
    <row r="28" spans="2:46" x14ac:dyDescent="0.35">
      <c r="AA28" s="11" t="s">
        <v>24</v>
      </c>
      <c r="AB28" s="11">
        <f>VLOOKUP(E$16,AA$4:AL$16,10,TRUE)</f>
        <v>5.2142513924068976E-2</v>
      </c>
      <c r="AD28" s="11">
        <f>AD25</f>
        <v>2.5</v>
      </c>
      <c r="AE28" s="11">
        <f>(1-AG24)/2*AT8*AF28</f>
        <v>0.59999999999999987</v>
      </c>
      <c r="AF28" s="11">
        <f>IF(OR(E16="3A",E16="5A",E16=4,E16=5,E16=6),1,0)</f>
        <v>1</v>
      </c>
      <c r="AK28" s="29">
        <f>IF(OR(E16=4,E16=5,E16=6,E16=7,E16=8,E16=9,E16=10,E16="3A",E16="5A"),Q13,Q11)</f>
        <v>12.587947672799112</v>
      </c>
      <c r="AS28" s="11">
        <f>-AT11*AT12</f>
        <v>-0.5</v>
      </c>
      <c r="AT28" s="11">
        <v>0</v>
      </c>
    </row>
    <row r="29" spans="2:46" x14ac:dyDescent="0.35">
      <c r="AA29" s="11" t="s">
        <v>25</v>
      </c>
      <c r="AB29" s="11">
        <f>VLOOKUP(E$16,AA$4:AL$16,11,TRUE)</f>
        <v>0.3411181963305629</v>
      </c>
      <c r="AD29" s="11">
        <f>AD26</f>
        <v>2.5</v>
      </c>
      <c r="AE29" s="11">
        <f>-AE28</f>
        <v>-0.59999999999999987</v>
      </c>
      <c r="AF29" s="11">
        <f>IF(OR(E16="3A",E16="5A",E16=4,E16=5,E16=6),1,0)</f>
        <v>1</v>
      </c>
      <c r="AI29" s="11">
        <f>0.4*AS8</f>
        <v>2</v>
      </c>
      <c r="AJ29" s="11">
        <v>0</v>
      </c>
      <c r="AS29" s="11">
        <f>AS28</f>
        <v>-0.5</v>
      </c>
      <c r="AT29" s="11">
        <f>AT25</f>
        <v>6</v>
      </c>
    </row>
    <row r="30" spans="2:46" x14ac:dyDescent="0.35">
      <c r="AA30" s="11" t="s">
        <v>26</v>
      </c>
      <c r="AB30" s="11">
        <f>VLOOKUP(E$16,AA$4:AL$16,12,TRUE)</f>
        <v>8.6904189873448293E-2</v>
      </c>
      <c r="AI30" s="11">
        <f>0.6*AS8</f>
        <v>3</v>
      </c>
      <c r="AJ30" s="11">
        <v>0</v>
      </c>
      <c r="AS30" s="11">
        <v>0</v>
      </c>
      <c r="AT30" s="11">
        <f>AT29</f>
        <v>6</v>
      </c>
    </row>
    <row r="31" spans="2:46" x14ac:dyDescent="0.35">
      <c r="AD31" s="11" t="s">
        <v>4</v>
      </c>
      <c r="AE31" s="11" t="s">
        <v>5</v>
      </c>
      <c r="AK31" s="29">
        <f>IF(OR(E16=3,E16=5,E16=6,E16=9,E16="5A"),Q14,Q12)</f>
        <v>1.9241636590043478</v>
      </c>
      <c r="AS31" s="11">
        <v>0</v>
      </c>
      <c r="AT31" s="11">
        <f>AT30+AT11*AT13</f>
        <v>6</v>
      </c>
    </row>
    <row r="32" spans="2:46" x14ac:dyDescent="0.35">
      <c r="AD32" s="11">
        <v>0</v>
      </c>
      <c r="AE32" s="11">
        <v>0</v>
      </c>
      <c r="AI32" s="22">
        <f>AS8</f>
        <v>5</v>
      </c>
      <c r="AJ32" s="11">
        <f>AJ23</f>
        <v>2.4000000000000004</v>
      </c>
      <c r="AS32" s="11">
        <f>AS24</f>
        <v>5</v>
      </c>
      <c r="AT32" s="11">
        <f>AT31</f>
        <v>6</v>
      </c>
    </row>
    <row r="33" spans="13:46" x14ac:dyDescent="0.35">
      <c r="AD33" s="22">
        <f>AS8*AF33</f>
        <v>0</v>
      </c>
      <c r="AE33" s="11">
        <v>0</v>
      </c>
      <c r="AF33" s="11">
        <f>IF(OR(E16&lt;7,E16="2A",E16="3A",E16="5A"),0,1)</f>
        <v>0</v>
      </c>
      <c r="AI33" s="22">
        <f>AS8</f>
        <v>5</v>
      </c>
      <c r="AJ33" s="11">
        <f>AJ24</f>
        <v>3.5999999999999996</v>
      </c>
      <c r="AS33" s="11">
        <f>AS32</f>
        <v>5</v>
      </c>
      <c r="AT33" s="11">
        <f>AT30</f>
        <v>6</v>
      </c>
    </row>
    <row r="34" spans="13:46" x14ac:dyDescent="0.35">
      <c r="M34" s="33"/>
      <c r="AD34" s="11">
        <v>0</v>
      </c>
      <c r="AE34" s="22">
        <f>AT8</f>
        <v>6</v>
      </c>
      <c r="AK34" s="29">
        <f>IF(OR(E16="2A",E16="3A",E16="5A",E16=6),Q13,Q11)</f>
        <v>7.5527686036794659</v>
      </c>
      <c r="AS34" s="11">
        <f>AS33+AT14*AT11</f>
        <v>5</v>
      </c>
      <c r="AT34" s="11">
        <f>AT33</f>
        <v>6</v>
      </c>
    </row>
    <row r="35" spans="13:46" x14ac:dyDescent="0.35">
      <c r="M35" s="33"/>
      <c r="AD35" s="22">
        <f>AD33</f>
        <v>0</v>
      </c>
      <c r="AE35" s="22">
        <f>AE34</f>
        <v>6</v>
      </c>
      <c r="AI35" s="11">
        <f>AI29</f>
        <v>2</v>
      </c>
      <c r="AJ35" s="22">
        <f>AT8</f>
        <v>6</v>
      </c>
      <c r="AS35" s="11">
        <f>AS34</f>
        <v>5</v>
      </c>
      <c r="AT35" s="11">
        <v>0</v>
      </c>
    </row>
    <row r="36" spans="13:46" x14ac:dyDescent="0.35">
      <c r="M36" s="33"/>
      <c r="AD36" s="22">
        <f>AS8</f>
        <v>5</v>
      </c>
      <c r="AE36" s="11">
        <v>0</v>
      </c>
      <c r="AI36" s="11">
        <f>AI30</f>
        <v>3</v>
      </c>
      <c r="AJ36" s="22">
        <f>AJ35</f>
        <v>6</v>
      </c>
      <c r="AS36" s="11">
        <f>AS33</f>
        <v>5</v>
      </c>
      <c r="AT36" s="11">
        <v>0</v>
      </c>
    </row>
    <row r="37" spans="13:46" x14ac:dyDescent="0.35">
      <c r="AD37" s="22">
        <f>AS8</f>
        <v>5</v>
      </c>
      <c r="AE37" s="22">
        <f>AT8*AF37</f>
        <v>0</v>
      </c>
      <c r="AF37" s="11">
        <f>IF(E16=10,1,0)</f>
        <v>0</v>
      </c>
      <c r="AS37" s="11">
        <f>AS36</f>
        <v>5</v>
      </c>
      <c r="AT37" s="11">
        <f>-AT15*AT11</f>
        <v>-0.5</v>
      </c>
    </row>
    <row r="38" spans="13:46" x14ac:dyDescent="0.35">
      <c r="AS38" s="11">
        <v>0</v>
      </c>
      <c r="AT38" s="11">
        <f>AT37</f>
        <v>-0.5</v>
      </c>
    </row>
    <row r="39" spans="13:46" x14ac:dyDescent="0.35">
      <c r="AS39" s="11">
        <v>0</v>
      </c>
      <c r="AT39" s="11">
        <v>0</v>
      </c>
    </row>
    <row r="40" spans="13:46" x14ac:dyDescent="0.35">
      <c r="AS40" s="11">
        <v>-1</v>
      </c>
      <c r="AT40" s="11">
        <v>-2</v>
      </c>
    </row>
    <row r="41" spans="13:46" x14ac:dyDescent="0.35">
      <c r="AS41" s="11">
        <v>6</v>
      </c>
      <c r="AT41" s="11">
        <v>8</v>
      </c>
    </row>
  </sheetData>
  <sheetProtection algorithmName="SHA-512" hashValue="wkE0nul1ZuGjq1a/l+DiZDOzc3BWnRgllAA84A3R5IHKLMyIwisp7IinzUc2ZfEEz6l0phbbOFZ6K6H6r6EOHg==" saltValue="zZrXYD6v4zg3WNzMO0utPw==" spinCount="100000" sheet="1" objects="1" scenarios="1" selectLockedCells="1"/>
  <mergeCells count="18">
    <mergeCell ref="M14:N14"/>
    <mergeCell ref="P4:Q4"/>
    <mergeCell ref="D6:E6"/>
    <mergeCell ref="D10:E10"/>
    <mergeCell ref="I10:J10"/>
    <mergeCell ref="M10:N10"/>
    <mergeCell ref="P10:Q10"/>
    <mergeCell ref="M4:N4"/>
    <mergeCell ref="B2:B27"/>
    <mergeCell ref="C2:F2"/>
    <mergeCell ref="G2:G27"/>
    <mergeCell ref="C3:F4"/>
    <mergeCell ref="I4:J4"/>
    <mergeCell ref="D15:E15"/>
    <mergeCell ref="D18:E18"/>
    <mergeCell ref="D22:E22"/>
    <mergeCell ref="D25:E25"/>
    <mergeCell ref="C27:F27"/>
  </mergeCells>
  <conditionalFormatting sqref="D8:E8">
    <cfRule type="expression" dxfId="11" priority="10">
      <formula>OR($E$16=7,$E$16=8,$E$16=9,$E$16=10)</formula>
    </cfRule>
  </conditionalFormatting>
  <conditionalFormatting sqref="H10:H13">
    <cfRule type="expression" dxfId="10" priority="6">
      <formula>OR($E$16=10)</formula>
    </cfRule>
  </conditionalFormatting>
  <conditionalFormatting sqref="H9:J9">
    <cfRule type="expression" dxfId="9" priority="5">
      <formula>OR($E$16=10)</formula>
    </cfRule>
  </conditionalFormatting>
  <conditionalFormatting sqref="H14:J14">
    <cfRule type="expression" dxfId="8" priority="4">
      <formula>OR($E$16=10)</formula>
    </cfRule>
  </conditionalFormatting>
  <conditionalFormatting sqref="I11:I13">
    <cfRule type="expression" dxfId="7" priority="8">
      <formula>OR($E$16=10)</formula>
    </cfRule>
  </conditionalFormatting>
  <conditionalFormatting sqref="I10:J10">
    <cfRule type="expression" dxfId="6" priority="9">
      <formula>OR($E$16=10)</formula>
    </cfRule>
  </conditionalFormatting>
  <conditionalFormatting sqref="J11:J13">
    <cfRule type="expression" dxfId="5" priority="7">
      <formula>OR($E$16=10)</formula>
    </cfRule>
  </conditionalFormatting>
  <conditionalFormatting sqref="K9">
    <cfRule type="expression" dxfId="4" priority="2">
      <formula>OR($E$16=10)</formula>
    </cfRule>
  </conditionalFormatting>
  <conditionalFormatting sqref="K10:K13">
    <cfRule type="expression" dxfId="3" priority="3">
      <formula>OR($E$16=10)</formula>
    </cfRule>
  </conditionalFormatting>
  <conditionalFormatting sqref="K14">
    <cfRule type="expression" dxfId="2" priority="1">
      <formula>OR($E$16=10)</formula>
    </cfRule>
  </conditionalFormatting>
  <conditionalFormatting sqref="M14:N14">
    <cfRule type="cellIs" dxfId="1" priority="11" operator="equal">
      <formula>"Aumentar h!!!"</formula>
    </cfRule>
    <cfRule type="cellIs" dxfId="0" priority="12" operator="equal">
      <formula>"Ok!"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FD88-3448-4F67-A9A7-752589A01BE5}">
  <dimension ref="B1:Q28"/>
  <sheetViews>
    <sheetView zoomScale="140" zoomScaleNormal="140" workbookViewId="0">
      <selection activeCell="I18" sqref="I18"/>
    </sheetView>
  </sheetViews>
  <sheetFormatPr defaultColWidth="9.08984375" defaultRowHeight="14.5" x14ac:dyDescent="0.35"/>
  <cols>
    <col min="1" max="16384" width="9.08984375" style="39"/>
  </cols>
  <sheetData>
    <row r="1" spans="2:17" ht="15" thickBot="1" x14ac:dyDescent="0.4"/>
    <row r="2" spans="2:17" ht="14.25" customHeight="1" x14ac:dyDescent="0.35">
      <c r="B2" s="82" t="s">
        <v>69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4"/>
      <c r="O2" s="40"/>
      <c r="P2" s="40"/>
      <c r="Q2" s="40"/>
    </row>
    <row r="3" spans="2:17" ht="14.25" customHeight="1" x14ac:dyDescent="0.35">
      <c r="B3" s="85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7"/>
      <c r="O3" s="40"/>
      <c r="P3" s="40"/>
      <c r="Q3" s="40"/>
    </row>
    <row r="4" spans="2:17" ht="14.65" customHeight="1" thickBot="1" x14ac:dyDescent="0.4"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90"/>
      <c r="O4" s="40"/>
      <c r="P4" s="40"/>
      <c r="Q4" s="40"/>
    </row>
    <row r="5" spans="2:17" ht="15" thickBot="1" x14ac:dyDescent="0.4"/>
    <row r="6" spans="2:17" x14ac:dyDescent="0.35">
      <c r="B6" s="91" t="s">
        <v>70</v>
      </c>
      <c r="C6" s="94" t="s">
        <v>71</v>
      </c>
      <c r="D6" s="95"/>
      <c r="E6" s="95"/>
      <c r="F6" s="95"/>
      <c r="G6" s="95"/>
      <c r="H6" s="95"/>
      <c r="I6" s="95"/>
      <c r="J6" s="96"/>
      <c r="K6" s="97" t="s">
        <v>72</v>
      </c>
      <c r="L6" s="98"/>
      <c r="M6" s="97" t="s">
        <v>73</v>
      </c>
      <c r="N6" s="96" t="s">
        <v>19</v>
      </c>
    </row>
    <row r="7" spans="2:17" x14ac:dyDescent="0.35">
      <c r="B7" s="92"/>
      <c r="C7" s="104" t="s">
        <v>74</v>
      </c>
      <c r="D7" s="105"/>
      <c r="E7" s="105"/>
      <c r="F7" s="105"/>
      <c r="G7" s="105" t="s">
        <v>75</v>
      </c>
      <c r="H7" s="105"/>
      <c r="I7" s="105"/>
      <c r="J7" s="102"/>
      <c r="K7" s="99"/>
      <c r="L7" s="100"/>
      <c r="M7" s="99"/>
      <c r="N7" s="102"/>
    </row>
    <row r="8" spans="2:17" ht="15" thickBot="1" x14ac:dyDescent="0.4">
      <c r="B8" s="93"/>
      <c r="C8" s="41" t="s">
        <v>76</v>
      </c>
      <c r="D8" s="42" t="s">
        <v>77</v>
      </c>
      <c r="E8" s="42" t="s">
        <v>78</v>
      </c>
      <c r="F8" s="42" t="s">
        <v>2</v>
      </c>
      <c r="G8" s="42" t="s">
        <v>79</v>
      </c>
      <c r="H8" s="42" t="s">
        <v>80</v>
      </c>
      <c r="I8" s="42" t="s">
        <v>78</v>
      </c>
      <c r="J8" s="43" t="s">
        <v>3</v>
      </c>
      <c r="K8" s="41" t="s">
        <v>46</v>
      </c>
      <c r="L8" s="43" t="s">
        <v>47</v>
      </c>
      <c r="M8" s="101"/>
      <c r="N8" s="103"/>
    </row>
    <row r="9" spans="2:17" x14ac:dyDescent="0.35">
      <c r="B9" s="44" t="s">
        <v>81</v>
      </c>
      <c r="C9" s="45">
        <v>0.14000000000000001</v>
      </c>
      <c r="D9" s="46">
        <v>0.14000000000000001</v>
      </c>
      <c r="E9" s="46">
        <v>3.1150000000000002</v>
      </c>
      <c r="F9" s="47">
        <f>(C9+D9)/2+E9</f>
        <v>3.2550000000000003</v>
      </c>
      <c r="G9" s="46">
        <v>0.14000000000000001</v>
      </c>
      <c r="H9" s="46">
        <v>0.14000000000000001</v>
      </c>
      <c r="I9" s="46">
        <v>1.915</v>
      </c>
      <c r="J9" s="48">
        <f>(G9+H9)/2+I9</f>
        <v>2.0550000000000002</v>
      </c>
      <c r="K9" s="49">
        <v>4.1500000000000004</v>
      </c>
      <c r="L9" s="57">
        <v>1.5</v>
      </c>
      <c r="M9" s="49" t="str">
        <f>IF(MAX(F9,J9)/MIN(F9,J9)&lt;=2,"Bidir.","Unidir.")</f>
        <v>Bidir.</v>
      </c>
      <c r="N9" s="50">
        <v>4</v>
      </c>
    </row>
    <row r="10" spans="2:17" x14ac:dyDescent="0.35">
      <c r="B10" s="51" t="s">
        <v>82</v>
      </c>
      <c r="C10" s="52">
        <v>0.14000000000000001</v>
      </c>
      <c r="D10" s="53">
        <v>0.14000000000000001</v>
      </c>
      <c r="E10" s="53">
        <v>1.405</v>
      </c>
      <c r="F10" s="47">
        <f t="shared" ref="F10:F16" si="0">(C10+D10)/2+E10</f>
        <v>1.5449999999999999</v>
      </c>
      <c r="G10" s="53">
        <v>0.14000000000000001</v>
      </c>
      <c r="H10" s="53">
        <v>0.14000000000000001</v>
      </c>
      <c r="I10" s="53">
        <v>0.8</v>
      </c>
      <c r="J10" s="48">
        <f>(G10+H10)/2+I10</f>
        <v>0.94000000000000006</v>
      </c>
      <c r="K10" s="54">
        <v>4.1500000000000004</v>
      </c>
      <c r="L10" s="56">
        <v>1.5</v>
      </c>
      <c r="M10" s="49" t="str">
        <f t="shared" ref="M10:M28" si="1">IF(MAX(F10,J10)/MIN(F10,J10)&lt;=2,"Bidir.","Unidir.")</f>
        <v>Bidir.</v>
      </c>
      <c r="N10" s="55">
        <v>2</v>
      </c>
    </row>
    <row r="11" spans="2:17" x14ac:dyDescent="0.35">
      <c r="B11" s="51" t="s">
        <v>83</v>
      </c>
      <c r="C11" s="52">
        <v>0.14000000000000001</v>
      </c>
      <c r="D11" s="53">
        <v>0.14000000000000001</v>
      </c>
      <c r="E11" s="53">
        <f>2.162-0.14</f>
        <v>2.0219999999999998</v>
      </c>
      <c r="F11" s="47">
        <f t="shared" si="0"/>
        <v>2.1619999999999999</v>
      </c>
      <c r="G11" s="53">
        <v>0.14000000000000001</v>
      </c>
      <c r="H11" s="53">
        <v>0.14000000000000001</v>
      </c>
      <c r="I11" s="53">
        <v>1.62</v>
      </c>
      <c r="J11" s="48">
        <f t="shared" ref="J11:J14" si="2">(G11+H11)/2+I11</f>
        <v>1.7600000000000002</v>
      </c>
      <c r="K11" s="54">
        <v>4.1500000000000004</v>
      </c>
      <c r="L11" s="56">
        <v>1</v>
      </c>
      <c r="M11" s="49" t="str">
        <f t="shared" si="1"/>
        <v>Bidir.</v>
      </c>
      <c r="N11" s="55">
        <v>2</v>
      </c>
    </row>
    <row r="12" spans="2:17" x14ac:dyDescent="0.35">
      <c r="B12" s="51" t="s">
        <v>91</v>
      </c>
      <c r="C12" s="52">
        <v>0.14000000000000001</v>
      </c>
      <c r="D12" s="53">
        <v>0.14000000000000001</v>
      </c>
      <c r="E12" s="53">
        <v>0.36499999999999999</v>
      </c>
      <c r="F12" s="47">
        <f t="shared" si="0"/>
        <v>0.505</v>
      </c>
      <c r="G12" s="53"/>
      <c r="H12" s="53"/>
      <c r="I12" s="53"/>
      <c r="J12" s="48"/>
      <c r="K12" s="54">
        <v>4.1500000000000004</v>
      </c>
      <c r="L12" s="56">
        <v>1.5</v>
      </c>
      <c r="M12" s="49" t="s">
        <v>84</v>
      </c>
      <c r="N12" s="55">
        <v>7</v>
      </c>
    </row>
    <row r="13" spans="2:17" x14ac:dyDescent="0.35">
      <c r="B13" s="51" t="s">
        <v>92</v>
      </c>
      <c r="C13" s="52">
        <v>0.14000000000000001</v>
      </c>
      <c r="D13" s="53">
        <v>0.14000000000000001</v>
      </c>
      <c r="E13" s="53">
        <v>1.405</v>
      </c>
      <c r="F13" s="47">
        <f t="shared" si="0"/>
        <v>1.5449999999999999</v>
      </c>
      <c r="G13" s="53">
        <v>0.14000000000000001</v>
      </c>
      <c r="H13" s="53">
        <v>0.14000000000000001</v>
      </c>
      <c r="I13" s="53">
        <v>2.12</v>
      </c>
      <c r="J13" s="48">
        <f t="shared" si="2"/>
        <v>2.2600000000000002</v>
      </c>
      <c r="K13" s="54">
        <v>4.1500000000000004</v>
      </c>
      <c r="L13" s="56">
        <v>1.5</v>
      </c>
      <c r="M13" s="49" t="str">
        <f t="shared" si="1"/>
        <v>Bidir.</v>
      </c>
      <c r="N13" s="55">
        <v>2</v>
      </c>
    </row>
    <row r="14" spans="2:17" x14ac:dyDescent="0.35">
      <c r="B14" s="51" t="s">
        <v>85</v>
      </c>
      <c r="C14" s="52">
        <v>0.14000000000000001</v>
      </c>
      <c r="D14" s="53">
        <v>0.14000000000000001</v>
      </c>
      <c r="E14" s="53">
        <f>1.96-0.14</f>
        <v>1.8199999999999998</v>
      </c>
      <c r="F14" s="47">
        <f t="shared" si="0"/>
        <v>1.96</v>
      </c>
      <c r="G14" s="53">
        <v>0.14000000000000001</v>
      </c>
      <c r="H14" s="53">
        <v>0.14000000000000001</v>
      </c>
      <c r="I14" s="53">
        <v>2.12</v>
      </c>
      <c r="J14" s="48">
        <f t="shared" si="2"/>
        <v>2.2600000000000002</v>
      </c>
      <c r="K14" s="54">
        <v>4.1500000000000004</v>
      </c>
      <c r="L14" s="56">
        <v>1.5</v>
      </c>
      <c r="M14" s="49" t="str">
        <f t="shared" si="1"/>
        <v>Bidir.</v>
      </c>
      <c r="N14" s="55">
        <v>2</v>
      </c>
    </row>
    <row r="15" spans="2:17" x14ac:dyDescent="0.35">
      <c r="B15" s="51" t="s">
        <v>86</v>
      </c>
      <c r="C15" s="52">
        <v>0.2</v>
      </c>
      <c r="D15" s="53">
        <v>0.14000000000000001</v>
      </c>
      <c r="E15" s="53">
        <v>3.05</v>
      </c>
      <c r="F15" s="47">
        <f t="shared" si="0"/>
        <v>3.2199999999999998</v>
      </c>
      <c r="G15" s="53"/>
      <c r="H15" s="53"/>
      <c r="I15" s="53"/>
      <c r="J15" s="48"/>
      <c r="K15" s="54">
        <v>4.1500000000000004</v>
      </c>
      <c r="L15" s="56">
        <v>1.5</v>
      </c>
      <c r="M15" s="49" t="s">
        <v>84</v>
      </c>
      <c r="N15" s="55">
        <v>8</v>
      </c>
    </row>
    <row r="16" spans="2:17" x14ac:dyDescent="0.35">
      <c r="B16" s="51" t="s">
        <v>87</v>
      </c>
      <c r="C16" s="52">
        <v>0.14000000000000001</v>
      </c>
      <c r="D16" s="53">
        <v>0.2</v>
      </c>
      <c r="E16" s="53">
        <v>2.58</v>
      </c>
      <c r="F16" s="47">
        <f t="shared" si="0"/>
        <v>2.75</v>
      </c>
      <c r="G16" s="53"/>
      <c r="H16" s="53"/>
      <c r="I16" s="53"/>
      <c r="J16" s="48"/>
      <c r="K16" s="54">
        <v>4.1500000000000004</v>
      </c>
      <c r="L16" s="56">
        <v>1.5</v>
      </c>
      <c r="M16" s="49" t="s">
        <v>84</v>
      </c>
      <c r="N16" s="55">
        <v>8</v>
      </c>
    </row>
    <row r="17" spans="2:14" x14ac:dyDescent="0.35">
      <c r="B17" s="51" t="s">
        <v>88</v>
      </c>
      <c r="C17" s="52">
        <v>0.14000000000000001</v>
      </c>
      <c r="D17" s="53">
        <v>0.14000000000000001</v>
      </c>
      <c r="E17" s="53">
        <v>3.1150000000000002</v>
      </c>
      <c r="F17" s="47">
        <f t="shared" ref="F17:F28" si="3">(C17+D17)/2+E17</f>
        <v>3.2550000000000003</v>
      </c>
      <c r="G17" s="53">
        <v>0.14000000000000001</v>
      </c>
      <c r="H17" s="53">
        <v>0.14000000000000001</v>
      </c>
      <c r="I17" s="53">
        <f>3.61</f>
        <v>3.61</v>
      </c>
      <c r="J17" s="48">
        <f t="shared" ref="J17:J28" si="4">(G17+H17)/2+I17</f>
        <v>3.75</v>
      </c>
      <c r="K17" s="54">
        <v>4.1500000000000004</v>
      </c>
      <c r="L17" s="56">
        <v>1.5</v>
      </c>
      <c r="M17" s="49" t="str">
        <f t="shared" si="1"/>
        <v>Bidir.</v>
      </c>
      <c r="N17" s="55">
        <v>4</v>
      </c>
    </row>
    <row r="18" spans="2:14" x14ac:dyDescent="0.35">
      <c r="B18" s="51" t="s">
        <v>93</v>
      </c>
      <c r="C18" s="52">
        <v>0.14000000000000001</v>
      </c>
      <c r="D18" s="53">
        <v>0.14000000000000001</v>
      </c>
      <c r="E18" s="53">
        <f>2.16</f>
        <v>2.16</v>
      </c>
      <c r="F18" s="47">
        <f t="shared" si="3"/>
        <v>2.3000000000000003</v>
      </c>
      <c r="G18" s="53">
        <v>0.14000000000000001</v>
      </c>
      <c r="H18" s="53">
        <v>0.14000000000000001</v>
      </c>
      <c r="I18" s="53">
        <v>2.605</v>
      </c>
      <c r="J18" s="48">
        <f t="shared" si="4"/>
        <v>2.7450000000000001</v>
      </c>
      <c r="K18" s="54">
        <v>4.1500000000000004</v>
      </c>
      <c r="L18" s="56">
        <v>1.5</v>
      </c>
      <c r="M18" s="49" t="str">
        <f t="shared" si="1"/>
        <v>Bidir.</v>
      </c>
      <c r="N18" s="55">
        <v>2</v>
      </c>
    </row>
    <row r="19" spans="2:14" x14ac:dyDescent="0.35">
      <c r="B19" s="51" t="s">
        <v>94</v>
      </c>
      <c r="C19" s="52">
        <v>0.14000000000000001</v>
      </c>
      <c r="D19" s="53">
        <v>0.14000000000000001</v>
      </c>
      <c r="E19" s="53">
        <f>1.065</f>
        <v>1.0649999999999999</v>
      </c>
      <c r="F19" s="47">
        <f t="shared" si="3"/>
        <v>1.2050000000000001</v>
      </c>
      <c r="G19" s="53"/>
      <c r="H19" s="53"/>
      <c r="I19" s="53"/>
      <c r="J19" s="48"/>
      <c r="K19" s="54">
        <v>4.1500000000000004</v>
      </c>
      <c r="L19" s="56">
        <v>1.5</v>
      </c>
      <c r="M19" s="49" t="s">
        <v>84</v>
      </c>
      <c r="N19" s="55">
        <v>8</v>
      </c>
    </row>
    <row r="20" spans="2:14" x14ac:dyDescent="0.35">
      <c r="B20" s="51" t="s">
        <v>95</v>
      </c>
      <c r="C20" s="52">
        <v>0.14000000000000001</v>
      </c>
      <c r="D20" s="53">
        <v>0.14000000000000001</v>
      </c>
      <c r="E20" s="53">
        <f>5.36</f>
        <v>5.36</v>
      </c>
      <c r="F20" s="47">
        <f t="shared" si="3"/>
        <v>5.5</v>
      </c>
      <c r="G20" s="53">
        <v>0.14000000000000001</v>
      </c>
      <c r="H20" s="53">
        <v>0.14000000000000001</v>
      </c>
      <c r="I20" s="53">
        <f>3.36+0.3-0.14</f>
        <v>3.5199999999999996</v>
      </c>
      <c r="J20" s="48">
        <f t="shared" si="4"/>
        <v>3.6599999999999997</v>
      </c>
      <c r="K20" s="54">
        <f>3+0.15+0.4</f>
        <v>3.55</v>
      </c>
      <c r="L20" s="56">
        <v>1</v>
      </c>
      <c r="M20" s="49" t="str">
        <f t="shared" si="1"/>
        <v>Bidir.</v>
      </c>
      <c r="N20" s="55">
        <v>4</v>
      </c>
    </row>
    <row r="21" spans="2:14" x14ac:dyDescent="0.35">
      <c r="B21" s="51" t="s">
        <v>89</v>
      </c>
      <c r="C21" s="52">
        <v>0.14000000000000001</v>
      </c>
      <c r="D21" s="53">
        <v>0.14000000000000001</v>
      </c>
      <c r="E21" s="53">
        <v>0.85</v>
      </c>
      <c r="F21" s="47">
        <f t="shared" si="3"/>
        <v>0.99</v>
      </c>
      <c r="G21" s="53"/>
      <c r="H21" s="53"/>
      <c r="I21" s="53"/>
      <c r="J21" s="48"/>
      <c r="K21" s="54">
        <v>4.1500000000000004</v>
      </c>
      <c r="L21" s="56">
        <v>1.5</v>
      </c>
      <c r="M21" s="49" t="s">
        <v>84</v>
      </c>
      <c r="N21" s="55">
        <v>8</v>
      </c>
    </row>
    <row r="22" spans="2:14" x14ac:dyDescent="0.35">
      <c r="B22" s="51" t="s">
        <v>96</v>
      </c>
      <c r="C22" s="52">
        <v>0.14000000000000001</v>
      </c>
      <c r="D22" s="53">
        <v>0.14000000000000001</v>
      </c>
      <c r="E22" s="53">
        <v>0.85</v>
      </c>
      <c r="F22" s="47">
        <f t="shared" si="3"/>
        <v>0.99</v>
      </c>
      <c r="G22" s="53"/>
      <c r="H22" s="53"/>
      <c r="I22" s="53"/>
      <c r="J22" s="48"/>
      <c r="K22" s="54">
        <v>4.1500000000000004</v>
      </c>
      <c r="L22" s="56">
        <v>1.5</v>
      </c>
      <c r="M22" s="49" t="s">
        <v>84</v>
      </c>
      <c r="N22" s="55">
        <v>7</v>
      </c>
    </row>
    <row r="23" spans="2:14" x14ac:dyDescent="0.35">
      <c r="B23" s="51" t="s">
        <v>90</v>
      </c>
      <c r="C23" s="52">
        <v>0.14000000000000001</v>
      </c>
      <c r="D23" s="53">
        <v>0.14000000000000001</v>
      </c>
      <c r="E23" s="53">
        <f>0.4</f>
        <v>0.4</v>
      </c>
      <c r="F23" s="47">
        <f t="shared" si="3"/>
        <v>0.54</v>
      </c>
      <c r="G23" s="53"/>
      <c r="H23" s="53"/>
      <c r="I23" s="53"/>
      <c r="J23" s="48"/>
      <c r="K23" s="54">
        <v>4.1500000000000004</v>
      </c>
      <c r="L23" s="56">
        <v>1</v>
      </c>
      <c r="M23" s="49" t="s">
        <v>84</v>
      </c>
      <c r="N23" s="55">
        <v>7</v>
      </c>
    </row>
    <row r="24" spans="2:14" x14ac:dyDescent="0.35">
      <c r="B24" s="51" t="s">
        <v>97</v>
      </c>
      <c r="C24" s="52">
        <v>0.14000000000000001</v>
      </c>
      <c r="D24" s="53">
        <v>0.14000000000000001</v>
      </c>
      <c r="E24" s="53">
        <f>3.515</f>
        <v>3.5150000000000001</v>
      </c>
      <c r="F24" s="47">
        <f t="shared" si="3"/>
        <v>3.6550000000000002</v>
      </c>
      <c r="G24" s="53">
        <v>0.14000000000000001</v>
      </c>
      <c r="H24" s="53">
        <v>0.14000000000000001</v>
      </c>
      <c r="I24" s="53">
        <v>3.52</v>
      </c>
      <c r="J24" s="48">
        <f t="shared" si="4"/>
        <v>3.66</v>
      </c>
      <c r="K24" s="54">
        <v>4.1500000000000004</v>
      </c>
      <c r="L24" s="56">
        <v>1.5</v>
      </c>
      <c r="M24" s="49" t="str">
        <f t="shared" si="1"/>
        <v>Bidir.</v>
      </c>
      <c r="N24" s="55">
        <v>5</v>
      </c>
    </row>
    <row r="25" spans="2:14" x14ac:dyDescent="0.35">
      <c r="B25" s="51" t="s">
        <v>98</v>
      </c>
      <c r="C25" s="52">
        <v>0.14000000000000001</v>
      </c>
      <c r="D25" s="53">
        <v>0.14000000000000001</v>
      </c>
      <c r="E25" s="53">
        <f>1.315</f>
        <v>1.3149999999999999</v>
      </c>
      <c r="F25" s="47">
        <f t="shared" si="3"/>
        <v>1.4550000000000001</v>
      </c>
      <c r="G25" s="53"/>
      <c r="H25" s="53"/>
      <c r="I25" s="53"/>
      <c r="J25" s="48"/>
      <c r="K25" s="54">
        <v>4.1500000000000004</v>
      </c>
      <c r="L25" s="56">
        <v>1.5</v>
      </c>
      <c r="M25" s="49" t="s">
        <v>84</v>
      </c>
      <c r="N25" s="55">
        <v>8</v>
      </c>
    </row>
    <row r="26" spans="2:14" x14ac:dyDescent="0.35">
      <c r="B26" s="51" t="s">
        <v>99</v>
      </c>
      <c r="C26" s="52">
        <v>0.14000000000000001</v>
      </c>
      <c r="D26" s="53">
        <v>0.14000000000000001</v>
      </c>
      <c r="E26" s="53">
        <v>0.67500000000000004</v>
      </c>
      <c r="F26" s="47">
        <f t="shared" si="3"/>
        <v>0.81500000000000006</v>
      </c>
      <c r="G26" s="53"/>
      <c r="H26" s="53"/>
      <c r="I26" s="53"/>
      <c r="J26" s="48"/>
      <c r="K26" s="54">
        <v>4.1500000000000004</v>
      </c>
      <c r="L26" s="56">
        <v>1.5</v>
      </c>
      <c r="M26" s="49" t="s">
        <v>84</v>
      </c>
      <c r="N26" s="55">
        <v>7</v>
      </c>
    </row>
    <row r="27" spans="2:14" x14ac:dyDescent="0.35">
      <c r="B27" s="51" t="s">
        <v>100</v>
      </c>
      <c r="C27" s="52">
        <v>0.14000000000000001</v>
      </c>
      <c r="D27" s="53">
        <v>0.14000000000000001</v>
      </c>
      <c r="E27" s="53">
        <v>2.5099999999999998</v>
      </c>
      <c r="F27" s="47">
        <f t="shared" si="3"/>
        <v>2.65</v>
      </c>
      <c r="G27" s="53">
        <v>0.14000000000000001</v>
      </c>
      <c r="H27" s="53">
        <v>0.14000000000000001</v>
      </c>
      <c r="I27" s="53">
        <f>1.85+0.3-0.14</f>
        <v>2.0099999999999998</v>
      </c>
      <c r="J27" s="48">
        <f t="shared" si="4"/>
        <v>2.15</v>
      </c>
      <c r="K27" s="54">
        <v>3.55</v>
      </c>
      <c r="L27" s="56">
        <v>1</v>
      </c>
      <c r="M27" s="49" t="str">
        <f t="shared" si="1"/>
        <v>Bidir.</v>
      </c>
      <c r="N27" s="55" t="s">
        <v>61</v>
      </c>
    </row>
    <row r="28" spans="2:14" x14ac:dyDescent="0.35">
      <c r="B28" s="51" t="s">
        <v>101</v>
      </c>
      <c r="C28" s="52">
        <v>0.14000000000000001</v>
      </c>
      <c r="D28" s="53">
        <v>0.14000000000000001</v>
      </c>
      <c r="E28" s="53">
        <v>3.5670000000000002</v>
      </c>
      <c r="F28" s="47">
        <f t="shared" si="3"/>
        <v>3.7070000000000003</v>
      </c>
      <c r="G28" s="53">
        <v>0.14000000000000001</v>
      </c>
      <c r="H28" s="53">
        <v>0.14000000000000001</v>
      </c>
      <c r="I28" s="53">
        <v>2.21</v>
      </c>
      <c r="J28" s="48">
        <f t="shared" si="4"/>
        <v>2.35</v>
      </c>
      <c r="K28" s="52">
        <f>4.15+(3.15-0.12)*1.9*2.21/(F28*J28)</f>
        <v>5.6104882080480287</v>
      </c>
      <c r="L28" s="56">
        <v>1.5</v>
      </c>
      <c r="M28" s="49" t="str">
        <f t="shared" si="1"/>
        <v>Bidir.</v>
      </c>
      <c r="N28" s="55">
        <v>4</v>
      </c>
    </row>
  </sheetData>
  <mergeCells count="8">
    <mergeCell ref="B2:N4"/>
    <mergeCell ref="B6:B8"/>
    <mergeCell ref="C6:J6"/>
    <mergeCell ref="K6:L7"/>
    <mergeCell ref="M6:M8"/>
    <mergeCell ref="N6:N8"/>
    <mergeCell ref="C7:F7"/>
    <mergeCell ref="G7:J7"/>
  </mergeCells>
  <phoneticPr fontId="11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L1</vt:lpstr>
      <vt:lpstr>L2</vt:lpstr>
      <vt:lpstr>L3</vt:lpstr>
      <vt:lpstr>L4</vt:lpstr>
      <vt:lpstr>L5</vt:lpstr>
      <vt:lpstr>L6</vt:lpstr>
      <vt:lpstr>L7</vt:lpstr>
      <vt:lpstr>L8</vt:lpstr>
      <vt:lpstr>L9</vt:lpstr>
      <vt:lpstr>L10</vt:lpstr>
      <vt:lpstr>L11</vt:lpstr>
      <vt:lpstr>L12</vt:lpstr>
      <vt:lpstr>L13</vt:lpstr>
      <vt:lpstr>L14</vt:lpstr>
      <vt:lpstr>L15</vt:lpstr>
      <vt:lpstr>L16</vt:lpstr>
      <vt:lpstr>L17</vt:lpstr>
      <vt:lpstr>L18</vt:lpstr>
      <vt:lpstr>L19</vt:lpstr>
      <vt:lpstr>L20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Carini</dc:creator>
  <cp:lastModifiedBy>Matheus Carini</cp:lastModifiedBy>
  <dcterms:created xsi:type="dcterms:W3CDTF">2017-09-04T00:02:23Z</dcterms:created>
  <dcterms:modified xsi:type="dcterms:W3CDTF">2024-08-23T21:30:01Z</dcterms:modified>
</cp:coreProperties>
</file>