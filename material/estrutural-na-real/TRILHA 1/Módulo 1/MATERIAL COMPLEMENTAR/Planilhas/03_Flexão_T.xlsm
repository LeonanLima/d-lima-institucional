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EstaPastaDeTrabalho"/>
  <sheets>
    <sheet state="visible" name="Planilha1" sheetId="1" r:id="rId5"/>
  </sheets>
  <definedNames>
    <definedName name="Duas">Planilha1!$AH$4:$AH$5</definedName>
    <definedName name="Uma">Planilha1!$AG$4:$AG$6</definedName>
    <definedName name="Armação">Planilha1!$AG$3:$AH$3</definedName>
  </definedNames>
  <calcPr/>
  <extLst>
    <ext uri="GoogleSheetsCustomDataVersion2">
      <go:sheetsCustomData xmlns:go="http://customooxmlschemas.google.com/" r:id="rId6" roundtripDataChecksum="vvd0HpFX/4dqBnrezgSfDwInF/MFQ7flnerp5ew0QjI="/>
    </ext>
  </extLst>
</workbook>
</file>

<file path=xl/sharedStrings.xml><?xml version="1.0" encoding="utf-8"?>
<sst xmlns="http://schemas.openxmlformats.org/spreadsheetml/2006/main" count="55" uniqueCount="50">
  <si>
    <t>Parâmetros</t>
  </si>
  <si>
    <t>Deformações</t>
  </si>
  <si>
    <t>Armadura Tracionada (cm²)</t>
  </si>
  <si>
    <t>Armadura Comprimida (cm²)</t>
  </si>
  <si>
    <t>Dados</t>
  </si>
  <si>
    <t>λ</t>
  </si>
  <si>
    <t>ε1</t>
  </si>
  <si>
    <t>Bitola (mm)</t>
  </si>
  <si>
    <t>Número de Barras</t>
  </si>
  <si>
    <r>
      <rPr>
        <rFont val="Calibri"/>
        <color theme="1"/>
        <sz val="11.0"/>
      </rPr>
      <t>αc</t>
    </r>
  </si>
  <si>
    <t>ε2</t>
  </si>
  <si>
    <r>
      <rPr>
        <rFont val="Calibri"/>
        <color theme="1"/>
        <sz val="11.0"/>
      </rPr>
      <t>η</t>
    </r>
    <r>
      <rPr>
        <rFont val="Calibri"/>
        <color theme="1"/>
        <sz val="11.0"/>
      </rPr>
      <t>c</t>
    </r>
  </si>
  <si>
    <t>εc</t>
  </si>
  <si>
    <t>Geometria</t>
  </si>
  <si>
    <t>bf</t>
  </si>
  <si>
    <t>Resist. de Projeto</t>
  </si>
  <si>
    <t>Tensões</t>
  </si>
  <si>
    <t>bw</t>
  </si>
  <si>
    <t>fcd</t>
  </si>
  <si>
    <r>
      <rPr>
        <rFont val="Calibri"/>
        <color theme="1"/>
        <sz val="11.0"/>
      </rPr>
      <t>σ</t>
    </r>
    <r>
      <rPr>
        <rFont val="Calibri"/>
        <color theme="1"/>
        <sz val="11.0"/>
      </rPr>
      <t>1</t>
    </r>
  </si>
  <si>
    <t>hf</t>
  </si>
  <si>
    <t>fyd</t>
  </si>
  <si>
    <t>σ2</t>
  </si>
  <si>
    <t>h</t>
  </si>
  <si>
    <t>d</t>
  </si>
  <si>
    <t>Equilíbrio</t>
  </si>
  <si>
    <t>Armaduras</t>
  </si>
  <si>
    <t>d'</t>
  </si>
  <si>
    <r>
      <rPr>
        <rFont val="Calibri"/>
        <color theme="1"/>
        <sz val="11.0"/>
      </rPr>
      <t>ΣFx</t>
    </r>
  </si>
  <si>
    <t>As1</t>
  </si>
  <si>
    <t>ΣM-Md</t>
  </si>
  <si>
    <t>As2</t>
  </si>
  <si>
    <t>Solicitação</t>
  </si>
  <si>
    <t>Md</t>
  </si>
  <si>
    <t>Linha Neutra</t>
  </si>
  <si>
    <t>Armadura Mínima</t>
  </si>
  <si>
    <t>x</t>
  </si>
  <si>
    <t>W0</t>
  </si>
  <si>
    <t>Materiais</t>
  </si>
  <si>
    <t>x23</t>
  </si>
  <si>
    <t>Força Cortante</t>
  </si>
  <si>
    <t>fck</t>
  </si>
  <si>
    <t>xduc</t>
  </si>
  <si>
    <t>Vrd1</t>
  </si>
  <si>
    <t>fyk</t>
  </si>
  <si>
    <t>Redistribuição</t>
  </si>
  <si>
    <t>Momentos Fletores</t>
  </si>
  <si>
    <t>δ</t>
  </si>
  <si>
    <t>Md,min</t>
  </si>
  <si>
    <t>Md,duc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</si>
</sst>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8">
    <numFmt numFmtId="164" formatCode="_-&quot;R$&quot;\ * #,##0.00_-;\-&quot;R$&quot;\ * #,##0.00_-;_-&quot;R$&quot;\ * &quot;-&quot;??_-;_-@"/>
    <numFmt numFmtId="165" formatCode="0.00&quot; ‰&quot;"/>
    <numFmt numFmtId="166" formatCode="0&quot; cm&quot;"/>
    <numFmt numFmtId="167" formatCode="0.0"/>
    <numFmt numFmtId="168" formatCode="0.000%"/>
    <numFmt numFmtId="169" formatCode="\Ø0.0"/>
    <numFmt numFmtId="170" formatCode="0.0&quot; cm&quot;"/>
    <numFmt numFmtId="171" formatCode="0.00&quot; kN/cm²&quot;"/>
    <numFmt numFmtId="172" formatCode="0.00&quot; cm²&quot;"/>
    <numFmt numFmtId="173" formatCode="0&quot; kNcm&quot;"/>
    <numFmt numFmtId="174" formatCode="&quot;+ &quot;0"/>
    <numFmt numFmtId="175" formatCode="0.00&quot; cm&quot;"/>
    <numFmt numFmtId="176" formatCode="0&quot; cm³&quot;"/>
    <numFmt numFmtId="177" formatCode="0.0&quot; cm³&quot;"/>
    <numFmt numFmtId="178" formatCode="0&quot; kNcm/m&quot;"/>
    <numFmt numFmtId="179" formatCode="0.0&quot; kN/cm²&quot;"/>
    <numFmt numFmtId="180" formatCode="0.00&quot; kN/nerv&quot;"/>
    <numFmt numFmtId="181" formatCode="0.00&quot; cm²/m&quot;"/>
  </numFmts>
  <fonts count="5">
    <font>
      <sz val="11.0"/>
      <color theme="1"/>
      <name val="Calibri"/>
      <scheme val="minor"/>
    </font>
    <font>
      <sz val="11.0"/>
      <color theme="1"/>
      <name val="Calibri"/>
    </font>
    <font>
      <b/>
      <sz val="11.0"/>
      <color theme="1"/>
      <name val="Calibri"/>
    </font>
    <font/>
    <font>
      <b/>
      <sz val="20.0"/>
      <color theme="1"/>
      <name val="Calibri"/>
    </font>
  </fonts>
  <fills count="4">
    <fill>
      <patternFill patternType="none"/>
    </fill>
    <fill>
      <patternFill patternType="lightGray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</fills>
  <borders count="41">
    <border/>
    <border>
      <left/>
      <right/>
      <top/>
      <bottom/>
    </border>
    <border>
      <left style="medium">
        <color rgb="FF000000"/>
      </left>
      <right/>
      <top style="medium">
        <color rgb="FF000000"/>
      </top>
      <bottom/>
    </border>
    <border>
      <left/>
      <right/>
      <top style="medium">
        <color rgb="FF000000"/>
      </top>
      <bottom/>
    </border>
    <border>
      <left/>
      <right style="medium">
        <color rgb="FF000000"/>
      </right>
      <top style="medium">
        <color rgb="FF000000"/>
      </top>
      <bottom/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/>
    </border>
    <border>
      <right style="thin">
        <color rgb="FF000000"/>
      </right>
      <top style="thin">
        <color rgb="FF000000"/>
      </top>
      <bottom/>
    </border>
    <border>
      <top style="thin">
        <color rgb="FF000000"/>
      </top>
      <bottom style="thin">
        <color rgb="FF000000"/>
      </bottom>
    </border>
    <border>
      <left style="medium">
        <color rgb="FF000000"/>
      </left>
      <right/>
      <top/>
      <bottom/>
    </border>
    <border>
      <left style="medium">
        <color rgb="FF000000"/>
      </left>
      <top style="medium">
        <color rgb="FF000000"/>
      </top>
    </border>
    <border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/>
      <right style="medium">
        <color rgb="FF000000"/>
      </right>
      <top/>
      <bottom/>
    </border>
    <border>
      <left style="thin">
        <color rgb="FF000000"/>
      </left>
      <right/>
      <top style="thin">
        <color rgb="FF000000"/>
      </top>
      <bottom/>
    </border>
    <border>
      <left/>
      <right style="thin">
        <color rgb="FF000000"/>
      </right>
      <top style="thin">
        <color rgb="FF000000"/>
      </top>
      <bottom/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medium">
        <color rgb="FF000000"/>
      </left>
      <bottom style="medium">
        <color rgb="FF000000"/>
      </bottom>
    </border>
    <border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thin">
        <color rgb="FF000000"/>
      </left>
      <right/>
      <top/>
      <bottom/>
    </border>
    <border>
      <left/>
      <right style="thin">
        <color rgb="FF000000"/>
      </right>
      <top/>
      <bottom/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/>
      <bottom style="thin">
        <color rgb="FF000000"/>
      </bottom>
    </border>
    <border>
      <left/>
      <right style="thin">
        <color rgb="FF000000"/>
      </right>
      <top/>
      <bottom style="thin">
        <color rgb="FF000000"/>
      </bottom>
    </border>
    <border>
      <top style="thin">
        <color rgb="FF000000"/>
      </top>
      <bottom/>
    </border>
    <border>
      <left/>
      <right/>
      <top style="thin">
        <color rgb="FF000000"/>
      </top>
      <bottom style="thin">
        <color rgb="FF000000"/>
      </bottom>
    </border>
    <border>
      <left/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</border>
    <border>
      <right style="thin">
        <color rgb="FF000000"/>
      </right>
    </border>
    <border>
      <left style="medium">
        <color rgb="FF000000"/>
      </left>
      <right/>
      <top/>
      <bottom style="medium">
        <color rgb="FF000000"/>
      </bottom>
    </border>
    <border>
      <left/>
      <right/>
      <top/>
      <bottom style="medium">
        <color rgb="FF000000"/>
      </bottom>
    </border>
    <border>
      <left/>
      <right style="medium">
        <color rgb="FF000000"/>
      </right>
      <top/>
      <bottom style="medium">
        <color rgb="FF000000"/>
      </bottom>
    </border>
    <border>
      <left style="thin">
        <color rgb="FF000000"/>
      </left>
      <bottom style="thin">
        <color rgb="FF000000"/>
      </bottom>
    </border>
    <border>
      <right style="thin">
        <color rgb="FF000000"/>
      </right>
      <bottom style="thin">
        <color rgb="FF000000"/>
      </bottom>
    </border>
  </borders>
  <cellStyleXfs count="1">
    <xf borderId="0" fillId="0" fontId="0" numFmtId="0" applyAlignment="1" applyFont="1"/>
  </cellStyleXfs>
  <cellXfs count="83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 vertical="center"/>
    </xf>
    <xf borderId="2" fillId="3" fontId="1" numFmtId="0" xfId="0" applyAlignment="1" applyBorder="1" applyFill="1" applyFont="1">
      <alignment horizontal="center" vertical="center"/>
    </xf>
    <xf borderId="3" fillId="3" fontId="1" numFmtId="0" xfId="0" applyAlignment="1" applyBorder="1" applyFont="1">
      <alignment horizontal="center" vertical="center"/>
    </xf>
    <xf borderId="4" fillId="3" fontId="1" numFmtId="0" xfId="0" applyAlignment="1" applyBorder="1" applyFont="1">
      <alignment horizontal="center" vertical="center"/>
    </xf>
    <xf borderId="5" fillId="2" fontId="2" numFmtId="0" xfId="0" applyAlignment="1" applyBorder="1" applyFont="1">
      <alignment horizontal="center" vertical="center"/>
    </xf>
    <xf borderId="6" fillId="0" fontId="3" numFmtId="0" xfId="0" applyBorder="1" applyFont="1"/>
    <xf borderId="7" fillId="2" fontId="2" numFmtId="164" xfId="0" applyAlignment="1" applyBorder="1" applyFont="1" applyNumberFormat="1">
      <alignment horizontal="center" vertical="center"/>
    </xf>
    <xf borderId="8" fillId="0" fontId="3" numFmtId="0" xfId="0" applyBorder="1" applyFont="1"/>
    <xf borderId="9" fillId="0" fontId="3" numFmtId="0" xfId="0" applyBorder="1" applyFont="1"/>
    <xf borderId="1" fillId="2" fontId="2" numFmtId="0" xfId="0" applyAlignment="1" applyBorder="1" applyFont="1">
      <alignment vertical="center"/>
    </xf>
    <xf borderId="1" fillId="2" fontId="1" numFmtId="0" xfId="0" applyAlignment="1" applyBorder="1" applyFont="1">
      <alignment vertical="center"/>
    </xf>
    <xf borderId="10" fillId="3" fontId="1" numFmtId="0" xfId="0" applyAlignment="1" applyBorder="1" applyFont="1">
      <alignment horizontal="center" vertical="center"/>
    </xf>
    <xf borderId="11" fillId="2" fontId="4" numFmtId="0" xfId="0" applyAlignment="1" applyBorder="1" applyFont="1">
      <alignment horizontal="center" vertical="center"/>
    </xf>
    <xf borderId="12" fillId="0" fontId="3" numFmtId="0" xfId="0" applyBorder="1" applyFont="1"/>
    <xf borderId="13" fillId="0" fontId="3" numFmtId="0" xfId="0" applyBorder="1" applyFont="1"/>
    <xf borderId="14" fillId="3" fontId="1" numFmtId="0" xfId="0" applyAlignment="1" applyBorder="1" applyFont="1">
      <alignment horizontal="center" vertical="center"/>
    </xf>
    <xf borderId="15" fillId="2" fontId="1" numFmtId="0" xfId="0" applyAlignment="1" applyBorder="1" applyFont="1">
      <alignment horizontal="center" vertical="center"/>
    </xf>
    <xf borderId="16" fillId="2" fontId="1" numFmtId="2" xfId="0" applyAlignment="1" applyBorder="1" applyFont="1" applyNumberFormat="1">
      <alignment horizontal="center" vertical="center"/>
    </xf>
    <xf borderId="17" fillId="2" fontId="1" numFmtId="0" xfId="0" applyAlignment="1" applyBorder="1" applyFont="1">
      <alignment horizontal="center"/>
    </xf>
    <xf borderId="18" fillId="2" fontId="1" numFmtId="165" xfId="0" applyAlignment="1" applyBorder="1" applyFont="1" applyNumberFormat="1">
      <alignment horizontal="right" vertical="center"/>
    </xf>
    <xf borderId="19" fillId="2" fontId="2" numFmtId="166" xfId="0" applyAlignment="1" applyBorder="1" applyFont="1" applyNumberFormat="1">
      <alignment horizontal="center" shrinkToFit="0" vertical="center" wrapText="1"/>
    </xf>
    <xf borderId="5" fillId="2" fontId="2" numFmtId="166" xfId="0" applyAlignment="1" applyBorder="1" applyFont="1" applyNumberFormat="1">
      <alignment horizontal="center" vertical="center"/>
    </xf>
    <xf borderId="1" fillId="2" fontId="2" numFmtId="166" xfId="0" applyAlignment="1" applyBorder="1" applyFont="1" applyNumberFormat="1">
      <alignment horizontal="center" vertical="center"/>
    </xf>
    <xf borderId="1" fillId="2" fontId="2" numFmtId="0" xfId="0" applyAlignment="1" applyBorder="1" applyFont="1">
      <alignment horizontal="center" vertical="center"/>
    </xf>
    <xf borderId="20" fillId="0" fontId="3" numFmtId="0" xfId="0" applyBorder="1" applyFont="1"/>
    <xf borderId="21" fillId="0" fontId="3" numFmtId="0" xfId="0" applyBorder="1" applyFont="1"/>
    <xf borderId="22" fillId="0" fontId="3" numFmtId="0" xfId="0" applyBorder="1" applyFont="1"/>
    <xf borderId="17" fillId="2" fontId="1" numFmtId="0" xfId="0" applyAlignment="1" applyBorder="1" applyFont="1">
      <alignment horizontal="center" vertical="center"/>
    </xf>
    <xf borderId="18" fillId="2" fontId="1" numFmtId="2" xfId="0" applyAlignment="1" applyBorder="1" applyFont="1" applyNumberFormat="1">
      <alignment horizontal="center" vertical="center"/>
    </xf>
    <xf borderId="23" fillId="2" fontId="1" numFmtId="0" xfId="0" applyAlignment="1" applyBorder="1" applyFont="1">
      <alignment horizontal="center"/>
    </xf>
    <xf borderId="24" fillId="2" fontId="1" numFmtId="165" xfId="0" applyAlignment="1" applyBorder="1" applyFont="1" applyNumberFormat="1">
      <alignment horizontal="right" vertical="center"/>
    </xf>
    <xf borderId="25" fillId="0" fontId="3" numFmtId="0" xfId="0" applyBorder="1" applyFont="1"/>
    <xf borderId="26" fillId="2" fontId="2" numFmtId="1" xfId="0" applyAlignment="1" applyBorder="1" applyFont="1" applyNumberFormat="1">
      <alignment horizontal="center" vertical="center"/>
    </xf>
    <xf borderId="1" fillId="2" fontId="1" numFmtId="2" xfId="0" applyAlignment="1" applyBorder="1" applyFont="1" applyNumberFormat="1">
      <alignment horizontal="center" vertical="center"/>
    </xf>
    <xf borderId="1" fillId="2" fontId="1" numFmtId="167" xfId="0" applyAlignment="1" applyBorder="1" applyFont="1" applyNumberFormat="1">
      <alignment horizontal="center" vertical="center"/>
    </xf>
    <xf borderId="1" fillId="2" fontId="1" numFmtId="168" xfId="0" applyAlignment="1" applyBorder="1" applyFont="1" applyNumberFormat="1">
      <alignment horizontal="center" vertical="center"/>
    </xf>
    <xf borderId="1" fillId="3" fontId="1" numFmtId="0" xfId="0" applyAlignment="1" applyBorder="1" applyFont="1">
      <alignment horizontal="center" vertical="center"/>
    </xf>
    <xf borderId="26" fillId="2" fontId="2" numFmtId="169" xfId="0" applyAlignment="1" applyBorder="1" applyFont="1" applyNumberFormat="1">
      <alignment horizontal="center" vertical="center"/>
    </xf>
    <xf borderId="26" fillId="2" fontId="1" numFmtId="2" xfId="0" applyAlignment="1" applyBorder="1" applyFont="1" applyNumberFormat="1">
      <alignment horizontal="center" vertical="center"/>
    </xf>
    <xf borderId="7" fillId="2" fontId="2" numFmtId="0" xfId="0" applyAlignment="1" applyBorder="1" applyFont="1">
      <alignment horizontal="center" vertical="center"/>
    </xf>
    <xf borderId="18" fillId="2" fontId="1" numFmtId="170" xfId="0" applyAlignment="1" applyBorder="1" applyFont="1" applyNumberFormat="1">
      <alignment horizontal="right" readingOrder="0" vertical="center"/>
    </xf>
    <xf borderId="18" fillId="2" fontId="1" numFmtId="171" xfId="0" applyAlignment="1" applyBorder="1" applyFont="1" applyNumberFormat="1">
      <alignment horizontal="right" vertical="center"/>
    </xf>
    <xf borderId="27" fillId="2" fontId="1" numFmtId="0" xfId="0" applyAlignment="1" applyBorder="1" applyFont="1">
      <alignment horizontal="center" vertical="center"/>
    </xf>
    <xf borderId="28" fillId="2" fontId="1" numFmtId="170" xfId="0" applyAlignment="1" applyBorder="1" applyFont="1" applyNumberFormat="1">
      <alignment horizontal="right" readingOrder="0" vertical="center"/>
    </xf>
    <xf borderId="18" fillId="2" fontId="1" numFmtId="172" xfId="0" applyAlignment="1" applyBorder="1" applyFont="1" applyNumberFormat="1">
      <alignment horizontal="right" vertical="center"/>
    </xf>
    <xf borderId="17" fillId="2" fontId="1" numFmtId="169" xfId="0" applyAlignment="1" applyBorder="1" applyFont="1" applyNumberFormat="1">
      <alignment horizontal="center" vertical="center"/>
    </xf>
    <xf borderId="29" fillId="0" fontId="3" numFmtId="0" xfId="0" applyBorder="1" applyFont="1"/>
    <xf borderId="18" fillId="2" fontId="1" numFmtId="173" xfId="0" applyAlignment="1" applyBorder="1" applyFont="1" applyNumberFormat="1">
      <alignment horizontal="right" readingOrder="0" vertical="center"/>
    </xf>
    <xf borderId="1" fillId="2" fontId="1" numFmtId="171" xfId="0" applyAlignment="1" applyBorder="1" applyFont="1" applyNumberFormat="1">
      <alignment vertical="center"/>
    </xf>
    <xf borderId="30" fillId="2" fontId="1" numFmtId="1" xfId="0" applyAlignment="1" applyBorder="1" applyFont="1" applyNumberFormat="1">
      <alignment horizontal="right" vertical="center"/>
    </xf>
    <xf borderId="30" fillId="2" fontId="1" numFmtId="169" xfId="0" applyAlignment="1" applyBorder="1" applyFont="1" applyNumberFormat="1">
      <alignment horizontal="center" vertical="center"/>
    </xf>
    <xf borderId="30" fillId="2" fontId="1" numFmtId="174" xfId="0" applyAlignment="1" applyBorder="1" applyFont="1" applyNumberFormat="1">
      <alignment horizontal="center" vertical="center"/>
    </xf>
    <xf borderId="30" fillId="2" fontId="1" numFmtId="169" xfId="0" applyAlignment="1" applyBorder="1" applyFont="1" applyNumberFormat="1">
      <alignment horizontal="left" vertical="center"/>
    </xf>
    <xf borderId="18" fillId="2" fontId="1" numFmtId="0" xfId="0" applyAlignment="1" applyBorder="1" applyFont="1">
      <alignment horizontal="center" vertical="center"/>
    </xf>
    <xf borderId="16" fillId="2" fontId="1" numFmtId="175" xfId="0" applyAlignment="1" applyBorder="1" applyFont="1" applyNumberFormat="1">
      <alignment vertical="center"/>
    </xf>
    <xf borderId="18" fillId="2" fontId="1" numFmtId="176" xfId="0" applyAlignment="1" applyBorder="1" applyFont="1" applyNumberFormat="1">
      <alignment horizontal="right" vertical="center"/>
    </xf>
    <xf borderId="1" fillId="2" fontId="1" numFmtId="177" xfId="0" applyAlignment="1" applyBorder="1" applyFont="1" applyNumberFormat="1">
      <alignment vertical="center"/>
    </xf>
    <xf borderId="18" fillId="2" fontId="1" numFmtId="170" xfId="0" applyAlignment="1" applyBorder="1" applyFont="1" applyNumberFormat="1">
      <alignment vertical="center"/>
    </xf>
    <xf borderId="18" fillId="2" fontId="1" numFmtId="173" xfId="0" applyAlignment="1" applyBorder="1" applyFont="1" applyNumberFormat="1">
      <alignment horizontal="right" vertical="center"/>
    </xf>
    <xf borderId="1" fillId="2" fontId="1" numFmtId="178" xfId="0" applyAlignment="1" applyBorder="1" applyFont="1" applyNumberFormat="1">
      <alignment vertical="center"/>
    </xf>
    <xf borderId="18" fillId="2" fontId="1" numFmtId="179" xfId="0" applyAlignment="1" applyBorder="1" applyFont="1" applyNumberFormat="1">
      <alignment horizontal="right" vertical="center"/>
    </xf>
    <xf borderId="1" fillId="2" fontId="1" numFmtId="175" xfId="0" applyAlignment="1" applyBorder="1" applyFont="1" applyNumberFormat="1">
      <alignment vertical="center"/>
    </xf>
    <xf borderId="31" fillId="2" fontId="1" numFmtId="180" xfId="0" applyAlignment="1" applyBorder="1" applyFont="1" applyNumberFormat="1">
      <alignment horizontal="center" vertical="center"/>
    </xf>
    <xf borderId="1" fillId="2" fontId="1" numFmtId="181" xfId="0" applyAlignment="1" applyBorder="1" applyFont="1" applyNumberFormat="1">
      <alignment vertical="center"/>
    </xf>
    <xf borderId="1" fillId="2" fontId="1" numFmtId="169" xfId="0" applyAlignment="1" applyBorder="1" applyFont="1" applyNumberFormat="1">
      <alignment horizontal="right" vertical="center"/>
    </xf>
    <xf borderId="1" fillId="2" fontId="1" numFmtId="166" xfId="0" applyAlignment="1" applyBorder="1" applyFont="1" applyNumberFormat="1">
      <alignment horizontal="left" vertical="center"/>
    </xf>
    <xf borderId="1" fillId="3" fontId="1" numFmtId="179" xfId="0" applyAlignment="1" applyBorder="1" applyFont="1" applyNumberFormat="1">
      <alignment horizontal="right" vertical="center"/>
    </xf>
    <xf borderId="1" fillId="2" fontId="1" numFmtId="169" xfId="0" applyAlignment="1" applyBorder="1" applyFont="1" applyNumberFormat="1">
      <alignment horizontal="center" vertical="center"/>
    </xf>
    <xf borderId="1" fillId="2" fontId="1" numFmtId="172" xfId="0" applyAlignment="1" applyBorder="1" applyFont="1" applyNumberFormat="1">
      <alignment horizontal="right" vertical="center"/>
    </xf>
    <xf borderId="32" fillId="2" fontId="2" numFmtId="169" xfId="0" applyAlignment="1" applyBorder="1" applyFont="1" applyNumberFormat="1">
      <alignment horizontal="center" vertical="center"/>
    </xf>
    <xf borderId="33" fillId="0" fontId="3" numFmtId="0" xfId="0" applyBorder="1" applyFont="1"/>
    <xf borderId="18" fillId="2" fontId="1" numFmtId="2" xfId="0" applyAlignment="1" applyBorder="1" applyFont="1" applyNumberFormat="1">
      <alignment horizontal="right" vertical="center"/>
    </xf>
    <xf borderId="34" fillId="0" fontId="3" numFmtId="0" xfId="0" applyBorder="1" applyFont="1"/>
    <xf borderId="35" fillId="0" fontId="3" numFmtId="0" xfId="0" applyBorder="1" applyFont="1"/>
    <xf borderId="36" fillId="3" fontId="1" numFmtId="0" xfId="0" applyAlignment="1" applyBorder="1" applyFont="1">
      <alignment horizontal="center" vertical="center"/>
    </xf>
    <xf borderId="37" fillId="3" fontId="1" numFmtId="0" xfId="0" applyAlignment="1" applyBorder="1" applyFont="1">
      <alignment horizontal="center" vertical="center"/>
    </xf>
    <xf borderId="38" fillId="3" fontId="1" numFmtId="0" xfId="0" applyAlignment="1" applyBorder="1" applyFont="1">
      <alignment horizontal="center" vertical="center"/>
    </xf>
    <xf borderId="1" fillId="2" fontId="1" numFmtId="0" xfId="0" applyBorder="1" applyFont="1"/>
    <xf borderId="39" fillId="0" fontId="3" numFmtId="0" xfId="0" applyBorder="1" applyFont="1"/>
    <xf borderId="40" fillId="0" fontId="3" numFmtId="0" xfId="0" applyBorder="1" applyFont="1"/>
    <xf borderId="0" fillId="0" fontId="1" numFmtId="0" xfId="0" applyFont="1"/>
    <xf borderId="3" fillId="2" fontId="1" numFmtId="0" xfId="0" applyAlignment="1" applyBorder="1" applyFont="1">
      <alignment vertical="center"/>
    </xf>
  </cellXfs>
  <cellStyles count="1">
    <cellStyle xfId="0" name="Normal" builtinId="0"/>
  </cellStyles>
  <dxfs count="2">
    <dxf>
      <font>
        <color rgb="FF9C0006"/>
      </font>
      <fill>
        <patternFill patternType="solid">
          <fgColor rgb="FFFFC7CE"/>
          <bgColor rgb="FFFFC7CE"/>
        </patternFill>
      </fill>
      <border/>
    </dxf>
    <dxf>
      <font>
        <color rgb="FF006100"/>
      </font>
      <fill>
        <patternFill patternType="solid">
          <fgColor rgb="FFC6EFCE"/>
          <bgColor rgb="FFC6EFCE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customschemas.google.com/relationships/workbookmetadata" Target="metadata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hyperlink" Target="https://www.instagram.com/professordeestruturas/" TargetMode="External"/><Relationship Id="rId2" Type="http://schemas.openxmlformats.org/officeDocument/2006/relationships/image" Target="../media/image1.png"/><Relationship Id="rId3" Type="http://schemas.openxmlformats.org/officeDocument/2006/relationships/hyperlink" Target="mailto:matheuscarini@gmail.com" TargetMode="External"/><Relationship Id="rId4" Type="http://schemas.openxmlformats.org/officeDocument/2006/relationships/image" Target="../media/image6.png"/><Relationship Id="rId10" Type="http://schemas.openxmlformats.org/officeDocument/2006/relationships/hyperlink" Target="https://professordeestruturas.com.br/" TargetMode="External"/><Relationship Id="rId9" Type="http://schemas.openxmlformats.org/officeDocument/2006/relationships/hyperlink" Target="mailto:matheuscarini@gmail.com" TargetMode="External"/><Relationship Id="rId5" Type="http://schemas.openxmlformats.org/officeDocument/2006/relationships/hyperlink" Target="https://linktr.ee/professordeestruturas" TargetMode="External"/><Relationship Id="rId6" Type="http://schemas.openxmlformats.org/officeDocument/2006/relationships/image" Target="../media/image3.png"/><Relationship Id="rId7" Type="http://schemas.openxmlformats.org/officeDocument/2006/relationships/image" Target="../media/image7.png"/><Relationship Id="rId8" Type="http://schemas.openxmlformats.org/officeDocument/2006/relationships/hyperlink" Target="https://www.instagram.com/professordeestruturas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20</xdr:col>
      <xdr:colOff>38100</xdr:colOff>
      <xdr:row>24</xdr:row>
      <xdr:rowOff>76200</xdr:rowOff>
    </xdr:from>
    <xdr:ext cx="1009650" cy="276225"/>
    <xdr:sp>
      <xdr:nvSpPr>
        <xdr:cNvPr id="3" name="Shape 3"/>
        <xdr:cNvSpPr txBox="1"/>
      </xdr:nvSpPr>
      <xdr:spPr>
        <a:xfrm>
          <a:off x="4845938" y="3641888"/>
          <a:ext cx="1000125" cy="276225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Arial"/>
              <a:ea typeface="Arial"/>
              <a:cs typeface="Arial"/>
              <a:sym typeface="Arial"/>
            </a:rPr>
            <a:t>20231012</a:t>
          </a:r>
          <a:endParaRPr sz="1400"/>
        </a:p>
      </xdr:txBody>
    </xdr:sp>
    <xdr:clientData fLocksWithSheet="0"/>
  </xdr:oneCellAnchor>
  <xdr:oneCellAnchor>
    <xdr:from>
      <xdr:col>14</xdr:col>
      <xdr:colOff>152400</xdr:colOff>
      <xdr:row>24</xdr:row>
      <xdr:rowOff>38100</xdr:rowOff>
    </xdr:from>
    <xdr:ext cx="1038225" cy="285750"/>
    <xdr:grpSp>
      <xdr:nvGrpSpPr>
        <xdr:cNvPr id="2" name="Shape 2"/>
        <xdr:cNvGrpSpPr/>
      </xdr:nvGrpSpPr>
      <xdr:grpSpPr>
        <a:xfrm>
          <a:off x="4826888" y="3637125"/>
          <a:ext cx="1038225" cy="285750"/>
          <a:chOff x="4826888" y="3637125"/>
          <a:chExt cx="1038225" cy="285750"/>
        </a:xfrm>
      </xdr:grpSpPr>
      <xdr:grpSp>
        <xdr:nvGrpSpPr>
          <xdr:cNvPr id="4" name="Shape 4"/>
          <xdr:cNvGrpSpPr/>
        </xdr:nvGrpSpPr>
        <xdr:grpSpPr>
          <a:xfrm>
            <a:off x="4826888" y="3637125"/>
            <a:ext cx="1038225" cy="285750"/>
            <a:chOff x="7894308" y="3609975"/>
            <a:chExt cx="1050318" cy="301476"/>
          </a:xfrm>
        </xdr:grpSpPr>
        <xdr:sp>
          <xdr:nvSpPr>
            <xdr:cNvPr id="5" name="Shape 5"/>
            <xdr:cNvSpPr/>
          </xdr:nvSpPr>
          <xdr:spPr>
            <a:xfrm>
              <a:off x="7894308" y="3609975"/>
              <a:ext cx="1050300" cy="301475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pic>
          <xdr:nvPicPr>
            <xdr:cNvPr id="6" name="Shape 6">
              <a:hlinkClick r:id="rId1"/>
            </xdr:cNvPr>
            <xdr:cNvPicPr preferRelativeResize="0"/>
          </xdr:nvPicPr>
          <xdr:blipFill rotWithShape="1">
            <a:blip r:embed="rId2">
              <a:alphaModFix/>
            </a:blip>
            <a:srcRect b="0" l="0" r="0" t="0"/>
            <a:stretch/>
          </xdr:blipFill>
          <xdr:spPr>
            <a:xfrm>
              <a:off x="7894308" y="3670392"/>
              <a:ext cx="204404" cy="203388"/>
            </a:xfrm>
            <a:prstGeom prst="rect">
              <a:avLst/>
            </a:prstGeom>
            <a:noFill/>
            <a:ln>
              <a:noFill/>
            </a:ln>
          </xdr:spPr>
        </xdr:pic>
        <xdr:pic>
          <xdr:nvPicPr>
            <xdr:cNvPr id="7" name="Shape 7">
              <a:hlinkClick r:id="rId3"/>
            </xdr:cNvPr>
            <xdr:cNvPicPr preferRelativeResize="0"/>
          </xdr:nvPicPr>
          <xdr:blipFill rotWithShape="1">
            <a:blip r:embed="rId4">
              <a:alphaModFix/>
            </a:blip>
            <a:srcRect b="0" l="0" r="0" t="0"/>
            <a:stretch/>
          </xdr:blipFill>
          <xdr:spPr>
            <a:xfrm>
              <a:off x="8641014" y="3609975"/>
              <a:ext cx="303612" cy="301476"/>
            </a:xfrm>
            <a:prstGeom prst="rect">
              <a:avLst/>
            </a:prstGeom>
            <a:noFill/>
            <a:ln>
              <a:noFill/>
            </a:ln>
          </xdr:spPr>
        </xdr:pic>
        <xdr:pic>
          <xdr:nvPicPr>
            <xdr:cNvPr id="8" name="Shape 8">
              <a:hlinkClick r:id="rId5"/>
            </xdr:cNvPr>
            <xdr:cNvPicPr preferRelativeResize="0"/>
          </xdr:nvPicPr>
          <xdr:blipFill rotWithShape="1">
            <a:blip r:embed="rId6">
              <a:alphaModFix/>
            </a:blip>
            <a:srcRect b="0" l="0" r="0" t="0"/>
            <a:stretch/>
          </xdr:blipFill>
          <xdr:spPr>
            <a:xfrm>
              <a:off x="8252348" y="3672478"/>
              <a:ext cx="228600" cy="199215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  <xdr:oneCellAnchor>
    <xdr:from>
      <xdr:col>0</xdr:col>
      <xdr:colOff>285750</xdr:colOff>
      <xdr:row>24</xdr:row>
      <xdr:rowOff>28575</xdr:rowOff>
    </xdr:from>
    <xdr:ext cx="10267950" cy="314325"/>
    <xdr:grpSp>
      <xdr:nvGrpSpPr>
        <xdr:cNvPr id="2" name="Shape 2"/>
        <xdr:cNvGrpSpPr/>
      </xdr:nvGrpSpPr>
      <xdr:grpSpPr>
        <a:xfrm>
          <a:off x="212025" y="3622838"/>
          <a:ext cx="10267950" cy="314325"/>
          <a:chOff x="212025" y="3622838"/>
          <a:chExt cx="10267950" cy="314325"/>
        </a:xfrm>
      </xdr:grpSpPr>
      <xdr:grpSp>
        <xdr:nvGrpSpPr>
          <xdr:cNvPr id="9" name="Shape 9"/>
          <xdr:cNvGrpSpPr/>
        </xdr:nvGrpSpPr>
        <xdr:grpSpPr>
          <a:xfrm>
            <a:off x="212025" y="3622838"/>
            <a:ext cx="10267950" cy="314325"/>
            <a:chOff x="323850" y="6010275"/>
            <a:chExt cx="10264486" cy="327146"/>
          </a:xfrm>
        </xdr:grpSpPr>
        <xdr:sp>
          <xdr:nvSpPr>
            <xdr:cNvPr id="5" name="Shape 5"/>
            <xdr:cNvSpPr/>
          </xdr:nvSpPr>
          <xdr:spPr>
            <a:xfrm>
              <a:off x="323850" y="6010275"/>
              <a:ext cx="10264475" cy="327125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pic>
          <xdr:nvPicPr>
            <xdr:cNvPr id="10" name="Shape 10"/>
            <xdr:cNvPicPr preferRelativeResize="0"/>
          </xdr:nvPicPr>
          <xdr:blipFill rotWithShape="1">
            <a:blip r:embed="rId7">
              <a:alphaModFix/>
            </a:blip>
            <a:srcRect b="0" l="0" r="0" t="0"/>
            <a:stretch/>
          </xdr:blipFill>
          <xdr:spPr>
            <a:xfrm>
              <a:off x="323850" y="6029324"/>
              <a:ext cx="10077450" cy="299173"/>
            </a:xfrm>
            <a:prstGeom prst="rect">
              <a:avLst/>
            </a:prstGeom>
            <a:noFill/>
            <a:ln>
              <a:noFill/>
            </a:ln>
          </xdr:spPr>
        </xdr:pic>
        <xdr:grpSp>
          <xdr:nvGrpSpPr>
            <xdr:cNvPr id="11" name="Shape 11"/>
            <xdr:cNvGrpSpPr/>
          </xdr:nvGrpSpPr>
          <xdr:grpSpPr>
            <a:xfrm>
              <a:off x="7286625" y="6010275"/>
              <a:ext cx="1050318" cy="301476"/>
              <a:chOff x="7286625" y="6010275"/>
              <a:chExt cx="1050318" cy="301476"/>
            </a:xfrm>
          </xdr:grpSpPr>
          <xdr:pic>
            <xdr:nvPicPr>
              <xdr:cNvPr id="12" name="Shape 12">
                <a:hlinkClick r:id="rId8"/>
              </xdr:cNvPr>
              <xdr:cNvPicPr preferRelativeResize="0"/>
            </xdr:nvPicPr>
            <xdr:blipFill rotWithShape="1">
              <a:blip r:embed="rId2">
                <a:alphaModFix/>
              </a:blip>
              <a:srcRect b="0" l="0" r="0" t="0"/>
              <a:stretch/>
            </xdr:blipFill>
            <xdr:spPr>
              <a:xfrm>
                <a:off x="7286625" y="6070692"/>
                <a:ext cx="204404" cy="203388"/>
              </a:xfrm>
              <a:prstGeom prst="rect">
                <a:avLst/>
              </a:prstGeom>
              <a:noFill/>
              <a:ln>
                <a:noFill/>
              </a:ln>
            </xdr:spPr>
          </xdr:pic>
          <xdr:pic>
            <xdr:nvPicPr>
              <xdr:cNvPr id="13" name="Shape 13">
                <a:hlinkClick r:id="rId9"/>
              </xdr:cNvPr>
              <xdr:cNvPicPr preferRelativeResize="0"/>
            </xdr:nvPicPr>
            <xdr:blipFill rotWithShape="1">
              <a:blip r:embed="rId4">
                <a:alphaModFix/>
              </a:blip>
              <a:srcRect b="0" l="0" r="0" t="0"/>
              <a:stretch/>
            </xdr:blipFill>
            <xdr:spPr>
              <a:xfrm>
                <a:off x="8033331" y="6010275"/>
                <a:ext cx="303612" cy="301476"/>
              </a:xfrm>
              <a:prstGeom prst="rect">
                <a:avLst/>
              </a:prstGeom>
              <a:noFill/>
              <a:ln>
                <a:noFill/>
              </a:ln>
            </xdr:spPr>
          </xdr:pic>
          <xdr:pic>
            <xdr:nvPicPr>
              <xdr:cNvPr id="14" name="Shape 14">
                <a:hlinkClick r:id="rId10"/>
              </xdr:cNvPr>
              <xdr:cNvPicPr preferRelativeResize="0"/>
            </xdr:nvPicPr>
            <xdr:blipFill rotWithShape="1">
              <a:blip r:embed="rId6">
                <a:alphaModFix/>
              </a:blip>
              <a:srcRect b="0" l="0" r="0" t="0"/>
              <a:stretch/>
            </xdr:blipFill>
            <xdr:spPr>
              <a:xfrm>
                <a:off x="7644665" y="6072778"/>
                <a:ext cx="228600" cy="199215"/>
              </a:xfrm>
              <a:prstGeom prst="rect">
                <a:avLst/>
              </a:prstGeom>
              <a:noFill/>
              <a:ln>
                <a:noFill/>
              </a:ln>
            </xdr:spPr>
          </xdr:pic>
        </xdr:grpSp>
        <xdr:sp>
          <xdr:nvSpPr>
            <xdr:cNvPr id="15" name="Shape 15"/>
            <xdr:cNvSpPr txBox="1"/>
          </xdr:nvSpPr>
          <xdr:spPr>
            <a:xfrm>
              <a:off x="9588211" y="6051671"/>
              <a:ext cx="1000125" cy="28575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000">
                  <a:solidFill>
                    <a:schemeClr val="lt1"/>
                  </a:solidFill>
                  <a:latin typeface="Arial"/>
                  <a:ea typeface="Arial"/>
                  <a:cs typeface="Arial"/>
                  <a:sym typeface="Arial"/>
                </a:rPr>
                <a:t>20231012</a:t>
              </a:r>
              <a:endParaRPr sz="1400"/>
            </a:p>
          </xdr:txBody>
        </xdr:sp>
      </xdr:grpSp>
    </xdr:grpSp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1">
    <pageSetUpPr/>
  </sheetPr>
  <sheetViews>
    <sheetView workbookViewId="0"/>
  </sheetViews>
  <sheetFormatPr customHeight="1" defaultColWidth="14.43" defaultRowHeight="15.0"/>
  <cols>
    <col customWidth="1" min="1" max="2" width="4.57"/>
    <col customWidth="1" min="3" max="3" width="9.14"/>
    <col customWidth="1" min="4" max="4" width="4.57"/>
    <col customWidth="1" min="5" max="5" width="13.71"/>
    <col customWidth="1" min="6" max="6" width="9.14"/>
    <col customWidth="1" min="7" max="8" width="4.57"/>
    <col customWidth="1" min="9" max="9" width="7.14"/>
    <col customWidth="1" min="10" max="10" width="13.57"/>
    <col customWidth="1" min="11" max="11" width="5.71"/>
    <col customWidth="1" min="12" max="12" width="6.29"/>
    <col customWidth="1" min="13" max="13" width="13.43"/>
    <col customWidth="1" min="14" max="14" width="5.71"/>
    <col customWidth="1" min="15" max="15" width="7.29"/>
    <col customWidth="1" min="16" max="20" width="6.0"/>
    <col customWidth="1" min="21" max="21" width="5.71"/>
    <col customWidth="1" min="22" max="28" width="6.0"/>
    <col customWidth="1" min="29" max="32" width="9.14"/>
    <col customWidth="1" min="33" max="34" width="18.0"/>
  </cols>
  <sheetData>
    <row r="1" ht="14.2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ht="14.25" customHeight="1">
      <c r="A2" s="1"/>
      <c r="B2" s="2"/>
      <c r="C2" s="3"/>
      <c r="D2" s="3"/>
      <c r="E2" s="3"/>
      <c r="F2" s="3"/>
      <c r="G2" s="4"/>
      <c r="H2" s="1"/>
      <c r="I2" s="5" t="s">
        <v>0</v>
      </c>
      <c r="J2" s="6"/>
      <c r="K2" s="1"/>
      <c r="L2" s="7" t="s">
        <v>1</v>
      </c>
      <c r="M2" s="8"/>
      <c r="N2" s="1"/>
      <c r="O2" s="5" t="s">
        <v>2</v>
      </c>
      <c r="P2" s="9"/>
      <c r="Q2" s="9"/>
      <c r="R2" s="9"/>
      <c r="S2" s="9"/>
      <c r="T2" s="6"/>
      <c r="U2" s="10"/>
      <c r="V2" s="5" t="s">
        <v>3</v>
      </c>
      <c r="W2" s="9"/>
      <c r="X2" s="9"/>
      <c r="Y2" s="9"/>
      <c r="Z2" s="9"/>
      <c r="AA2" s="6"/>
      <c r="AB2" s="1"/>
      <c r="AC2" s="1"/>
      <c r="AD2" s="1"/>
      <c r="AE2" s="1"/>
      <c r="AF2" s="1"/>
      <c r="AG2" s="11"/>
      <c r="AH2" s="11"/>
    </row>
    <row r="3" ht="14.25" customHeight="1">
      <c r="A3" s="1"/>
      <c r="B3" s="12"/>
      <c r="C3" s="13" t="s">
        <v>4</v>
      </c>
      <c r="D3" s="14"/>
      <c r="E3" s="14"/>
      <c r="F3" s="15"/>
      <c r="G3" s="16"/>
      <c r="H3" s="1"/>
      <c r="I3" s="17" t="s">
        <v>5</v>
      </c>
      <c r="J3" s="18">
        <f>IF(E18&lt;=5,0.8,0.8-(E18*10-50)/400)</f>
        <v>0.8</v>
      </c>
      <c r="K3" s="1"/>
      <c r="L3" s="19" t="s">
        <v>6</v>
      </c>
      <c r="M3" s="20">
        <f>IF(I19="Domínio 2",1/100*1000,M5/J16*(E11-J16))</f>
        <v>10</v>
      </c>
      <c r="N3" s="10"/>
      <c r="O3" s="21" t="s">
        <v>7</v>
      </c>
      <c r="P3" s="22" t="s">
        <v>8</v>
      </c>
      <c r="Q3" s="9"/>
      <c r="R3" s="9"/>
      <c r="S3" s="9"/>
      <c r="T3" s="6"/>
      <c r="U3" s="23"/>
      <c r="V3" s="21" t="s">
        <v>7</v>
      </c>
      <c r="W3" s="22" t="s">
        <v>8</v>
      </c>
      <c r="X3" s="9"/>
      <c r="Y3" s="9"/>
      <c r="Z3" s="9"/>
      <c r="AA3" s="6"/>
      <c r="AB3" s="10"/>
      <c r="AC3" s="1"/>
      <c r="AD3" s="24"/>
      <c r="AE3" s="24"/>
      <c r="AF3" s="1"/>
      <c r="AG3" s="11"/>
      <c r="AH3" s="11"/>
    </row>
    <row r="4" ht="14.25" customHeight="1">
      <c r="A4" s="1"/>
      <c r="B4" s="12"/>
      <c r="C4" s="25"/>
      <c r="D4" s="26"/>
      <c r="E4" s="26"/>
      <c r="F4" s="27"/>
      <c r="G4" s="16"/>
      <c r="H4" s="1"/>
      <c r="I4" s="28" t="s">
        <v>9</v>
      </c>
      <c r="J4" s="29">
        <f>IF(E18&lt;=5,0.85,0.85*(1-(E18*10-50)/200))</f>
        <v>0.85</v>
      </c>
      <c r="K4" s="1"/>
      <c r="L4" s="30" t="s">
        <v>10</v>
      </c>
      <c r="M4" s="31">
        <f>M5/J16*(J16-E12)</f>
        <v>-1.732615943</v>
      </c>
      <c r="N4" s="23"/>
      <c r="O4" s="32"/>
      <c r="P4" s="33">
        <v>1.0</v>
      </c>
      <c r="Q4" s="33">
        <v>2.0</v>
      </c>
      <c r="R4" s="33">
        <v>3.0</v>
      </c>
      <c r="S4" s="33">
        <v>4.0</v>
      </c>
      <c r="T4" s="33">
        <v>5.0</v>
      </c>
      <c r="U4" s="34"/>
      <c r="V4" s="32"/>
      <c r="W4" s="33">
        <v>1.0</v>
      </c>
      <c r="X4" s="33">
        <v>2.0</v>
      </c>
      <c r="Y4" s="33">
        <v>3.0</v>
      </c>
      <c r="Z4" s="33">
        <v>4.0</v>
      </c>
      <c r="AA4" s="33">
        <v>5.0</v>
      </c>
      <c r="AB4" s="23"/>
      <c r="AC4" s="1"/>
      <c r="AD4" s="35"/>
      <c r="AE4" s="36"/>
      <c r="AF4" s="1"/>
      <c r="AG4" s="11"/>
      <c r="AH4" s="11"/>
    </row>
    <row r="5" ht="14.25" customHeight="1">
      <c r="A5" s="1"/>
      <c r="B5" s="12"/>
      <c r="C5" s="37"/>
      <c r="D5" s="37"/>
      <c r="E5" s="37"/>
      <c r="F5" s="37"/>
      <c r="G5" s="16"/>
      <c r="H5" s="1"/>
      <c r="I5" s="28" t="s">
        <v>11</v>
      </c>
      <c r="J5" s="29">
        <f>IF(E18&lt;=4,1,(4/E18)^(1/3))</f>
        <v>1</v>
      </c>
      <c r="K5" s="1"/>
      <c r="L5" s="19" t="s">
        <v>12</v>
      </c>
      <c r="M5" s="20">
        <f>IF(I19="Domínio 3",3.5,M3/(E11-J16)*J16)</f>
        <v>0.5638796289</v>
      </c>
      <c r="N5" s="34"/>
      <c r="O5" s="38">
        <v>6.3</v>
      </c>
      <c r="P5" s="39">
        <f t="shared" ref="P5:T5" si="1">P$4*PI()*($O5/20)^2</f>
        <v>0.3117245311</v>
      </c>
      <c r="Q5" s="39">
        <f t="shared" si="1"/>
        <v>0.6234490621</v>
      </c>
      <c r="R5" s="39">
        <f t="shared" si="1"/>
        <v>0.9351735932</v>
      </c>
      <c r="S5" s="39">
        <f t="shared" si="1"/>
        <v>1.246898124</v>
      </c>
      <c r="T5" s="39">
        <f t="shared" si="1"/>
        <v>1.558622655</v>
      </c>
      <c r="U5" s="34"/>
      <c r="V5" s="38">
        <v>6.3</v>
      </c>
      <c r="W5" s="39">
        <f t="shared" ref="W5:AA5" si="2">W$4*PI()*($O5/20)^2</f>
        <v>0.3117245311</v>
      </c>
      <c r="X5" s="39">
        <f t="shared" si="2"/>
        <v>0.6234490621</v>
      </c>
      <c r="Y5" s="39">
        <f t="shared" si="2"/>
        <v>0.9351735932</v>
      </c>
      <c r="Z5" s="39">
        <f t="shared" si="2"/>
        <v>1.246898124</v>
      </c>
      <c r="AA5" s="39">
        <f t="shared" si="2"/>
        <v>1.558622655</v>
      </c>
      <c r="AB5" s="34"/>
      <c r="AC5" s="1"/>
      <c r="AD5" s="35"/>
      <c r="AE5" s="36"/>
      <c r="AF5" s="1"/>
      <c r="AG5" s="11"/>
      <c r="AH5" s="11"/>
    </row>
    <row r="6" ht="14.25" customHeight="1">
      <c r="A6" s="1"/>
      <c r="B6" s="12"/>
      <c r="C6" s="37"/>
      <c r="D6" s="40" t="s">
        <v>13</v>
      </c>
      <c r="E6" s="8"/>
      <c r="F6" s="37"/>
      <c r="G6" s="16"/>
      <c r="H6" s="1"/>
      <c r="I6" s="1"/>
      <c r="J6" s="1"/>
      <c r="K6" s="1"/>
      <c r="L6" s="1"/>
      <c r="M6" s="1"/>
      <c r="N6" s="34"/>
      <c r="O6" s="38">
        <v>8.0</v>
      </c>
      <c r="P6" s="39">
        <f t="shared" ref="P6:T6" si="3">P$4*PI()*($O6/20)^2</f>
        <v>0.5026548246</v>
      </c>
      <c r="Q6" s="39">
        <f t="shared" si="3"/>
        <v>1.005309649</v>
      </c>
      <c r="R6" s="39">
        <f t="shared" si="3"/>
        <v>1.507964474</v>
      </c>
      <c r="S6" s="39">
        <f t="shared" si="3"/>
        <v>2.010619298</v>
      </c>
      <c r="T6" s="39">
        <f t="shared" si="3"/>
        <v>2.513274123</v>
      </c>
      <c r="U6" s="34"/>
      <c r="V6" s="38">
        <v>8.0</v>
      </c>
      <c r="W6" s="39">
        <f t="shared" ref="W6:AA6" si="4">W$4*PI()*($O6/20)^2</f>
        <v>0.5026548246</v>
      </c>
      <c r="X6" s="39">
        <f t="shared" si="4"/>
        <v>1.005309649</v>
      </c>
      <c r="Y6" s="39">
        <f t="shared" si="4"/>
        <v>1.507964474</v>
      </c>
      <c r="Z6" s="39">
        <f t="shared" si="4"/>
        <v>2.010619298</v>
      </c>
      <c r="AA6" s="39">
        <f t="shared" si="4"/>
        <v>2.513274123</v>
      </c>
      <c r="AB6" s="34"/>
      <c r="AC6" s="1"/>
      <c r="AD6" s="35"/>
      <c r="AE6" s="36"/>
      <c r="AF6" s="1"/>
      <c r="AG6" s="11"/>
      <c r="AH6" s="11"/>
    </row>
    <row r="7" ht="14.25" customHeight="1">
      <c r="A7" s="1"/>
      <c r="B7" s="12"/>
      <c r="C7" s="37"/>
      <c r="D7" s="28" t="s">
        <v>14</v>
      </c>
      <c r="E7" s="41">
        <v>49.0</v>
      </c>
      <c r="F7" s="37"/>
      <c r="G7" s="16"/>
      <c r="H7" s="1"/>
      <c r="I7" s="5" t="s">
        <v>15</v>
      </c>
      <c r="J7" s="6"/>
      <c r="K7" s="1"/>
      <c r="L7" s="5" t="s">
        <v>16</v>
      </c>
      <c r="M7" s="6"/>
      <c r="N7" s="34"/>
      <c r="O7" s="38">
        <v>10.0</v>
      </c>
      <c r="P7" s="39">
        <f t="shared" ref="P7:T7" si="5">P$4*PI()*($O7/20)^2</f>
        <v>0.7853981634</v>
      </c>
      <c r="Q7" s="39">
        <f t="shared" si="5"/>
        <v>1.570796327</v>
      </c>
      <c r="R7" s="39">
        <f t="shared" si="5"/>
        <v>2.35619449</v>
      </c>
      <c r="S7" s="39">
        <f t="shared" si="5"/>
        <v>3.141592654</v>
      </c>
      <c r="T7" s="39">
        <f t="shared" si="5"/>
        <v>3.926990817</v>
      </c>
      <c r="U7" s="34"/>
      <c r="V7" s="38">
        <v>10.0</v>
      </c>
      <c r="W7" s="39">
        <f t="shared" ref="W7:AA7" si="6">W$4*PI()*($O7/20)^2</f>
        <v>0.7853981634</v>
      </c>
      <c r="X7" s="39">
        <f t="shared" si="6"/>
        <v>1.570796327</v>
      </c>
      <c r="Y7" s="39">
        <f t="shared" si="6"/>
        <v>2.35619449</v>
      </c>
      <c r="Z7" s="39">
        <f t="shared" si="6"/>
        <v>3.141592654</v>
      </c>
      <c r="AA7" s="39">
        <f t="shared" si="6"/>
        <v>3.926990817</v>
      </c>
      <c r="AB7" s="34"/>
      <c r="AC7" s="1"/>
      <c r="AD7" s="35"/>
      <c r="AE7" s="36"/>
      <c r="AF7" s="1"/>
      <c r="AG7" s="11"/>
      <c r="AH7" s="11"/>
    </row>
    <row r="8" ht="14.25" customHeight="1">
      <c r="A8" s="1"/>
      <c r="B8" s="12"/>
      <c r="C8" s="37"/>
      <c r="D8" s="28" t="s">
        <v>17</v>
      </c>
      <c r="E8" s="41">
        <v>9.0</v>
      </c>
      <c r="F8" s="37"/>
      <c r="G8" s="16"/>
      <c r="H8" s="1"/>
      <c r="I8" s="28" t="s">
        <v>18</v>
      </c>
      <c r="J8" s="42">
        <f>E18/1.4</f>
        <v>1.785714286</v>
      </c>
      <c r="K8" s="1"/>
      <c r="L8" s="28" t="s">
        <v>19</v>
      </c>
      <c r="M8" s="42">
        <f>MIN(M3*21,J9)</f>
        <v>43.47826087</v>
      </c>
      <c r="N8" s="34"/>
      <c r="O8" s="38">
        <v>12.5</v>
      </c>
      <c r="P8" s="39">
        <f t="shared" ref="P8:T8" si="7">P$4*PI()*($O8/20)^2</f>
        <v>1.22718463</v>
      </c>
      <c r="Q8" s="39">
        <f t="shared" si="7"/>
        <v>2.454369261</v>
      </c>
      <c r="R8" s="39">
        <f t="shared" si="7"/>
        <v>3.681553891</v>
      </c>
      <c r="S8" s="39">
        <f t="shared" si="7"/>
        <v>4.908738521</v>
      </c>
      <c r="T8" s="39">
        <f t="shared" si="7"/>
        <v>6.135923152</v>
      </c>
      <c r="U8" s="34"/>
      <c r="V8" s="38">
        <v>12.5</v>
      </c>
      <c r="W8" s="39">
        <f t="shared" ref="W8:AA8" si="8">W$4*PI()*($O8/20)^2</f>
        <v>1.22718463</v>
      </c>
      <c r="X8" s="39">
        <f t="shared" si="8"/>
        <v>2.454369261</v>
      </c>
      <c r="Y8" s="39">
        <f t="shared" si="8"/>
        <v>3.681553891</v>
      </c>
      <c r="Z8" s="39">
        <f t="shared" si="8"/>
        <v>4.908738521</v>
      </c>
      <c r="AA8" s="39">
        <f t="shared" si="8"/>
        <v>6.135923152</v>
      </c>
      <c r="AB8" s="34"/>
      <c r="AC8" s="1"/>
      <c r="AD8" s="35"/>
      <c r="AE8" s="36"/>
      <c r="AF8" s="1"/>
      <c r="AG8" s="11"/>
      <c r="AH8" s="11"/>
    </row>
    <row r="9" ht="14.25" customHeight="1">
      <c r="A9" s="1"/>
      <c r="B9" s="12"/>
      <c r="C9" s="37"/>
      <c r="D9" s="28" t="s">
        <v>20</v>
      </c>
      <c r="E9" s="41">
        <v>5.0</v>
      </c>
      <c r="F9" s="37"/>
      <c r="G9" s="16"/>
      <c r="H9" s="1"/>
      <c r="I9" s="28" t="s">
        <v>21</v>
      </c>
      <c r="J9" s="42">
        <f>E19/1.15</f>
        <v>43.47826087</v>
      </c>
      <c r="K9" s="1"/>
      <c r="L9" s="28" t="s">
        <v>22</v>
      </c>
      <c r="M9" s="42">
        <f>IF(M4&lt;-J9/21,-J9,IF(M4&gt;J9/21,J9,M4*21))</f>
        <v>-36.3849348</v>
      </c>
      <c r="N9" s="34"/>
      <c r="O9" s="38">
        <v>16.0</v>
      </c>
      <c r="P9" s="39">
        <f t="shared" ref="P9:T9" si="9">P$4*PI()*($O9/20)^2</f>
        <v>2.010619298</v>
      </c>
      <c r="Q9" s="39">
        <f t="shared" si="9"/>
        <v>4.021238597</v>
      </c>
      <c r="R9" s="39">
        <f t="shared" si="9"/>
        <v>6.031857895</v>
      </c>
      <c r="S9" s="39">
        <f t="shared" si="9"/>
        <v>8.042477193</v>
      </c>
      <c r="T9" s="39">
        <f t="shared" si="9"/>
        <v>10.05309649</v>
      </c>
      <c r="U9" s="34"/>
      <c r="V9" s="38">
        <v>16.0</v>
      </c>
      <c r="W9" s="39">
        <f t="shared" ref="W9:AA9" si="10">W$4*PI()*($O9/20)^2</f>
        <v>2.010619298</v>
      </c>
      <c r="X9" s="39">
        <f t="shared" si="10"/>
        <v>4.021238597</v>
      </c>
      <c r="Y9" s="39">
        <f t="shared" si="10"/>
        <v>6.031857895</v>
      </c>
      <c r="Z9" s="39">
        <f t="shared" si="10"/>
        <v>8.042477193</v>
      </c>
      <c r="AA9" s="39">
        <f t="shared" si="10"/>
        <v>10.05309649</v>
      </c>
      <c r="AB9" s="34"/>
      <c r="AC9" s="1"/>
      <c r="AD9" s="35"/>
      <c r="AE9" s="36"/>
      <c r="AF9" s="1"/>
      <c r="AG9" s="1"/>
      <c r="AH9" s="1"/>
    </row>
    <row r="10" ht="14.25" customHeight="1">
      <c r="A10" s="1"/>
      <c r="B10" s="12"/>
      <c r="C10" s="37"/>
      <c r="D10" s="43" t="s">
        <v>23</v>
      </c>
      <c r="E10" s="41">
        <v>13.0</v>
      </c>
      <c r="F10" s="37"/>
      <c r="G10" s="16"/>
      <c r="H10" s="1"/>
      <c r="I10" s="1"/>
      <c r="J10" s="1"/>
      <c r="K10" s="1"/>
      <c r="L10" s="1"/>
      <c r="M10" s="1"/>
      <c r="N10" s="34"/>
      <c r="O10" s="38">
        <v>20.0</v>
      </c>
      <c r="P10" s="39">
        <f t="shared" ref="P10:T10" si="11">P$4*PI()*($O10/20)^2</f>
        <v>3.141592654</v>
      </c>
      <c r="Q10" s="39">
        <f t="shared" si="11"/>
        <v>6.283185307</v>
      </c>
      <c r="R10" s="39">
        <f t="shared" si="11"/>
        <v>9.424777961</v>
      </c>
      <c r="S10" s="39">
        <f t="shared" si="11"/>
        <v>12.56637061</v>
      </c>
      <c r="T10" s="39">
        <f t="shared" si="11"/>
        <v>15.70796327</v>
      </c>
      <c r="U10" s="1"/>
      <c r="V10" s="38">
        <v>20.0</v>
      </c>
      <c r="W10" s="39">
        <f t="shared" ref="W10:AA10" si="12">W$4*PI()*($O10/20)^2</f>
        <v>3.141592654</v>
      </c>
      <c r="X10" s="39">
        <f t="shared" si="12"/>
        <v>6.283185307</v>
      </c>
      <c r="Y10" s="39">
        <f t="shared" si="12"/>
        <v>9.424777961</v>
      </c>
      <c r="Z10" s="39">
        <f t="shared" si="12"/>
        <v>12.56637061</v>
      </c>
      <c r="AA10" s="39">
        <f t="shared" si="12"/>
        <v>15.70796327</v>
      </c>
      <c r="AB10" s="34"/>
      <c r="AC10" s="1"/>
      <c r="AD10" s="35"/>
      <c r="AE10" s="36"/>
      <c r="AF10" s="1"/>
      <c r="AG10" s="1"/>
      <c r="AH10" s="1"/>
    </row>
    <row r="11" ht="14.25" customHeight="1">
      <c r="A11" s="1"/>
      <c r="B11" s="12"/>
      <c r="C11" s="37"/>
      <c r="D11" s="43" t="s">
        <v>24</v>
      </c>
      <c r="E11" s="44">
        <v>11.5</v>
      </c>
      <c r="F11" s="37"/>
      <c r="G11" s="16"/>
      <c r="H11" s="1"/>
      <c r="I11" s="5" t="s">
        <v>25</v>
      </c>
      <c r="J11" s="6"/>
      <c r="K11" s="1"/>
      <c r="L11" s="5" t="s">
        <v>26</v>
      </c>
      <c r="M11" s="6"/>
      <c r="N11" s="34"/>
      <c r="O11" s="38">
        <v>22.0</v>
      </c>
      <c r="P11" s="39">
        <f t="shared" ref="P11:T11" si="13">P$4*PI()*($O11/20)^2</f>
        <v>3.801327111</v>
      </c>
      <c r="Q11" s="39">
        <f t="shared" si="13"/>
        <v>7.602654222</v>
      </c>
      <c r="R11" s="39">
        <f t="shared" si="13"/>
        <v>11.40398133</v>
      </c>
      <c r="S11" s="39">
        <f t="shared" si="13"/>
        <v>15.20530844</v>
      </c>
      <c r="T11" s="39">
        <f t="shared" si="13"/>
        <v>19.00663555</v>
      </c>
      <c r="U11" s="1"/>
      <c r="V11" s="38">
        <v>22.0</v>
      </c>
      <c r="W11" s="39">
        <f t="shared" ref="W11:AA11" si="14">W$4*PI()*($O11/20)^2</f>
        <v>3.801327111</v>
      </c>
      <c r="X11" s="39">
        <f t="shared" si="14"/>
        <v>7.602654222</v>
      </c>
      <c r="Y11" s="39">
        <f t="shared" si="14"/>
        <v>11.40398133</v>
      </c>
      <c r="Z11" s="39">
        <f t="shared" si="14"/>
        <v>15.20530844</v>
      </c>
      <c r="AA11" s="39">
        <f t="shared" si="14"/>
        <v>19.00663555</v>
      </c>
      <c r="AB11" s="34"/>
      <c r="AC11" s="1"/>
      <c r="AD11" s="35"/>
      <c r="AE11" s="36"/>
      <c r="AF11" s="1"/>
      <c r="AG11" s="1"/>
      <c r="AH11" s="1"/>
    </row>
    <row r="12" ht="14.25" customHeight="1">
      <c r="A12" s="1"/>
      <c r="B12" s="12"/>
      <c r="C12" s="37"/>
      <c r="D12" s="28" t="s">
        <v>27</v>
      </c>
      <c r="E12" s="41">
        <v>2.5</v>
      </c>
      <c r="F12" s="37"/>
      <c r="G12" s="16"/>
      <c r="H12" s="1"/>
      <c r="I12" s="28" t="s">
        <v>28</v>
      </c>
      <c r="J12" s="29">
        <f>J4*J5*J3*J8*J16*E8+MIN(J3*J4*J5*J8*J16*(E7-E8),J4*J5*J8*E9*(E7-E8))-M12*J9+M13*J9</f>
        <v>-20.27452048</v>
      </c>
      <c r="K12" s="1"/>
      <c r="L12" s="28" t="s">
        <v>29</v>
      </c>
      <c r="M12" s="45">
        <v>1.3063648747617884</v>
      </c>
      <c r="N12" s="34"/>
      <c r="O12" s="38">
        <v>25.0</v>
      </c>
      <c r="P12" s="39">
        <f t="shared" ref="P12:T12" si="15">P$4*PI()*($O12/20)^2</f>
        <v>4.908738521</v>
      </c>
      <c r="Q12" s="39">
        <f t="shared" si="15"/>
        <v>9.817477042</v>
      </c>
      <c r="R12" s="39">
        <f t="shared" si="15"/>
        <v>14.72621556</v>
      </c>
      <c r="S12" s="39">
        <f t="shared" si="15"/>
        <v>19.63495408</v>
      </c>
      <c r="T12" s="39">
        <f t="shared" si="15"/>
        <v>24.54369261</v>
      </c>
      <c r="U12" s="1"/>
      <c r="V12" s="38">
        <v>25.0</v>
      </c>
      <c r="W12" s="39">
        <f t="shared" ref="W12:AA12" si="16">W$4*PI()*($O12/20)^2</f>
        <v>4.908738521</v>
      </c>
      <c r="X12" s="39">
        <f t="shared" si="16"/>
        <v>9.817477042</v>
      </c>
      <c r="Y12" s="39">
        <f t="shared" si="16"/>
        <v>14.72621556</v>
      </c>
      <c r="Z12" s="39">
        <f t="shared" si="16"/>
        <v>19.63495408</v>
      </c>
      <c r="AA12" s="39">
        <f t="shared" si="16"/>
        <v>24.54369261</v>
      </c>
      <c r="AB12" s="34"/>
      <c r="AC12" s="1"/>
      <c r="AD12" s="35"/>
      <c r="AE12" s="36"/>
      <c r="AF12" s="1"/>
      <c r="AG12" s="1"/>
      <c r="AH12" s="1"/>
    </row>
    <row r="13" ht="14.25" customHeight="1">
      <c r="A13" s="1"/>
      <c r="B13" s="12"/>
      <c r="C13" s="37"/>
      <c r="D13" s="37"/>
      <c r="E13" s="37"/>
      <c r="F13" s="37"/>
      <c r="G13" s="16"/>
      <c r="H13" s="1"/>
      <c r="I13" s="28" t="s">
        <v>30</v>
      </c>
      <c r="J13" s="29">
        <f>-(J3*J4*J5*J8*E8*J16*(E11-J3*J16/2)+MINA(J3*J4*J5*J8*J16*(E7-E8)*(E11-J3*J16/2),J4*J5*J8*E9*(E7-E8)*(E11-E9/2))+M13*M9*(E11-E12))+E15</f>
        <v>105.9426093</v>
      </c>
      <c r="K13" s="1"/>
      <c r="L13" s="46" t="s">
        <v>31</v>
      </c>
      <c r="M13" s="45">
        <v>0.0</v>
      </c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35"/>
      <c r="AE13" s="36"/>
      <c r="AF13" s="1"/>
      <c r="AG13" s="1"/>
      <c r="AH13" s="1"/>
    </row>
    <row r="14" ht="14.25" customHeight="1">
      <c r="A14" s="1"/>
      <c r="B14" s="12"/>
      <c r="C14" s="37"/>
      <c r="D14" s="5" t="s">
        <v>32</v>
      </c>
      <c r="E14" s="6"/>
      <c r="F14" s="37"/>
      <c r="G14" s="16"/>
      <c r="H14" s="1"/>
      <c r="I14" s="1"/>
      <c r="J14" s="1"/>
      <c r="K14" s="1"/>
      <c r="L14" s="1"/>
      <c r="M14" s="1"/>
      <c r="N14" s="10"/>
      <c r="O14" s="40" t="str">
        <f>"Armadura Adotada (As1 = "&amp;TEXT(P15*PI()*(Q15/20)^2+R15*PI()*(S15/20)^2,"0,00")&amp;" cm²)"</f>
        <v>Armadura Adotada (As1 = 008 cm²)</v>
      </c>
      <c r="P14" s="47"/>
      <c r="Q14" s="47"/>
      <c r="R14" s="47"/>
      <c r="S14" s="47"/>
      <c r="T14" s="8"/>
      <c r="U14" s="1"/>
      <c r="V14" s="40" t="str">
        <f>"Armadura Adotada (As2 = "&amp;TEXT(W15*PI()*(X15/20)^2+Y15*PI()*(Z15/20)^2,"0,00")&amp;" cm²)"</f>
        <v>Armadura Adotada (As2 = 001 cm²)</v>
      </c>
      <c r="W14" s="47"/>
      <c r="X14" s="47"/>
      <c r="Y14" s="47"/>
      <c r="Z14" s="47"/>
      <c r="AA14" s="8"/>
      <c r="AB14" s="1"/>
      <c r="AC14" s="1"/>
      <c r="AD14" s="35"/>
      <c r="AE14" s="36"/>
      <c r="AF14" s="1"/>
      <c r="AG14" s="1"/>
      <c r="AH14" s="1"/>
    </row>
    <row r="15" ht="14.25" customHeight="1">
      <c r="A15" s="1"/>
      <c r="B15" s="12"/>
      <c r="C15" s="37"/>
      <c r="D15" s="28" t="s">
        <v>33</v>
      </c>
      <c r="E15" s="48">
        <v>517.0</v>
      </c>
      <c r="F15" s="37"/>
      <c r="G15" s="16"/>
      <c r="H15" s="1"/>
      <c r="I15" s="5" t="s">
        <v>34</v>
      </c>
      <c r="J15" s="6"/>
      <c r="K15" s="1"/>
      <c r="L15" s="5" t="s">
        <v>35</v>
      </c>
      <c r="M15" s="6"/>
      <c r="N15" s="49"/>
      <c r="O15" s="28"/>
      <c r="P15" s="50">
        <v>2.0</v>
      </c>
      <c r="Q15" s="51">
        <v>20.0</v>
      </c>
      <c r="R15" s="52">
        <v>1.0</v>
      </c>
      <c r="S15" s="53">
        <v>16.0</v>
      </c>
      <c r="T15" s="54"/>
      <c r="U15" s="1"/>
      <c r="V15" s="28"/>
      <c r="W15" s="50">
        <v>0.0</v>
      </c>
      <c r="X15" s="51">
        <v>6.3</v>
      </c>
      <c r="Y15" s="52">
        <v>1.0</v>
      </c>
      <c r="Z15" s="53">
        <v>10.0</v>
      </c>
      <c r="AA15" s="54"/>
      <c r="AB15" s="1"/>
      <c r="AC15" s="1"/>
      <c r="AD15" s="35"/>
      <c r="AE15" s="36"/>
      <c r="AF15" s="1"/>
      <c r="AG15" s="1"/>
      <c r="AH15" s="1"/>
    </row>
    <row r="16" ht="14.25" customHeight="1">
      <c r="A16" s="1"/>
      <c r="B16" s="12"/>
      <c r="C16" s="37"/>
      <c r="D16" s="37"/>
      <c r="E16" s="37"/>
      <c r="F16" s="37"/>
      <c r="G16" s="16"/>
      <c r="H16" s="1"/>
      <c r="I16" s="17" t="s">
        <v>36</v>
      </c>
      <c r="J16" s="55">
        <v>0.6138479384130145</v>
      </c>
      <c r="K16" s="1"/>
      <c r="L16" s="46" t="s">
        <v>37</v>
      </c>
      <c r="M16" s="56">
        <f>(E8*E10^3/3+(E7-E8)*E9^3/3-(E8*E10+(E7-E8)*E9)*((E8*E10*E10/2+(E7-E8)*E9*E9/2)/(E8*E10+(E7-E8)*E9))^2)/(E10-(E8*E10*E10/2+(E7-E8)*E9*E9/2)/(E8*E10+(E7-E8)*E9))</f>
        <v>359.6644235</v>
      </c>
      <c r="N16" s="57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35"/>
      <c r="AE16" s="36"/>
      <c r="AF16" s="1"/>
      <c r="AG16" s="1"/>
      <c r="AH16" s="1"/>
    </row>
    <row r="17" ht="14.25" customHeight="1">
      <c r="A17" s="1"/>
      <c r="B17" s="12"/>
      <c r="C17" s="37"/>
      <c r="D17" s="5" t="s">
        <v>38</v>
      </c>
      <c r="E17" s="6"/>
      <c r="F17" s="37"/>
      <c r="G17" s="16"/>
      <c r="H17" s="1"/>
      <c r="I17" s="28" t="s">
        <v>39</v>
      </c>
      <c r="J17" s="58">
        <f>3.5/13.5*E11</f>
        <v>2.981481481</v>
      </c>
      <c r="K17" s="1"/>
      <c r="L17" s="28" t="s">
        <v>33</v>
      </c>
      <c r="M17" s="59">
        <f>0.8*M16*1.3*0.3*(E18*10)^(2/3)/10</f>
        <v>95.94273203</v>
      </c>
      <c r="N17" s="60"/>
      <c r="O17" s="5" t="s">
        <v>40</v>
      </c>
      <c r="P17" s="9"/>
      <c r="Q17" s="9"/>
      <c r="R17" s="6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35"/>
      <c r="AE17" s="36"/>
      <c r="AF17" s="1"/>
      <c r="AG17" s="1"/>
      <c r="AH17" s="1"/>
    </row>
    <row r="18" ht="14.25" customHeight="1">
      <c r="A18" s="1"/>
      <c r="B18" s="12"/>
      <c r="C18" s="37"/>
      <c r="D18" s="28" t="s">
        <v>41</v>
      </c>
      <c r="E18" s="61">
        <v>2.5</v>
      </c>
      <c r="F18" s="37"/>
      <c r="G18" s="16"/>
      <c r="H18" s="1"/>
      <c r="I18" s="28" t="s">
        <v>42</v>
      </c>
      <c r="J18" s="58">
        <f>IF(E18&lt;=5,(E22-0.4375)*E11/1.25,(E22-0.5625)*E11/1.25)</f>
        <v>5.175</v>
      </c>
      <c r="K18" s="1"/>
      <c r="L18" s="17" t="s">
        <v>36</v>
      </c>
      <c r="M18" s="55">
        <f>E11/J3*(1-(1-2*M17/(J4*J5*J8*E7*E11^2))^0.5)</f>
        <v>0.1409064998</v>
      </c>
      <c r="N18" s="62"/>
      <c r="O18" s="28" t="s">
        <v>43</v>
      </c>
      <c r="P18" s="63">
        <f>0.25*0.15*(E18*10)^(2/3)/10*MAX(1.6-E11/100,1)*(1.2+40*MIN((P15*PI()*(Q15/20)^2+R15*PI()*(S15/20)^2)/(E8*E11),0.02))*E8*E11</f>
        <v>9.855713552</v>
      </c>
      <c r="Q18" s="9"/>
      <c r="R18" s="6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35"/>
      <c r="AE18" s="36"/>
      <c r="AF18" s="1"/>
      <c r="AG18" s="1"/>
      <c r="AH18" s="1"/>
    </row>
    <row r="19" ht="14.25" customHeight="1">
      <c r="A19" s="1"/>
      <c r="B19" s="12"/>
      <c r="C19" s="37"/>
      <c r="D19" s="28" t="s">
        <v>44</v>
      </c>
      <c r="E19" s="61">
        <v>50.0</v>
      </c>
      <c r="F19" s="37"/>
      <c r="G19" s="16"/>
      <c r="H19" s="1"/>
      <c r="I19" s="5" t="str">
        <f>IF(J16&lt;0,"Domínio 1",IF(J16&lt;0.259*E11,"Domínio 2",IF(J16&lt;0.629*E11,"Domínio 3",IF(J16&lt;E11,"Domínio 4","Domínio 5"))))</f>
        <v>Domínio 2</v>
      </c>
      <c r="J19" s="6"/>
      <c r="K19" s="1"/>
      <c r="L19" s="46" t="s">
        <v>29</v>
      </c>
      <c r="M19" s="45">
        <f>MAX(J4*J5*J3*J8*E7*M18/J9,0.15/100*(E8*E10+(E7-E8)*E9))</f>
        <v>0.4755</v>
      </c>
      <c r="N19" s="64"/>
      <c r="O19" s="1"/>
      <c r="P19" s="1"/>
      <c r="Q19" s="11"/>
      <c r="R19" s="65"/>
      <c r="S19" s="1"/>
      <c r="T19" s="66"/>
      <c r="U19" s="1"/>
      <c r="V19" s="1"/>
      <c r="W19" s="1"/>
      <c r="X19" s="1"/>
      <c r="Y19" s="1"/>
      <c r="Z19" s="1"/>
      <c r="AA19" s="1"/>
      <c r="AB19" s="1"/>
      <c r="AC19" s="1"/>
      <c r="AD19" s="35"/>
      <c r="AE19" s="36"/>
      <c r="AF19" s="1"/>
      <c r="AG19" s="1"/>
      <c r="AH19" s="1"/>
    </row>
    <row r="20" ht="14.25" customHeight="1">
      <c r="A20" s="1"/>
      <c r="B20" s="12"/>
      <c r="C20" s="37"/>
      <c r="D20" s="37"/>
      <c r="E20" s="67"/>
      <c r="F20" s="37"/>
      <c r="G20" s="16"/>
      <c r="H20" s="1"/>
      <c r="I20" s="24"/>
      <c r="J20" s="24"/>
      <c r="K20" s="1"/>
      <c r="L20" s="68"/>
      <c r="M20" s="69"/>
      <c r="N20" s="64"/>
      <c r="O20" s="1"/>
      <c r="P20" s="1"/>
      <c r="Q20" s="11"/>
      <c r="R20" s="65"/>
      <c r="S20" s="1"/>
      <c r="T20" s="66"/>
      <c r="U20" s="1"/>
      <c r="V20" s="1"/>
      <c r="W20" s="1"/>
      <c r="X20" s="1"/>
      <c r="Y20" s="1"/>
      <c r="Z20" s="1"/>
      <c r="AA20" s="1"/>
      <c r="AB20" s="1"/>
      <c r="AC20" s="1"/>
      <c r="AD20" s="35"/>
      <c r="AE20" s="36"/>
      <c r="AF20" s="1"/>
      <c r="AG20" s="1"/>
      <c r="AH20" s="1"/>
    </row>
    <row r="21" ht="14.25" customHeight="1">
      <c r="A21" s="1"/>
      <c r="B21" s="12"/>
      <c r="C21" s="37"/>
      <c r="D21" s="5" t="s">
        <v>45</v>
      </c>
      <c r="E21" s="6"/>
      <c r="F21" s="37"/>
      <c r="G21" s="16"/>
      <c r="H21" s="1"/>
      <c r="I21" s="5" t="s">
        <v>46</v>
      </c>
      <c r="J21" s="6"/>
      <c r="K21" s="1"/>
      <c r="L21" s="70" t="str">
        <f>IF(E15&gt;J23,"Armadura Dupla",IF(E15&gt;J22,"Armadura Simples","Armadura Mínima"))</f>
        <v>Armadura Simples</v>
      </c>
      <c r="M21" s="71"/>
      <c r="N21" s="64"/>
      <c r="O21" s="1"/>
      <c r="P21" s="1"/>
      <c r="Q21" s="11"/>
      <c r="R21" s="65"/>
      <c r="S21" s="1"/>
      <c r="T21" s="66"/>
      <c r="U21" s="1"/>
      <c r="V21" s="1"/>
      <c r="W21" s="1"/>
      <c r="X21" s="1"/>
      <c r="Y21" s="1"/>
      <c r="Z21" s="1"/>
      <c r="AA21" s="1"/>
      <c r="AB21" s="1"/>
      <c r="AC21" s="1"/>
      <c r="AD21" s="35"/>
      <c r="AE21" s="36"/>
      <c r="AF21" s="1"/>
      <c r="AG21" s="1"/>
      <c r="AH21" s="1"/>
    </row>
    <row r="22" ht="14.25" customHeight="1">
      <c r="A22" s="1"/>
      <c r="B22" s="12"/>
      <c r="C22" s="37"/>
      <c r="D22" s="28" t="s">
        <v>47</v>
      </c>
      <c r="E22" s="72">
        <v>1.0</v>
      </c>
      <c r="F22" s="37"/>
      <c r="G22" s="16"/>
      <c r="H22" s="1"/>
      <c r="I22" s="28" t="s">
        <v>48</v>
      </c>
      <c r="J22" s="59">
        <f>M17</f>
        <v>95.94273203</v>
      </c>
      <c r="K22" s="1"/>
      <c r="L22" s="73"/>
      <c r="M22" s="74"/>
      <c r="N22" s="64"/>
      <c r="O22" s="1"/>
      <c r="P22" s="1"/>
      <c r="Q22" s="11"/>
      <c r="R22" s="65"/>
      <c r="S22" s="1"/>
      <c r="T22" s="66"/>
      <c r="U22" s="1"/>
      <c r="V22" s="1"/>
      <c r="W22" s="1"/>
      <c r="X22" s="1"/>
      <c r="Y22" s="1"/>
      <c r="Z22" s="1"/>
      <c r="AA22" s="1"/>
      <c r="AB22" s="1"/>
      <c r="AC22" s="1"/>
      <c r="AD22" s="35"/>
      <c r="AE22" s="36"/>
      <c r="AF22" s="1"/>
      <c r="AG22" s="1"/>
      <c r="AH22" s="1"/>
    </row>
    <row r="23" ht="14.25" customHeight="1">
      <c r="A23" s="1"/>
      <c r="B23" s="75"/>
      <c r="C23" s="76"/>
      <c r="D23" s="76"/>
      <c r="E23" s="76"/>
      <c r="F23" s="76"/>
      <c r="G23" s="77"/>
      <c r="H23" s="1"/>
      <c r="I23" s="28" t="s">
        <v>49</v>
      </c>
      <c r="J23" s="59">
        <f>J4*J5*J8*J3*J18*E8*(E11-J3*J18/2)+J4*J5*J8*E9*(E7-E8)*(E11-E9/2)</f>
        <v>3265.459875</v>
      </c>
      <c r="K23" s="78"/>
      <c r="L23" s="79"/>
      <c r="M23" s="80"/>
      <c r="N23" s="1"/>
      <c r="O23" s="78"/>
      <c r="P23" s="81"/>
      <c r="Q23" s="78"/>
      <c r="R23" s="81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1"/>
      <c r="AH23" s="1"/>
    </row>
    <row r="24" ht="14.25" customHeight="1">
      <c r="A24" s="1"/>
      <c r="B24" s="1"/>
      <c r="C24" s="1"/>
      <c r="D24" s="82"/>
      <c r="E24" s="82"/>
      <c r="F24" s="1"/>
      <c r="G24" s="1"/>
      <c r="H24" s="1"/>
      <c r="I24" s="1"/>
      <c r="J24" s="78"/>
      <c r="K24" s="78"/>
      <c r="L24" s="1"/>
      <c r="M24" s="1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  <c r="AA24" s="78"/>
      <c r="AB24" s="78"/>
      <c r="AC24" s="78"/>
      <c r="AD24" s="78"/>
      <c r="AE24" s="78"/>
      <c r="AF24" s="78"/>
      <c r="AG24" s="1"/>
      <c r="AH24" s="1"/>
    </row>
    <row r="25" ht="14.25" customHeight="1">
      <c r="A25" s="1"/>
      <c r="B25" s="1"/>
      <c r="C25" s="1"/>
      <c r="D25" s="11"/>
      <c r="E25" s="11"/>
      <c r="F25" s="1"/>
      <c r="G25" s="1"/>
      <c r="H25" s="1"/>
      <c r="I25" s="1"/>
      <c r="J25" s="78"/>
      <c r="K25" s="78"/>
      <c r="L25" s="1"/>
      <c r="M25" s="1"/>
      <c r="N25" s="78"/>
      <c r="O25" s="78"/>
      <c r="P25" s="78"/>
      <c r="Q25" s="78"/>
      <c r="R25" s="78"/>
      <c r="S25" s="78"/>
      <c r="T25" s="78"/>
      <c r="U25" s="78"/>
      <c r="V25" s="78"/>
      <c r="W25" s="78"/>
      <c r="X25" s="78"/>
      <c r="Y25" s="78"/>
      <c r="Z25" s="78"/>
      <c r="AA25" s="78"/>
      <c r="AB25" s="78"/>
      <c r="AC25" s="78"/>
      <c r="AD25" s="78"/>
      <c r="AE25" s="78"/>
      <c r="AF25" s="78"/>
      <c r="AG25" s="1"/>
      <c r="AH25" s="1"/>
    </row>
    <row r="26" ht="14.2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</row>
    <row r="27" ht="14.25" customHeigh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</row>
    <row r="28" ht="14.25" customHeigh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</row>
    <row r="29" ht="14.25" customHeight="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</row>
    <row r="30" ht="14.25" customHeigh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</row>
    <row r="31" ht="14.2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ht="14.2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</row>
    <row r="33" ht="14.2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</row>
    <row r="34" ht="14.25" customHeigh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</row>
    <row r="35" ht="14.25" customHeigh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</row>
    <row r="36" ht="14.25" customHeigh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</row>
    <row r="37" ht="14.25" customHeigh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</row>
    <row r="38" ht="14.25" customHeigh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</row>
    <row r="39" ht="14.2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</row>
    <row r="40" ht="14.2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</row>
    <row r="41" ht="14.2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57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</row>
    <row r="42" ht="14.2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</row>
    <row r="43" ht="14.2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ht="14.2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ht="14.2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</row>
    <row r="46" ht="14.2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</row>
    <row r="47" ht="14.2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</row>
    <row r="48" ht="14.2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</row>
    <row r="49" ht="14.2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</row>
    <row r="50" ht="14.2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</row>
    <row r="51" ht="14.2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</row>
    <row r="52" ht="14.2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</row>
    <row r="53" ht="14.2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</row>
    <row r="54" ht="14.2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</row>
    <row r="55" ht="14.2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ht="14.2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ht="14.2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</row>
    <row r="58" ht="14.2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</row>
    <row r="59" ht="14.2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</row>
    <row r="60" ht="14.2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</row>
    <row r="61" ht="14.2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</row>
    <row r="62" ht="14.2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</row>
    <row r="63" ht="14.2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</row>
    <row r="64" ht="14.2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</row>
    <row r="65" ht="14.2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</row>
    <row r="66" ht="14.2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</row>
    <row r="67" ht="14.2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</row>
    <row r="68" ht="14.2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</row>
    <row r="69" ht="14.2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</row>
    <row r="70" ht="14.2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</row>
    <row r="71" ht="14.2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</row>
    <row r="72" ht="14.2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</row>
    <row r="73" ht="14.2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</row>
    <row r="74" ht="14.2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</row>
    <row r="75" ht="14.2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</row>
    <row r="76" ht="14.2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</row>
    <row r="77" ht="14.2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</row>
    <row r="78" ht="14.2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</row>
    <row r="79" ht="14.2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</row>
    <row r="80" ht="14.2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</row>
    <row r="81" ht="14.2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</row>
    <row r="82" ht="14.2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</row>
    <row r="83" ht="14.2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</row>
    <row r="84" ht="14.2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</row>
    <row r="85" ht="14.2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</row>
    <row r="86" ht="14.2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</row>
    <row r="87" ht="14.2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</row>
    <row r="88" ht="14.2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</row>
    <row r="89" ht="14.2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</row>
    <row r="90" ht="14.2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</row>
    <row r="91" ht="14.2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</row>
    <row r="92" ht="14.2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</row>
    <row r="93" ht="14.2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</row>
    <row r="94" ht="14.2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</row>
    <row r="95" ht="14.2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</row>
    <row r="96" ht="14.2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</row>
    <row r="97" ht="14.2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</row>
    <row r="98" ht="14.2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</row>
    <row r="99" ht="14.2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</row>
    <row r="100" ht="14.2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</row>
    <row r="101" ht="14.2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</row>
    <row r="102" ht="14.2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</row>
    <row r="103" ht="14.2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</row>
    <row r="104" ht="14.2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</row>
    <row r="105" ht="14.2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</row>
    <row r="106" ht="14.2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</row>
    <row r="107" ht="14.2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</row>
    <row r="108" ht="14.2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</row>
    <row r="109" ht="14.2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</row>
    <row r="110" ht="14.2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</row>
    <row r="111" ht="14.2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</row>
    <row r="112" ht="14.2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</row>
    <row r="113" ht="14.2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</row>
    <row r="114" ht="14.2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</row>
    <row r="115" ht="14.2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</row>
    <row r="116" ht="14.2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</row>
    <row r="117" ht="14.2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</row>
    <row r="118" ht="14.2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</row>
    <row r="119" ht="14.2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</row>
    <row r="120" ht="14.2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</row>
    <row r="121" ht="14.2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</row>
    <row r="122" ht="14.2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</row>
    <row r="123" ht="14.2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</row>
    <row r="124" ht="14.2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</row>
    <row r="125" ht="14.2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</row>
    <row r="126" ht="14.2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</row>
    <row r="127" ht="14.2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</row>
    <row r="128" ht="14.2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</row>
    <row r="129" ht="14.2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</row>
    <row r="130" ht="14.2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</row>
    <row r="131" ht="14.2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</row>
    <row r="132" ht="14.2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</row>
    <row r="133" ht="14.2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</row>
    <row r="134" ht="14.2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</row>
    <row r="135" ht="14.2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</row>
    <row r="136" ht="14.2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</row>
    <row r="137" ht="14.2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</row>
    <row r="138" ht="14.2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</row>
    <row r="139" ht="14.2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</row>
    <row r="140" ht="14.2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</row>
    <row r="141" ht="14.2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</row>
    <row r="142" ht="14.2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</row>
    <row r="143" ht="14.2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</row>
    <row r="144" ht="14.2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</row>
    <row r="145" ht="14.2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</row>
    <row r="146" ht="14.2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</row>
    <row r="147" ht="14.2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</row>
    <row r="148" ht="14.2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</row>
    <row r="149" ht="14.2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</row>
    <row r="150" ht="14.2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</row>
    <row r="151" ht="14.2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</row>
    <row r="152" ht="14.2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</row>
    <row r="153" ht="14.2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</row>
    <row r="154" ht="14.2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</row>
    <row r="155" ht="14.2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</row>
    <row r="156" ht="14.2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</row>
    <row r="157" ht="14.2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</row>
    <row r="158" ht="14.2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</row>
    <row r="159" ht="14.2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</row>
    <row r="160" ht="14.2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</row>
    <row r="161" ht="14.2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</row>
    <row r="162" ht="14.2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</row>
    <row r="163" ht="14.2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</row>
    <row r="164" ht="14.2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</row>
    <row r="165" ht="14.2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</row>
    <row r="166" ht="14.2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</row>
    <row r="167" ht="14.2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</row>
    <row r="168" ht="14.2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</row>
    <row r="169" ht="14.2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</row>
    <row r="170" ht="14.2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</row>
    <row r="171" ht="14.2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</row>
    <row r="172" ht="14.2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</row>
    <row r="173" ht="14.2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</row>
    <row r="174" ht="14.2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</row>
    <row r="175" ht="14.2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</row>
    <row r="176" ht="14.2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</row>
    <row r="177" ht="14.2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</row>
    <row r="178" ht="14.2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</row>
    <row r="179" ht="14.2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</row>
    <row r="180" ht="14.2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</row>
    <row r="181" ht="14.2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</row>
    <row r="182" ht="14.2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</row>
    <row r="183" ht="14.2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</row>
    <row r="184" ht="14.2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</row>
    <row r="185" ht="14.2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</row>
    <row r="186" ht="14.2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</row>
    <row r="187" ht="14.2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</row>
    <row r="188" ht="14.2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</row>
    <row r="189" ht="14.2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</row>
    <row r="190" ht="14.2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</row>
    <row r="191" ht="14.2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</row>
    <row r="192" ht="14.2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</row>
    <row r="193" ht="14.2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</row>
    <row r="194" ht="14.2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</row>
    <row r="195" ht="14.2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</row>
    <row r="196" ht="14.2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</row>
    <row r="197" ht="14.2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</row>
    <row r="198" ht="14.2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</row>
    <row r="199" ht="14.2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</row>
    <row r="200" ht="14.2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</row>
    <row r="201" ht="14.2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</row>
    <row r="202" ht="14.2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</row>
    <row r="203" ht="14.2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</row>
    <row r="204" ht="14.2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</row>
    <row r="205" ht="14.2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</row>
    <row r="206" ht="14.2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</row>
    <row r="207" ht="14.2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</row>
    <row r="208" ht="14.2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</row>
    <row r="209" ht="14.2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</row>
    <row r="210" ht="14.2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</row>
    <row r="211" ht="14.2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</row>
    <row r="212" ht="14.2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</row>
    <row r="213" ht="14.2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</row>
    <row r="214" ht="14.2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</row>
    <row r="215" ht="14.2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</row>
    <row r="216" ht="14.2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</row>
    <row r="217" ht="14.2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</row>
    <row r="218" ht="14.2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</row>
    <row r="219" ht="14.2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</row>
    <row r="220" ht="14.2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</row>
    <row r="221" ht="14.2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</row>
    <row r="222" ht="14.2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</row>
    <row r="223" ht="14.2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</row>
    <row r="224" ht="14.2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</row>
    <row r="225" ht="14.2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</row>
    <row r="226" ht="14.2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</row>
    <row r="227" ht="14.2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</row>
    <row r="228" ht="14.2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</row>
    <row r="229" ht="14.2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</row>
    <row r="230" ht="14.2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</row>
    <row r="231" ht="14.2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</row>
    <row r="232" ht="14.2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</row>
    <row r="233" ht="14.2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</row>
    <row r="234" ht="14.2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</row>
    <row r="235" ht="14.2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</row>
    <row r="236" ht="14.2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</row>
    <row r="237" ht="14.2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</row>
    <row r="238" ht="14.2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</row>
    <row r="239" ht="14.2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</row>
    <row r="240" ht="14.2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</row>
    <row r="241" ht="14.2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</row>
    <row r="242" ht="14.2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</row>
    <row r="243" ht="14.2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</row>
    <row r="244" ht="14.2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</row>
    <row r="245" ht="14.2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</row>
    <row r="246" ht="14.2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</row>
    <row r="247" ht="14.2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</row>
    <row r="248" ht="14.2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</row>
    <row r="249" ht="14.2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</row>
    <row r="250" ht="14.2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</row>
    <row r="251" ht="14.2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</row>
    <row r="252" ht="14.2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</row>
    <row r="253" ht="14.2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</row>
    <row r="254" ht="14.2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</row>
    <row r="255" ht="14.2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</row>
    <row r="256" ht="14.2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</row>
    <row r="257" ht="14.2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</row>
    <row r="258" ht="14.2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</row>
    <row r="259" ht="14.2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</row>
    <row r="260" ht="14.2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</row>
    <row r="261" ht="14.2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</row>
    <row r="262" ht="14.2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</row>
    <row r="263" ht="14.2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</row>
    <row r="264" ht="14.2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</row>
    <row r="265" ht="14.2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</row>
    <row r="266" ht="14.2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</row>
    <row r="267" ht="14.2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</row>
    <row r="268" ht="14.2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</row>
    <row r="269" ht="14.2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</row>
    <row r="270" ht="14.2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</row>
    <row r="271" ht="14.2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</row>
    <row r="272" ht="14.2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</row>
    <row r="273" ht="14.2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</row>
    <row r="274" ht="14.2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</row>
    <row r="275" ht="14.2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</row>
    <row r="276" ht="14.2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</row>
    <row r="277" ht="14.2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</row>
    <row r="278" ht="14.2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</row>
    <row r="279" ht="14.2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</row>
    <row r="280" ht="14.2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</row>
    <row r="281" ht="14.2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</row>
    <row r="282" ht="14.2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</row>
    <row r="283" ht="14.2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</row>
    <row r="284" ht="14.2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</row>
    <row r="285" ht="14.2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</row>
    <row r="286" ht="14.2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</row>
    <row r="287" ht="14.2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</row>
    <row r="288" ht="14.2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</row>
    <row r="289" ht="14.2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</row>
    <row r="290" ht="14.2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</row>
    <row r="291" ht="14.2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</row>
    <row r="292" ht="14.2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</row>
    <row r="293" ht="14.2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</row>
    <row r="294" ht="14.2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</row>
    <row r="295" ht="14.2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</row>
    <row r="296" ht="14.2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</row>
    <row r="297" ht="14.2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</row>
    <row r="298" ht="14.2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</row>
    <row r="299" ht="14.2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</row>
    <row r="300" ht="14.2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</row>
    <row r="301" ht="14.2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</row>
    <row r="302" ht="14.2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</row>
    <row r="303" ht="14.2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</row>
    <row r="304" ht="14.2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</row>
    <row r="305" ht="14.2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</row>
    <row r="306" ht="14.2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</row>
    <row r="307" ht="14.2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</row>
    <row r="308" ht="14.2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</row>
    <row r="309" ht="14.2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</row>
    <row r="310" ht="14.2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</row>
    <row r="311" ht="14.2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</row>
    <row r="312" ht="14.2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</row>
    <row r="313" ht="14.2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</row>
    <row r="314" ht="14.2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</row>
    <row r="315" ht="14.2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</row>
    <row r="316" ht="14.2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</row>
    <row r="317" ht="14.2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</row>
    <row r="318" ht="14.2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</row>
    <row r="319" ht="14.2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</row>
    <row r="320" ht="14.2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</row>
    <row r="321" ht="14.2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</row>
    <row r="322" ht="14.2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</row>
    <row r="323" ht="14.2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</row>
    <row r="324" ht="14.2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</row>
    <row r="325" ht="14.2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</row>
    <row r="326" ht="14.2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</row>
    <row r="327" ht="14.2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</row>
    <row r="328" ht="14.2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</row>
    <row r="329" ht="14.2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</row>
    <row r="330" ht="14.2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</row>
    <row r="331" ht="14.2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</row>
    <row r="332" ht="14.2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</row>
    <row r="333" ht="14.2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</row>
    <row r="334" ht="14.2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</row>
    <row r="335" ht="14.2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</row>
    <row r="336" ht="14.2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</row>
    <row r="337" ht="14.2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</row>
    <row r="338" ht="14.2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</row>
    <row r="339" ht="14.2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</row>
    <row r="340" ht="14.2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</row>
    <row r="341" ht="14.2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</row>
    <row r="342" ht="14.2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</row>
    <row r="343" ht="14.2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</row>
    <row r="344" ht="14.2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</row>
    <row r="345" ht="14.2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</row>
    <row r="346" ht="14.2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</row>
    <row r="347" ht="14.2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</row>
    <row r="348" ht="14.2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</row>
    <row r="349" ht="14.2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</row>
    <row r="350" ht="14.2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</row>
    <row r="351" ht="14.2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</row>
    <row r="352" ht="14.2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</row>
    <row r="353" ht="14.2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</row>
    <row r="354" ht="14.2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</row>
    <row r="355" ht="14.2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</row>
    <row r="356" ht="14.2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</row>
    <row r="357" ht="14.2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</row>
    <row r="358" ht="14.2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</row>
    <row r="359" ht="14.2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</row>
    <row r="360" ht="14.2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</row>
    <row r="361" ht="14.2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</row>
    <row r="362" ht="14.2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</row>
    <row r="363" ht="14.2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</row>
    <row r="364" ht="14.2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</row>
    <row r="365" ht="14.2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</row>
    <row r="366" ht="14.2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</row>
    <row r="367" ht="14.2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</row>
    <row r="368" ht="14.2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</row>
    <row r="369" ht="14.2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</row>
    <row r="370" ht="14.2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</row>
    <row r="371" ht="14.2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</row>
    <row r="372" ht="14.2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</row>
    <row r="373" ht="14.2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</row>
    <row r="374" ht="14.2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</row>
    <row r="375" ht="14.2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</row>
    <row r="376" ht="14.2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</row>
    <row r="377" ht="14.2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</row>
    <row r="378" ht="14.2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</row>
    <row r="379" ht="14.2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</row>
    <row r="380" ht="14.2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</row>
    <row r="381" ht="14.2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</row>
    <row r="382" ht="14.2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</row>
    <row r="383" ht="14.2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</row>
    <row r="384" ht="14.2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</row>
    <row r="385" ht="14.2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</row>
    <row r="386" ht="14.2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</row>
    <row r="387" ht="14.2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</row>
    <row r="388" ht="14.2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</row>
    <row r="389" ht="14.2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</row>
    <row r="390" ht="14.2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</row>
    <row r="391" ht="14.2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</row>
    <row r="392" ht="14.2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</row>
    <row r="393" ht="14.2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</row>
    <row r="394" ht="14.2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</row>
    <row r="395" ht="14.2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</row>
    <row r="396" ht="14.2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</row>
    <row r="397" ht="14.2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</row>
    <row r="398" ht="14.2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</row>
    <row r="399" ht="14.2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</row>
    <row r="400" ht="14.2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</row>
    <row r="401" ht="14.2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</row>
    <row r="402" ht="14.2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</row>
    <row r="403" ht="14.2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</row>
    <row r="404" ht="14.2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</row>
    <row r="405" ht="14.2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</row>
    <row r="406" ht="14.2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</row>
    <row r="407" ht="14.2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</row>
    <row r="408" ht="14.2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</row>
    <row r="409" ht="14.2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</row>
    <row r="410" ht="14.2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</row>
    <row r="411" ht="14.2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</row>
    <row r="412" ht="14.2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</row>
    <row r="413" ht="14.2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</row>
    <row r="414" ht="14.2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</row>
    <row r="415" ht="14.2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</row>
    <row r="416" ht="14.2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</row>
    <row r="417" ht="14.2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</row>
    <row r="418" ht="14.2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</row>
    <row r="419" ht="14.2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</row>
    <row r="420" ht="14.2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</row>
    <row r="421" ht="14.2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</row>
    <row r="422" ht="14.2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</row>
    <row r="423" ht="14.2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</row>
    <row r="424" ht="14.2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</row>
    <row r="425" ht="14.2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</row>
    <row r="426" ht="14.2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</row>
    <row r="427" ht="14.2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</row>
    <row r="428" ht="14.2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</row>
    <row r="429" ht="14.2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</row>
    <row r="430" ht="14.2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</row>
    <row r="431" ht="14.2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</row>
    <row r="432" ht="14.2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</row>
    <row r="433" ht="14.2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</row>
    <row r="434" ht="14.2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</row>
    <row r="435" ht="14.2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</row>
    <row r="436" ht="14.2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</row>
    <row r="437" ht="14.2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</row>
    <row r="438" ht="14.2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</row>
    <row r="439" ht="14.2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</row>
    <row r="440" ht="14.2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</row>
    <row r="441" ht="14.2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</row>
    <row r="442" ht="14.2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</row>
    <row r="443" ht="14.2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</row>
    <row r="444" ht="14.2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</row>
    <row r="445" ht="14.2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</row>
    <row r="446" ht="14.2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</row>
    <row r="447" ht="14.2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</row>
    <row r="448" ht="14.2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</row>
    <row r="449" ht="14.2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</row>
    <row r="450" ht="14.2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</row>
    <row r="451" ht="14.2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</row>
    <row r="452" ht="14.2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</row>
    <row r="453" ht="14.2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</row>
    <row r="454" ht="14.2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</row>
    <row r="455" ht="14.2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</row>
    <row r="456" ht="14.2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</row>
    <row r="457" ht="14.2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</row>
    <row r="458" ht="14.2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</row>
    <row r="459" ht="14.2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</row>
    <row r="460" ht="14.2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</row>
    <row r="461" ht="14.2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</row>
    <row r="462" ht="14.2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</row>
    <row r="463" ht="14.2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</row>
    <row r="464" ht="14.2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</row>
    <row r="465" ht="14.2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</row>
    <row r="466" ht="14.2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</row>
    <row r="467" ht="14.2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</row>
    <row r="468" ht="14.2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</row>
    <row r="469" ht="14.2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</row>
    <row r="470" ht="14.2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</row>
    <row r="471" ht="14.2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</row>
    <row r="472" ht="14.2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</row>
    <row r="473" ht="14.2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</row>
    <row r="474" ht="14.2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</row>
    <row r="475" ht="14.2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</row>
    <row r="476" ht="14.2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</row>
    <row r="477" ht="14.2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</row>
    <row r="478" ht="14.2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</row>
    <row r="479" ht="14.2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</row>
    <row r="480" ht="14.2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</row>
    <row r="481" ht="14.2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</row>
    <row r="482" ht="14.2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</row>
    <row r="483" ht="14.2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</row>
    <row r="484" ht="14.2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</row>
    <row r="485" ht="14.2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</row>
    <row r="486" ht="14.2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</row>
    <row r="487" ht="14.2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</row>
    <row r="488" ht="14.2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</row>
    <row r="489" ht="14.2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</row>
    <row r="490" ht="14.2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</row>
    <row r="491" ht="14.2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</row>
    <row r="492" ht="14.2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</row>
    <row r="493" ht="14.2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</row>
    <row r="494" ht="14.2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</row>
    <row r="495" ht="14.2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</row>
    <row r="496" ht="14.2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</row>
    <row r="497" ht="14.2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</row>
    <row r="498" ht="14.2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</row>
    <row r="499" ht="14.2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</row>
    <row r="500" ht="14.2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</row>
    <row r="501" ht="14.2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</row>
    <row r="502" ht="14.2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</row>
    <row r="503" ht="14.2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</row>
    <row r="504" ht="14.2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</row>
    <row r="505" ht="14.2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</row>
    <row r="506" ht="14.2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</row>
    <row r="507" ht="14.2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</row>
    <row r="508" ht="14.2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</row>
    <row r="509" ht="14.2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</row>
    <row r="510" ht="14.2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</row>
    <row r="511" ht="14.2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</row>
    <row r="512" ht="14.2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</row>
    <row r="513" ht="14.2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</row>
    <row r="514" ht="14.2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</row>
    <row r="515" ht="14.2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</row>
    <row r="516" ht="14.2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</row>
    <row r="517" ht="14.2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</row>
    <row r="518" ht="14.2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</row>
    <row r="519" ht="14.2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</row>
    <row r="520" ht="14.2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</row>
    <row r="521" ht="14.2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</row>
    <row r="522" ht="14.2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</row>
    <row r="523" ht="14.2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</row>
    <row r="524" ht="14.2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</row>
    <row r="525" ht="14.2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</row>
    <row r="526" ht="14.2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</row>
    <row r="527" ht="14.2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</row>
    <row r="528" ht="14.2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</row>
    <row r="529" ht="14.2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</row>
    <row r="530" ht="14.2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</row>
    <row r="531" ht="14.2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</row>
    <row r="532" ht="14.2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</row>
    <row r="533" ht="14.2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</row>
    <row r="534" ht="14.2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</row>
    <row r="535" ht="14.2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</row>
    <row r="536" ht="14.2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</row>
    <row r="537" ht="14.2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</row>
    <row r="538" ht="14.2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</row>
    <row r="539" ht="14.2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</row>
    <row r="540" ht="14.2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</row>
    <row r="541" ht="14.2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</row>
    <row r="542" ht="14.2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</row>
    <row r="543" ht="14.2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</row>
    <row r="544" ht="14.2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</row>
    <row r="545" ht="14.2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</row>
    <row r="546" ht="14.2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</row>
    <row r="547" ht="14.2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</row>
    <row r="548" ht="14.2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</row>
    <row r="549" ht="14.2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</row>
    <row r="550" ht="14.2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</row>
    <row r="551" ht="14.2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</row>
    <row r="552" ht="14.2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</row>
    <row r="553" ht="14.2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</row>
    <row r="554" ht="14.2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</row>
    <row r="555" ht="14.2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</row>
    <row r="556" ht="14.2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</row>
    <row r="557" ht="14.2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</row>
    <row r="558" ht="14.2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</row>
    <row r="559" ht="14.2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</row>
    <row r="560" ht="14.2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</row>
    <row r="561" ht="14.2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</row>
    <row r="562" ht="14.2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</row>
    <row r="563" ht="14.2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</row>
    <row r="564" ht="14.2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</row>
    <row r="565" ht="14.2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</row>
    <row r="566" ht="14.2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</row>
    <row r="567" ht="14.2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</row>
    <row r="568" ht="14.2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</row>
    <row r="569" ht="14.2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</row>
    <row r="570" ht="14.2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</row>
    <row r="571" ht="14.2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</row>
    <row r="572" ht="14.2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</row>
    <row r="573" ht="14.2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</row>
    <row r="574" ht="14.2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</row>
    <row r="575" ht="14.2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</row>
    <row r="576" ht="14.2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</row>
    <row r="577" ht="14.2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</row>
    <row r="578" ht="14.2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</row>
    <row r="579" ht="14.2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</row>
    <row r="580" ht="14.2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</row>
    <row r="581" ht="14.2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</row>
    <row r="582" ht="14.2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</row>
    <row r="583" ht="14.2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</row>
    <row r="584" ht="14.2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</row>
    <row r="585" ht="14.2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</row>
    <row r="586" ht="14.2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</row>
    <row r="587" ht="14.2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</row>
    <row r="588" ht="14.2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</row>
    <row r="589" ht="14.2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</row>
    <row r="590" ht="14.2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</row>
    <row r="591" ht="14.2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</row>
    <row r="592" ht="14.2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</row>
    <row r="593" ht="14.2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</row>
    <row r="594" ht="14.2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</row>
    <row r="595" ht="14.2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</row>
    <row r="596" ht="14.2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</row>
    <row r="597" ht="14.2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</row>
    <row r="598" ht="14.2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</row>
    <row r="599" ht="14.2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</row>
    <row r="600" ht="14.2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</row>
    <row r="601" ht="14.2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</row>
    <row r="602" ht="14.2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</row>
    <row r="603" ht="14.2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</row>
    <row r="604" ht="14.2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</row>
    <row r="605" ht="14.2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</row>
    <row r="606" ht="14.2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</row>
    <row r="607" ht="14.2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</row>
    <row r="608" ht="14.2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</row>
    <row r="609" ht="14.2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</row>
    <row r="610" ht="14.2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</row>
    <row r="611" ht="14.2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</row>
    <row r="612" ht="14.2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</row>
    <row r="613" ht="14.2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</row>
    <row r="614" ht="14.2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</row>
    <row r="615" ht="14.2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</row>
    <row r="616" ht="14.2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</row>
    <row r="617" ht="14.2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</row>
    <row r="618" ht="14.2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</row>
    <row r="619" ht="14.2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</row>
    <row r="620" ht="14.2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</row>
    <row r="621" ht="14.2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</row>
    <row r="622" ht="14.2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</row>
    <row r="623" ht="14.2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</row>
    <row r="624" ht="14.2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</row>
    <row r="625" ht="14.2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</row>
    <row r="626" ht="14.2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</row>
    <row r="627" ht="14.2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</row>
    <row r="628" ht="14.2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</row>
    <row r="629" ht="14.2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</row>
    <row r="630" ht="14.2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</row>
    <row r="631" ht="14.2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</row>
    <row r="632" ht="14.2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</row>
    <row r="633" ht="14.2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</row>
    <row r="634" ht="14.2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</row>
    <row r="635" ht="14.2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</row>
    <row r="636" ht="14.2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</row>
    <row r="637" ht="14.2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</row>
    <row r="638" ht="14.2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</row>
    <row r="639" ht="14.2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</row>
    <row r="640" ht="14.2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</row>
    <row r="641" ht="14.2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</row>
    <row r="642" ht="14.2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</row>
    <row r="643" ht="14.2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</row>
    <row r="644" ht="14.2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</row>
    <row r="645" ht="14.2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</row>
    <row r="646" ht="14.2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</row>
    <row r="647" ht="14.2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</row>
    <row r="648" ht="14.2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</row>
    <row r="649" ht="14.2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</row>
    <row r="650" ht="14.2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</row>
    <row r="651" ht="14.2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</row>
    <row r="652" ht="14.2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</row>
    <row r="653" ht="14.2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</row>
    <row r="654" ht="14.2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</row>
    <row r="655" ht="14.2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</row>
    <row r="656" ht="14.2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</row>
    <row r="657" ht="14.2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</row>
    <row r="658" ht="14.2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</row>
    <row r="659" ht="14.2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</row>
    <row r="660" ht="14.2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</row>
    <row r="661" ht="14.2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</row>
    <row r="662" ht="14.2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</row>
    <row r="663" ht="14.2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</row>
    <row r="664" ht="14.2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</row>
    <row r="665" ht="14.2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</row>
    <row r="666" ht="14.2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</row>
    <row r="667" ht="14.2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</row>
    <row r="668" ht="14.2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</row>
    <row r="669" ht="14.2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</row>
    <row r="670" ht="14.2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</row>
    <row r="671" ht="14.2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</row>
    <row r="672" ht="14.2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</row>
    <row r="673" ht="14.2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</row>
    <row r="674" ht="14.2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</row>
    <row r="675" ht="14.2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</row>
    <row r="676" ht="14.2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</row>
    <row r="677" ht="14.2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</row>
    <row r="678" ht="14.2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</row>
    <row r="679" ht="14.2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</row>
    <row r="680" ht="14.2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</row>
    <row r="681" ht="14.2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</row>
    <row r="682" ht="14.2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</row>
    <row r="683" ht="14.2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</row>
    <row r="684" ht="14.2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</row>
    <row r="685" ht="14.2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</row>
    <row r="686" ht="14.2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</row>
    <row r="687" ht="14.2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</row>
    <row r="688" ht="14.2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</row>
    <row r="689" ht="14.2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</row>
    <row r="690" ht="14.2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</row>
    <row r="691" ht="14.2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</row>
    <row r="692" ht="14.2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</row>
    <row r="693" ht="14.2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</row>
    <row r="694" ht="14.2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</row>
    <row r="695" ht="14.2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</row>
    <row r="696" ht="14.2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</row>
    <row r="697" ht="14.2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</row>
    <row r="698" ht="14.2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</row>
    <row r="699" ht="14.2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</row>
    <row r="700" ht="14.2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</row>
    <row r="701" ht="14.2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</row>
    <row r="702" ht="14.2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</row>
    <row r="703" ht="14.2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</row>
    <row r="704" ht="14.2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</row>
    <row r="705" ht="14.2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</row>
    <row r="706" ht="14.2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</row>
    <row r="707" ht="14.2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</row>
    <row r="708" ht="14.2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</row>
    <row r="709" ht="14.2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</row>
    <row r="710" ht="14.2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</row>
    <row r="711" ht="14.2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</row>
    <row r="712" ht="14.2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</row>
    <row r="713" ht="14.2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</row>
    <row r="714" ht="14.2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</row>
    <row r="715" ht="14.2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</row>
    <row r="716" ht="14.2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</row>
    <row r="717" ht="14.2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</row>
    <row r="718" ht="14.2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</row>
    <row r="719" ht="14.2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</row>
    <row r="720" ht="14.2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</row>
    <row r="721" ht="14.2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</row>
    <row r="722" ht="14.2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</row>
    <row r="723" ht="14.2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</row>
    <row r="724" ht="14.2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</row>
    <row r="725" ht="14.2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</row>
    <row r="726" ht="14.2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</row>
    <row r="727" ht="14.2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</row>
    <row r="728" ht="14.2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</row>
    <row r="729" ht="14.2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</row>
    <row r="730" ht="14.2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</row>
    <row r="731" ht="14.2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</row>
    <row r="732" ht="14.2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</row>
    <row r="733" ht="14.2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</row>
    <row r="734" ht="14.2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</row>
    <row r="735" ht="14.2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</row>
    <row r="736" ht="14.2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</row>
    <row r="737" ht="14.2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</row>
    <row r="738" ht="14.2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</row>
    <row r="739" ht="14.2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</row>
    <row r="740" ht="14.2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</row>
    <row r="741" ht="14.2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</row>
    <row r="742" ht="14.2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</row>
    <row r="743" ht="14.2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</row>
    <row r="744" ht="14.2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</row>
    <row r="745" ht="14.2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</row>
    <row r="746" ht="14.2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</row>
    <row r="747" ht="14.2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</row>
    <row r="748" ht="14.2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</row>
    <row r="749" ht="14.2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</row>
    <row r="750" ht="14.2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</row>
    <row r="751" ht="14.2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</row>
    <row r="752" ht="14.2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</row>
    <row r="753" ht="14.2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</row>
    <row r="754" ht="14.2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</row>
    <row r="755" ht="14.2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</row>
    <row r="756" ht="14.2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</row>
    <row r="757" ht="14.2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</row>
    <row r="758" ht="14.2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</row>
    <row r="759" ht="14.2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</row>
    <row r="760" ht="14.2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</row>
    <row r="761" ht="14.2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</row>
    <row r="762" ht="14.2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</row>
    <row r="763" ht="14.2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</row>
    <row r="764" ht="14.2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</row>
    <row r="765" ht="14.2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</row>
    <row r="766" ht="14.2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</row>
    <row r="767" ht="14.2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</row>
    <row r="768" ht="14.2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</row>
    <row r="769" ht="14.2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</row>
    <row r="770" ht="14.2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</row>
    <row r="771" ht="14.2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</row>
    <row r="772" ht="14.2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</row>
    <row r="773" ht="14.2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</row>
    <row r="774" ht="14.2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</row>
    <row r="775" ht="14.2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</row>
    <row r="776" ht="14.2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</row>
    <row r="777" ht="14.2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</row>
    <row r="778" ht="14.2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</row>
    <row r="779" ht="14.2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</row>
    <row r="780" ht="14.2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</row>
    <row r="781" ht="14.2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</row>
    <row r="782" ht="14.2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</row>
    <row r="783" ht="14.2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</row>
    <row r="784" ht="14.2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</row>
    <row r="785" ht="14.2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</row>
    <row r="786" ht="14.2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</row>
    <row r="787" ht="14.2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</row>
    <row r="788" ht="14.2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</row>
    <row r="789" ht="14.2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</row>
    <row r="790" ht="14.2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</row>
    <row r="791" ht="14.2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</row>
    <row r="792" ht="14.2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</row>
    <row r="793" ht="14.2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</row>
    <row r="794" ht="14.2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</row>
    <row r="795" ht="14.2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</row>
    <row r="796" ht="14.2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</row>
    <row r="797" ht="14.2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</row>
    <row r="798" ht="14.2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</row>
    <row r="799" ht="14.2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</row>
    <row r="800" ht="14.2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</row>
    <row r="801" ht="14.2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</row>
    <row r="802" ht="14.2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</row>
    <row r="803" ht="14.2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</row>
    <row r="804" ht="14.2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</row>
    <row r="805" ht="14.2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</row>
    <row r="806" ht="14.2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</row>
    <row r="807" ht="14.2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</row>
    <row r="808" ht="14.2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</row>
    <row r="809" ht="14.2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</row>
    <row r="810" ht="14.2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</row>
    <row r="811" ht="14.2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</row>
    <row r="812" ht="14.2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</row>
    <row r="813" ht="14.2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</row>
    <row r="814" ht="14.2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</row>
    <row r="815" ht="14.2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</row>
    <row r="816" ht="14.2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</row>
    <row r="817" ht="14.2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</row>
    <row r="818" ht="14.2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</row>
    <row r="819" ht="14.2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</row>
    <row r="820" ht="14.2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</row>
    <row r="821" ht="14.2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</row>
    <row r="822" ht="14.2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</row>
    <row r="823" ht="14.2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</row>
    <row r="824" ht="14.2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</row>
    <row r="825" ht="14.2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</row>
    <row r="826" ht="14.2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</row>
    <row r="827" ht="14.2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</row>
    <row r="828" ht="14.2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</row>
    <row r="829" ht="14.2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</row>
    <row r="830" ht="14.2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</row>
    <row r="831" ht="14.2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</row>
    <row r="832" ht="14.2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</row>
    <row r="833" ht="14.2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</row>
    <row r="834" ht="14.2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</row>
    <row r="835" ht="14.2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</row>
    <row r="836" ht="14.2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</row>
    <row r="837" ht="14.2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</row>
    <row r="838" ht="14.2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</row>
    <row r="839" ht="14.2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</row>
    <row r="840" ht="14.2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</row>
    <row r="841" ht="14.2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</row>
    <row r="842" ht="14.2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</row>
    <row r="843" ht="14.2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</row>
    <row r="844" ht="14.2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</row>
    <row r="845" ht="14.2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</row>
    <row r="846" ht="14.2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</row>
    <row r="847" ht="14.2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</row>
    <row r="848" ht="14.2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</row>
    <row r="849" ht="14.2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</row>
    <row r="850" ht="14.2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</row>
    <row r="851" ht="14.2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</row>
    <row r="852" ht="14.2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</row>
    <row r="853" ht="14.2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</row>
    <row r="854" ht="14.2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</row>
    <row r="855" ht="14.2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</row>
    <row r="856" ht="14.2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</row>
    <row r="857" ht="14.2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</row>
    <row r="858" ht="14.2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</row>
    <row r="859" ht="14.2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</row>
    <row r="860" ht="14.2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</row>
    <row r="861" ht="14.2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</row>
    <row r="862" ht="14.2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</row>
    <row r="863" ht="14.2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</row>
    <row r="864" ht="14.2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</row>
    <row r="865" ht="14.2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</row>
    <row r="866" ht="14.2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</row>
    <row r="867" ht="14.2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</row>
    <row r="868" ht="14.2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</row>
    <row r="869" ht="14.2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</row>
    <row r="870" ht="14.2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</row>
    <row r="871" ht="14.2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</row>
    <row r="872" ht="14.2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</row>
    <row r="873" ht="14.2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</row>
    <row r="874" ht="14.2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</row>
    <row r="875" ht="14.2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</row>
    <row r="876" ht="14.2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</row>
    <row r="877" ht="14.2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</row>
    <row r="878" ht="14.2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</row>
    <row r="879" ht="14.2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</row>
    <row r="880" ht="14.2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</row>
    <row r="881" ht="14.2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</row>
    <row r="882" ht="14.2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</row>
    <row r="883" ht="14.2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</row>
    <row r="884" ht="14.2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</row>
    <row r="885" ht="14.2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</row>
    <row r="886" ht="14.2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</row>
    <row r="887" ht="14.2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</row>
    <row r="888" ht="14.2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</row>
    <row r="889" ht="14.2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</row>
    <row r="890" ht="14.2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</row>
    <row r="891" ht="14.2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</row>
    <row r="892" ht="14.2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</row>
    <row r="893" ht="14.2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</row>
    <row r="894" ht="14.2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</row>
    <row r="895" ht="14.2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</row>
    <row r="896" ht="14.2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</row>
    <row r="897" ht="14.2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</row>
    <row r="898" ht="14.2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</row>
    <row r="899" ht="14.2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</row>
    <row r="900" ht="14.2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</row>
    <row r="901" ht="14.2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</row>
    <row r="902" ht="14.2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</row>
    <row r="903" ht="14.2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</row>
    <row r="904" ht="14.2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</row>
    <row r="905" ht="14.2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</row>
    <row r="906" ht="14.2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</row>
    <row r="907" ht="14.2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</row>
    <row r="908" ht="14.2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</row>
    <row r="909" ht="14.2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</row>
    <row r="910" ht="14.2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</row>
    <row r="911" ht="14.2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</row>
    <row r="912" ht="14.2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</row>
    <row r="913" ht="14.2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</row>
    <row r="914" ht="14.2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</row>
    <row r="915" ht="14.2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</row>
    <row r="916" ht="14.2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</row>
    <row r="917" ht="14.2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</row>
    <row r="918" ht="14.2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</row>
    <row r="919" ht="14.2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</row>
    <row r="920" ht="14.2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</row>
    <row r="921" ht="14.2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</row>
    <row r="922" ht="14.2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</row>
    <row r="923" ht="14.2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</row>
    <row r="924" ht="14.2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</row>
    <row r="925" ht="14.2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</row>
    <row r="926" ht="14.2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</row>
    <row r="927" ht="14.2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</row>
    <row r="928" ht="14.2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</row>
    <row r="929" ht="14.2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</row>
    <row r="930" ht="14.2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</row>
    <row r="931" ht="14.2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</row>
    <row r="932" ht="14.2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</row>
    <row r="933" ht="14.2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</row>
    <row r="934" ht="14.2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</row>
    <row r="935" ht="14.2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</row>
    <row r="936" ht="14.2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</row>
    <row r="937" ht="14.2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</row>
    <row r="938" ht="14.2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</row>
    <row r="939" ht="14.2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</row>
    <row r="940" ht="14.2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</row>
    <row r="941" ht="14.2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</row>
    <row r="942" ht="14.2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</row>
    <row r="943" ht="14.2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</row>
    <row r="944" ht="14.2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</row>
    <row r="945" ht="14.2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</row>
    <row r="946" ht="14.2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</row>
    <row r="947" ht="14.2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</row>
    <row r="948" ht="14.2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</row>
    <row r="949" ht="14.2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</row>
    <row r="950" ht="14.2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</row>
    <row r="951" ht="14.2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</row>
    <row r="952" ht="14.2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</row>
    <row r="953" ht="14.2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</row>
    <row r="954" ht="14.2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</row>
    <row r="955" ht="14.2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</row>
    <row r="956" ht="14.2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</row>
    <row r="957" ht="14.2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</row>
    <row r="958" ht="14.2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</row>
    <row r="959" ht="14.2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</row>
    <row r="960" ht="14.2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</row>
    <row r="961" ht="14.2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</row>
    <row r="962" ht="14.2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</row>
    <row r="963" ht="14.2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</row>
    <row r="964" ht="14.2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</row>
    <row r="965" ht="14.2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</row>
    <row r="966" ht="14.2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</row>
    <row r="967" ht="14.2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</row>
    <row r="968" ht="14.2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</row>
    <row r="969" ht="14.2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</row>
    <row r="970" ht="14.2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</row>
    <row r="971" ht="14.2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</row>
    <row r="972" ht="14.2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</row>
    <row r="973" ht="14.2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</row>
    <row r="974" ht="14.2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</row>
    <row r="975" ht="14.2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</row>
    <row r="976" ht="14.2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</row>
    <row r="977" ht="14.2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</row>
    <row r="978" ht="14.2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</row>
    <row r="979" ht="14.2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</row>
    <row r="980" ht="14.2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</row>
    <row r="981" ht="14.2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</row>
    <row r="982" ht="14.2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</row>
    <row r="983" ht="14.2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</row>
    <row r="984" ht="14.2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</row>
    <row r="985" ht="14.2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</row>
    <row r="986" ht="14.2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</row>
    <row r="987" ht="14.2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</row>
    <row r="988" ht="14.2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</row>
    <row r="989" ht="14.2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</row>
    <row r="990" ht="14.2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</row>
    <row r="991" ht="14.2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</row>
    <row r="992" ht="14.2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</row>
    <row r="993" ht="14.2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</row>
    <row r="994" ht="14.2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</row>
    <row r="995" ht="14.2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</row>
    <row r="996" ht="14.2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</row>
    <row r="997" ht="14.2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</row>
    <row r="998" ht="14.2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</row>
    <row r="999" ht="14.2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</row>
    <row r="1000" ht="14.2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</row>
  </sheetData>
  <mergeCells count="26">
    <mergeCell ref="V2:AA2"/>
    <mergeCell ref="W3:AA3"/>
    <mergeCell ref="V14:AA14"/>
    <mergeCell ref="L2:M2"/>
    <mergeCell ref="O2:T2"/>
    <mergeCell ref="C3:F4"/>
    <mergeCell ref="O3:O4"/>
    <mergeCell ref="P3:T3"/>
    <mergeCell ref="V3:V4"/>
    <mergeCell ref="D6:E6"/>
    <mergeCell ref="I2:J2"/>
    <mergeCell ref="I7:J7"/>
    <mergeCell ref="L7:M7"/>
    <mergeCell ref="I11:J11"/>
    <mergeCell ref="L11:M11"/>
    <mergeCell ref="D14:E14"/>
    <mergeCell ref="O14:T14"/>
    <mergeCell ref="I21:J21"/>
    <mergeCell ref="L21:M23"/>
    <mergeCell ref="I15:J15"/>
    <mergeCell ref="L15:M15"/>
    <mergeCell ref="D17:E17"/>
    <mergeCell ref="O17:R17"/>
    <mergeCell ref="P18:R18"/>
    <mergeCell ref="I19:J19"/>
    <mergeCell ref="D21:E21"/>
  </mergeCells>
  <conditionalFormatting sqref="P5:T12">
    <cfRule type="cellIs" dxfId="0" priority="1" operator="lessThan">
      <formula>MAX($M$12,$M$19)</formula>
    </cfRule>
  </conditionalFormatting>
  <conditionalFormatting sqref="P5:T12">
    <cfRule type="cellIs" dxfId="1" priority="2" operator="greaterThan">
      <formula>$M$12</formula>
    </cfRule>
  </conditionalFormatting>
  <conditionalFormatting sqref="W5:AA12">
    <cfRule type="cellIs" dxfId="0" priority="3" operator="lessThan">
      <formula>$M$13</formula>
    </cfRule>
  </conditionalFormatting>
  <conditionalFormatting sqref="W5:AA12">
    <cfRule type="cellIs" dxfId="1" priority="4" operator="greaterThan">
      <formula>$M$13</formula>
    </cfRule>
  </conditionalFormatting>
  <conditionalFormatting sqref="O15:T15">
    <cfRule type="expression" dxfId="0" priority="5">
      <formula>$P$15*PI()*($Q$15/20)^2+$R$15*PI()*($S$15/20)^2&lt;MAX($M$12,$M$19)</formula>
    </cfRule>
  </conditionalFormatting>
  <conditionalFormatting sqref="O15:T15">
    <cfRule type="expression" dxfId="1" priority="6">
      <formula>$P$15*PI()*($Q$15/20)^2+$R$15*PI()*($S$15/20)^2&gt;=$M$12</formula>
    </cfRule>
  </conditionalFormatting>
  <conditionalFormatting sqref="V15:AA15">
    <cfRule type="expression" dxfId="0" priority="7">
      <formula>$W$15*PI()*($X$15/20)^2+$Y$15*PI()*($Z$15/20)^2&lt;$M$13</formula>
    </cfRule>
  </conditionalFormatting>
  <conditionalFormatting sqref="V15:AA15">
    <cfRule type="expression" dxfId="1" priority="8">
      <formula>$W$15*PI()*($X$15/20)^2+$Y$15*PI()*($Z$15/20)^2&gt;=$M$13</formula>
    </cfRule>
  </conditionalFormatting>
  <dataValidations>
    <dataValidation type="list" allowBlank="1" showErrorMessage="1" sqref="E26">
      <formula1>INDIRECT(E25)</formula1>
    </dataValidation>
    <dataValidation type="list" allowBlank="1" showErrorMessage="1" sqref="E25">
      <formula1>Armação</formula1>
    </dataValidation>
  </dataValidations>
  <printOptions/>
  <pageMargins bottom="0.787401575" footer="0.0" header="0.0" left="0.511811024" right="0.511811024" top="0.787401575"/>
  <pageSetup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2017-09-15T19:56:45Z</dcterms:created>
  <dc:creator>Matheus Carini</dc:creator>
</cp:coreProperties>
</file>