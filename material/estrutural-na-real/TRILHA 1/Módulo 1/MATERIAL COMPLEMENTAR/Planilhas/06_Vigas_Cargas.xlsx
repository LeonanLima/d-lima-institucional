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Planilhas/"/>
    </mc:Choice>
  </mc:AlternateContent>
  <xr:revisionPtr revIDLastSave="72" documentId="C51FBEBCAD096A041CBEDEC77D87B942AFB77CAC" xr6:coauthVersionLast="47" xr6:coauthVersionMax="47" xr10:uidLastSave="{06E87C30-1274-4BB0-8CB1-C7AAADEA52D5}"/>
  <bookViews>
    <workbookView xWindow="-120" yWindow="-120" windowWidth="38640" windowHeight="15720" xr2:uid="{E06A8795-0517-41BA-BAB0-640CD5B62D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J8" i="1" l="1"/>
  <c r="J7" i="1"/>
  <c r="J6" i="1"/>
  <c r="P7" i="1" l="1"/>
  <c r="P8" i="1"/>
  <c r="P6" i="1"/>
  <c r="K7" i="1"/>
  <c r="K6" i="1"/>
  <c r="F7" i="1"/>
  <c r="G7" i="1" s="1"/>
  <c r="F8" i="1"/>
  <c r="G8" i="1" s="1"/>
  <c r="F6" i="1"/>
  <c r="G6" i="1" s="1"/>
  <c r="Q8" i="1" l="1"/>
  <c r="R8" i="1" s="1"/>
  <c r="K8" i="1"/>
  <c r="Q6" i="1"/>
  <c r="R6" i="1" s="1"/>
  <c r="Q7" i="1"/>
  <c r="R7" i="1" s="1"/>
</calcChain>
</file>

<file path=xl/sharedStrings.xml><?xml version="1.0" encoding="utf-8"?>
<sst xmlns="http://schemas.openxmlformats.org/spreadsheetml/2006/main" count="32" uniqueCount="27">
  <si>
    <t>Trecho</t>
  </si>
  <si>
    <t>Área (m²)</t>
  </si>
  <si>
    <t>Caract.</t>
  </si>
  <si>
    <t>De Cálculo</t>
  </si>
  <si>
    <t>Peso Próprio</t>
  </si>
  <si>
    <t>Altura (m)</t>
  </si>
  <si>
    <t>Carga Total (kN/m)</t>
  </si>
  <si>
    <t>Total</t>
  </si>
  <si>
    <t>Alterar Apenas Células em Azul</t>
  </si>
  <si>
    <t>Esquerda / Superior</t>
  </si>
  <si>
    <t>Direita / Inferior</t>
  </si>
  <si>
    <t>L1</t>
  </si>
  <si>
    <t>L2</t>
  </si>
  <si>
    <t>Reações de Cálculo das Lajes (kN/m)</t>
  </si>
  <si>
    <t>Reação de Cálculo</t>
  </si>
  <si>
    <t>Viga</t>
  </si>
  <si>
    <t>Valor (kN)</t>
  </si>
  <si>
    <t>V10</t>
  </si>
  <si>
    <t>V10-A</t>
  </si>
  <si>
    <t>V10-B</t>
  </si>
  <si>
    <t>V10-C</t>
  </si>
  <si>
    <t>Alvenaria</t>
  </si>
  <si>
    <t>γalv (kN/m²)</t>
  </si>
  <si>
    <t>L13</t>
  </si>
  <si>
    <t>L7</t>
  </si>
  <si>
    <t>L8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</si>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</sst>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21" xfId="0" applyNumberFormat="1" applyFill="1" applyBorder="1" applyAlignment="1">
      <alignment horizontal="center" vertical="center"/>
    </xf>
    <xf numFmtId="2" fontId="0" fillId="4" borderId="23" xfId="0" applyNumberFormat="1" applyFill="1" applyBorder="1" applyAlignment="1">
      <alignment horizontal="center" vertical="center"/>
    </xf>
    <xf numFmtId="2" fontId="0" fillId="4" borderId="19" xfId="0" applyNumberFormat="1" applyFill="1" applyBorder="1" applyAlignment="1">
      <alignment horizontal="center" vertical="center"/>
    </xf>
    <xf numFmtId="2" fontId="0" fillId="4" borderId="20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fessordeestruturas.com.br/" TargetMode="External"/><Relationship Id="rId3" Type="http://schemas.openxmlformats.org/officeDocument/2006/relationships/hyperlink" Target="mailto:matheuscarini@gmail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instagram.com/professordeestruturas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linktr.ee/professordeestruturas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501361</xdr:colOff>
      <xdr:row>19</xdr:row>
      <xdr:rowOff>174746</xdr:rowOff>
    </xdr:from>
    <xdr:to>
      <xdr:col>20</xdr:col>
      <xdr:colOff>34636</xdr:colOff>
      <xdr:row>21</xdr:row>
      <xdr:rowOff>79496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CC029F84-2DDB-4A51-B63D-7DEA17C732CE}"/>
            </a:ext>
          </a:extLst>
        </xdr:cNvPr>
        <xdr:cNvSpPr txBox="1"/>
      </xdr:nvSpPr>
      <xdr:spPr>
        <a:xfrm>
          <a:off x="10664536" y="3889496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20180301</a:t>
          </a:r>
        </a:p>
      </xdr:txBody>
    </xdr:sp>
    <xdr:clientData/>
  </xdr:twoCellAnchor>
  <xdr:twoCellAnchor>
    <xdr:from>
      <xdr:col>14</xdr:col>
      <xdr:colOff>190500</xdr:colOff>
      <xdr:row>19</xdr:row>
      <xdr:rowOff>133350</xdr:rowOff>
    </xdr:from>
    <xdr:to>
      <xdr:col>15</xdr:col>
      <xdr:colOff>555018</xdr:colOff>
      <xdr:row>21</xdr:row>
      <xdr:rowOff>53826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2F1B86A-CE49-4E4E-8D73-A2F3A876ABF8}"/>
            </a:ext>
          </a:extLst>
        </xdr:cNvPr>
        <xdr:cNvGrpSpPr/>
      </xdr:nvGrpSpPr>
      <xdr:grpSpPr>
        <a:xfrm>
          <a:off x="8372475" y="3848100"/>
          <a:ext cx="1050318" cy="301476"/>
          <a:chOff x="7894308" y="3609975"/>
          <a:chExt cx="1050318" cy="301476"/>
        </a:xfrm>
      </xdr:grpSpPr>
      <xdr:pic>
        <xdr:nvPicPr>
          <xdr:cNvPr id="3" name="Imagem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4E57D93-6809-3365-5FBD-AB665A795B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4" name="Imagem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A03F133-ACA7-C765-F3F1-B6A416CEE1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7" name="Imagem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B4BE01C-8446-CB5F-8DA3-A3DFB58BEA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161925</xdr:colOff>
      <xdr:row>15</xdr:row>
      <xdr:rowOff>161925</xdr:rowOff>
    </xdr:from>
    <xdr:to>
      <xdr:col>20</xdr:col>
      <xdr:colOff>15586</xdr:colOff>
      <xdr:row>17</xdr:row>
      <xdr:rowOff>108071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9193F41-3B27-4A04-915F-69C3D0DC675A}"/>
            </a:ext>
          </a:extLst>
        </xdr:cNvPr>
        <xdr:cNvGrpSpPr/>
      </xdr:nvGrpSpPr>
      <xdr:grpSpPr>
        <a:xfrm>
          <a:off x="1381125" y="3114675"/>
          <a:ext cx="10264486" cy="327146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3580C977-4E01-DF95-935F-41F085A158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0945F065-B9B3-97E7-A26F-4D231F6B0A94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2" name="Imagem 11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933D128B-6799-0ED6-A090-26217E8E46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9D5B6AF8-6C3F-1C1C-9231-FC83436FE1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06875D83-2A84-0536-D119-075292CB16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D3980658-18BE-69D2-8B06-FC070C10BF98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20180301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A848-9311-4484-93BA-9FF00835F76F}">
  <dimension ref="B1:V8"/>
  <sheetViews>
    <sheetView tabSelected="1" zoomScaleNormal="100" workbookViewId="0">
      <selection activeCell="P16" sqref="P16"/>
    </sheetView>
  </sheetViews>
  <sheetFormatPr defaultColWidth="9.140625" defaultRowHeight="15" x14ac:dyDescent="0.25"/>
  <cols>
    <col min="1" max="1" width="4.5703125" style="1" customWidth="1"/>
    <col min="2" max="2" width="9.140625" style="1"/>
    <col min="3" max="3" width="4.5703125" style="1" customWidth="1"/>
    <col min="4" max="6" width="9.140625" style="1"/>
    <col min="7" max="7" width="10.28515625" style="1" bestFit="1" customWidth="1"/>
    <col min="8" max="8" width="10" style="1" bestFit="1" customWidth="1"/>
    <col min="9" max="9" width="12.140625" style="1" bestFit="1" customWidth="1"/>
    <col min="10" max="10" width="9.140625" style="1"/>
    <col min="11" max="11" width="10.28515625" style="1" bestFit="1" customWidth="1"/>
    <col min="12" max="12" width="8" style="1" customWidth="1"/>
    <col min="13" max="13" width="10.28515625" style="1" bestFit="1" customWidth="1"/>
    <col min="14" max="14" width="6.85546875" style="1" customWidth="1"/>
    <col min="15" max="16" width="10.28515625" style="1" customWidth="1"/>
    <col min="17" max="17" width="9.140625" style="1"/>
    <col min="18" max="18" width="10.28515625" style="1" bestFit="1" customWidth="1"/>
    <col min="19" max="19" width="4.5703125" style="1" customWidth="1"/>
    <col min="20" max="20" width="7.140625" style="1" customWidth="1"/>
    <col min="21" max="21" width="10.42578125" style="1" customWidth="1"/>
    <col min="22" max="16384" width="9.140625" style="1"/>
  </cols>
  <sheetData>
    <row r="1" spans="2:22" ht="15.75" thickBot="1" x14ac:dyDescent="0.3"/>
    <row r="2" spans="2:22" ht="19.5" thickBot="1" x14ac:dyDescent="0.3">
      <c r="D2" s="33" t="s">
        <v>17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5"/>
    </row>
    <row r="3" spans="2:22" ht="15.75" thickBot="1" x14ac:dyDescent="0.3"/>
    <row r="4" spans="2:22" x14ac:dyDescent="0.25">
      <c r="B4" s="36" t="s">
        <v>8</v>
      </c>
      <c r="D4" s="39" t="s">
        <v>0</v>
      </c>
      <c r="E4" s="31" t="s">
        <v>4</v>
      </c>
      <c r="F4" s="41"/>
      <c r="G4" s="32"/>
      <c r="H4" s="41" t="s">
        <v>21</v>
      </c>
      <c r="I4" s="41"/>
      <c r="J4" s="41"/>
      <c r="K4" s="32"/>
      <c r="L4" s="42" t="s">
        <v>13</v>
      </c>
      <c r="M4" s="43"/>
      <c r="N4" s="43"/>
      <c r="O4" s="43"/>
      <c r="P4" s="44"/>
      <c r="Q4" s="31" t="s">
        <v>6</v>
      </c>
      <c r="R4" s="32"/>
      <c r="T4" s="31" t="s">
        <v>14</v>
      </c>
      <c r="U4" s="32"/>
      <c r="V4" s="28"/>
    </row>
    <row r="5" spans="2:22" ht="15.75" thickBot="1" x14ac:dyDescent="0.3">
      <c r="B5" s="37"/>
      <c r="D5" s="40"/>
      <c r="E5" s="6" t="s">
        <v>1</v>
      </c>
      <c r="F5" s="7" t="s">
        <v>2</v>
      </c>
      <c r="G5" s="8" t="s">
        <v>3</v>
      </c>
      <c r="H5" s="7" t="s">
        <v>5</v>
      </c>
      <c r="I5" s="9" t="s">
        <v>22</v>
      </c>
      <c r="J5" s="9" t="s">
        <v>2</v>
      </c>
      <c r="K5" s="10" t="s">
        <v>3</v>
      </c>
      <c r="L5" s="45" t="s">
        <v>9</v>
      </c>
      <c r="M5" s="46"/>
      <c r="N5" s="47" t="s">
        <v>10</v>
      </c>
      <c r="O5" s="46"/>
      <c r="P5" s="10" t="s">
        <v>7</v>
      </c>
      <c r="Q5" s="11" t="s">
        <v>2</v>
      </c>
      <c r="R5" s="10" t="s">
        <v>3</v>
      </c>
      <c r="T5" s="11" t="s">
        <v>15</v>
      </c>
      <c r="U5" s="10" t="s">
        <v>16</v>
      </c>
    </row>
    <row r="6" spans="2:22" x14ac:dyDescent="0.25">
      <c r="B6" s="37"/>
      <c r="D6" s="16" t="s">
        <v>18</v>
      </c>
      <c r="E6" s="17">
        <f>0.45*0.15</f>
        <v>6.7500000000000004E-2</v>
      </c>
      <c r="F6" s="12">
        <f>25*E6</f>
        <v>1.6875</v>
      </c>
      <c r="G6" s="13">
        <f>1.4*F6</f>
        <v>2.3624999999999998</v>
      </c>
      <c r="H6" s="20">
        <v>2.35</v>
      </c>
      <c r="I6" s="21">
        <v>1.4</v>
      </c>
      <c r="J6" s="14">
        <f>H6*I6</f>
        <v>3.29</v>
      </c>
      <c r="K6" s="13">
        <f>J6*1.4</f>
        <v>4.6059999999999999</v>
      </c>
      <c r="L6" s="26" t="s">
        <v>23</v>
      </c>
      <c r="M6" s="20">
        <v>14.68</v>
      </c>
      <c r="N6" s="24" t="s">
        <v>25</v>
      </c>
      <c r="O6" s="20">
        <v>17.5</v>
      </c>
      <c r="P6" s="13">
        <f>M6+O6</f>
        <v>32.18</v>
      </c>
      <c r="Q6" s="15">
        <f>F6+J6+P6/1.4</f>
        <v>27.963214285714287</v>
      </c>
      <c r="R6" s="13">
        <f>1.4*Q6</f>
        <v>39.148499999999999</v>
      </c>
      <c r="T6" s="17" t="s">
        <v>26</v>
      </c>
      <c r="U6" s="29">
        <v>25.77</v>
      </c>
    </row>
    <row r="7" spans="2:22" x14ac:dyDescent="0.25">
      <c r="B7" s="37"/>
      <c r="D7" s="18" t="s">
        <v>19</v>
      </c>
      <c r="E7" s="19">
        <f>E6</f>
        <v>6.7500000000000004E-2</v>
      </c>
      <c r="F7" s="3">
        <f t="shared" ref="F7:F8" si="0">25*E7</f>
        <v>1.6875</v>
      </c>
      <c r="G7" s="4">
        <f t="shared" ref="G7:G8" si="1">1.4*F7</f>
        <v>2.3624999999999998</v>
      </c>
      <c r="H7" s="22">
        <v>2.35</v>
      </c>
      <c r="I7" s="23">
        <v>1.4</v>
      </c>
      <c r="J7" s="3">
        <f>H7*I7</f>
        <v>3.29</v>
      </c>
      <c r="K7" s="4">
        <f t="shared" ref="K7:K8" si="2">J7*1.4</f>
        <v>4.6059999999999999</v>
      </c>
      <c r="L7" s="27" t="s">
        <v>24</v>
      </c>
      <c r="M7" s="22">
        <v>6.11</v>
      </c>
      <c r="N7" s="25" t="s">
        <v>25</v>
      </c>
      <c r="O7" s="22">
        <v>17.5</v>
      </c>
      <c r="P7" s="4">
        <f t="shared" ref="P7:P8" si="3">M7+O7</f>
        <v>23.61</v>
      </c>
      <c r="Q7" s="5">
        <f>F7+J7+P7/1.4</f>
        <v>21.841785714285713</v>
      </c>
      <c r="R7" s="4">
        <f t="shared" ref="R7:R8" si="4">1.4*Q7</f>
        <v>30.578499999999995</v>
      </c>
      <c r="T7" s="19"/>
      <c r="U7" s="30"/>
    </row>
    <row r="8" spans="2:22" ht="15.75" thickBot="1" x14ac:dyDescent="0.3">
      <c r="B8" s="38"/>
      <c r="D8" s="18" t="s">
        <v>20</v>
      </c>
      <c r="E8" s="19">
        <f>E7</f>
        <v>6.7500000000000004E-2</v>
      </c>
      <c r="F8" s="3">
        <f t="shared" si="0"/>
        <v>1.6875</v>
      </c>
      <c r="G8" s="4">
        <f t="shared" si="1"/>
        <v>2.3624999999999998</v>
      </c>
      <c r="H8" s="22">
        <v>2.35</v>
      </c>
      <c r="I8" s="23">
        <v>1.4</v>
      </c>
      <c r="J8" s="2">
        <f>H8*I8</f>
        <v>3.29</v>
      </c>
      <c r="K8" s="4">
        <f t="shared" si="2"/>
        <v>4.6059999999999999</v>
      </c>
      <c r="L8" s="27" t="s">
        <v>11</v>
      </c>
      <c r="M8" s="22">
        <v>15.31</v>
      </c>
      <c r="N8" s="25" t="s">
        <v>12</v>
      </c>
      <c r="O8" s="22">
        <v>16.87</v>
      </c>
      <c r="P8" s="4">
        <f t="shared" si="3"/>
        <v>32.18</v>
      </c>
      <c r="Q8" s="5">
        <f>F8+J8+P8/1.4</f>
        <v>27.963214285714287</v>
      </c>
      <c r="R8" s="4">
        <f t="shared" si="4"/>
        <v>39.148499999999999</v>
      </c>
      <c r="T8" s="19"/>
      <c r="U8" s="30"/>
    </row>
  </sheetData>
  <mergeCells count="10">
    <mergeCell ref="T4:U4"/>
    <mergeCell ref="D2:U2"/>
    <mergeCell ref="B4:B8"/>
    <mergeCell ref="D4:D5"/>
    <mergeCell ref="E4:G4"/>
    <mergeCell ref="H4:K4"/>
    <mergeCell ref="Q4:R4"/>
    <mergeCell ref="L4:P4"/>
    <mergeCell ref="L5:M5"/>
    <mergeCell ref="N5:O5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carini</dc:creator>
  <cp:lastModifiedBy>Matheus Carini</cp:lastModifiedBy>
  <dcterms:created xsi:type="dcterms:W3CDTF">2017-10-16T21:50:53Z</dcterms:created>
  <dcterms:modified xsi:type="dcterms:W3CDTF">2024-08-16T16:59:52Z</dcterms:modified>
</cp:coreProperties>
</file>