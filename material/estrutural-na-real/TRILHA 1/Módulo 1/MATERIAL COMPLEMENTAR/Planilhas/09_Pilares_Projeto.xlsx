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22c8cd3f25119c/Waltner/Introdução ao CA/Planilhas/Bloqueadas/"/>
    </mc:Choice>
  </mc:AlternateContent>
  <xr:revisionPtr revIDLastSave="96" documentId="8_{5993D4A5-B13F-4930-AA8E-4567314ABFF8}" xr6:coauthVersionLast="47" xr6:coauthVersionMax="47" xr10:uidLastSave="{744C09C3-F1C5-4848-A83D-B7992F670AB5}"/>
  <bookViews>
    <workbookView xWindow="-120" yWindow="-120" windowWidth="38640" windowHeight="15720" xr2:uid="{1576287D-3545-4BFB-B589-EB57FF6F6DC5}"/>
  </bookViews>
  <sheets>
    <sheet name="Situações de Cálcul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4" l="1"/>
  <c r="J5" i="4"/>
  <c r="Q6" i="4" l="1"/>
  <c r="Q8" i="4"/>
  <c r="S5" i="4" l="1"/>
  <c r="S6" i="4" l="1"/>
  <c r="S7" i="4" l="1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C103" i="4" s="1"/>
  <c r="AB4" i="4"/>
  <c r="AB3" i="4"/>
  <c r="AC3" i="4" s="1"/>
  <c r="J15" i="4"/>
  <c r="R7" i="4" s="1"/>
  <c r="J14" i="4"/>
  <c r="R5" i="4" s="1"/>
  <c r="J19" i="4"/>
  <c r="M14" i="4"/>
  <c r="J10" i="4"/>
  <c r="M5" i="4"/>
  <c r="Q7" i="4" l="1"/>
  <c r="Q5" i="4"/>
  <c r="R6" i="4"/>
  <c r="U6" i="4" s="1"/>
  <c r="R8" i="4"/>
  <c r="J8" i="4"/>
  <c r="AC4" i="4"/>
  <c r="T7" i="4"/>
  <c r="AC98" i="4"/>
  <c r="J17" i="4"/>
  <c r="U5" i="4"/>
  <c r="U7" i="4"/>
  <c r="T5" i="4"/>
  <c r="T6" i="4"/>
  <c r="S8" i="4"/>
  <c r="AC90" i="4"/>
  <c r="AC82" i="4"/>
  <c r="AC99" i="4"/>
  <c r="AC74" i="4"/>
  <c r="AC66" i="4"/>
  <c r="AC58" i="4"/>
  <c r="AC50" i="4"/>
  <c r="AC42" i="4"/>
  <c r="AC34" i="4"/>
  <c r="AC97" i="4"/>
  <c r="AC96" i="4"/>
  <c r="AC26" i="4"/>
  <c r="AC18" i="4"/>
  <c r="AC89" i="4"/>
  <c r="AC88" i="4"/>
  <c r="AC91" i="4"/>
  <c r="AC83" i="4"/>
  <c r="AC75" i="4"/>
  <c r="AC67" i="4"/>
  <c r="AC59" i="4"/>
  <c r="AC81" i="4"/>
  <c r="AC73" i="4"/>
  <c r="AC65" i="4"/>
  <c r="AC57" i="4"/>
  <c r="AC49" i="4"/>
  <c r="AC41" i="4"/>
  <c r="AC33" i="4"/>
  <c r="AC25" i="4"/>
  <c r="AC17" i="4"/>
  <c r="AC9" i="4"/>
  <c r="AC80" i="4"/>
  <c r="AC72" i="4"/>
  <c r="AC64" i="4"/>
  <c r="AC56" i="4"/>
  <c r="AC48" i="4"/>
  <c r="AC40" i="4"/>
  <c r="AC32" i="4"/>
  <c r="AC24" i="4"/>
  <c r="AC16" i="4"/>
  <c r="AC95" i="4"/>
  <c r="AC71" i="4"/>
  <c r="AC63" i="4"/>
  <c r="AC55" i="4"/>
  <c r="AC47" i="4"/>
  <c r="AC39" i="4"/>
  <c r="AC31" i="4"/>
  <c r="AC23" i="4"/>
  <c r="AC15" i="4"/>
  <c r="AC102" i="4"/>
  <c r="AC94" i="4"/>
  <c r="AC86" i="4"/>
  <c r="AC78" i="4"/>
  <c r="AC70" i="4"/>
  <c r="AC62" i="4"/>
  <c r="AC54" i="4"/>
  <c r="AC87" i="4"/>
  <c r="AC101" i="4"/>
  <c r="AC93" i="4"/>
  <c r="AC85" i="4"/>
  <c r="AC77" i="4"/>
  <c r="AC69" i="4"/>
  <c r="AC61" i="4"/>
  <c r="AC53" i="4"/>
  <c r="AC79" i="4"/>
  <c r="AC100" i="4"/>
  <c r="AC92" i="4"/>
  <c r="AC84" i="4"/>
  <c r="AC76" i="4"/>
  <c r="AC68" i="4"/>
  <c r="AC60" i="4"/>
  <c r="AC52" i="4"/>
  <c r="AC44" i="4"/>
  <c r="AC36" i="4"/>
  <c r="AC28" i="4"/>
  <c r="AC20" i="4"/>
  <c r="AC12" i="4"/>
  <c r="AC51" i="4"/>
  <c r="AC43" i="4"/>
  <c r="AC35" i="4"/>
  <c r="AC27" i="4"/>
  <c r="AC19" i="4"/>
  <c r="AC11" i="4"/>
  <c r="AC10" i="4"/>
  <c r="AC8" i="4"/>
  <c r="AC7" i="4"/>
  <c r="AC46" i="4"/>
  <c r="AC38" i="4"/>
  <c r="AC30" i="4"/>
  <c r="AC22" i="4"/>
  <c r="AC14" i="4"/>
  <c r="AC6" i="4"/>
  <c r="AC45" i="4"/>
  <c r="AC37" i="4"/>
  <c r="AC29" i="4"/>
  <c r="AC21" i="4"/>
  <c r="AC13" i="4"/>
  <c r="AC5" i="4"/>
  <c r="J16" i="4"/>
  <c r="J7" i="4"/>
  <c r="M6" i="4" s="1"/>
  <c r="M15" i="4" l="1"/>
  <c r="J18" i="4"/>
  <c r="R9" i="4" s="1"/>
  <c r="J9" i="4"/>
  <c r="Q10" i="4" s="1"/>
  <c r="M7" i="4"/>
  <c r="M8" i="4" s="1"/>
  <c r="Q9" i="4" s="1"/>
  <c r="M16" i="4"/>
  <c r="M17" i="4" s="1"/>
  <c r="S9" i="4"/>
  <c r="U8" i="4"/>
  <c r="T8" i="4"/>
  <c r="R10" i="4" l="1"/>
  <c r="T9" i="4"/>
  <c r="U9" i="4"/>
  <c r="S10" i="4"/>
  <c r="T10" i="4" l="1"/>
  <c r="U10" i="4"/>
</calcChain>
</file>

<file path=xl/sharedStrings.xml><?xml version="1.0" encoding="utf-8"?>
<sst xmlns="http://schemas.openxmlformats.org/spreadsheetml/2006/main" count="60" uniqueCount="59">
  <si>
    <t>Geometria</t>
  </si>
  <si>
    <t>hx</t>
  </si>
  <si>
    <t>Dados</t>
  </si>
  <si>
    <t>hy</t>
  </si>
  <si>
    <t>le</t>
  </si>
  <si>
    <t>Nd</t>
  </si>
  <si>
    <t>Mx,d,sup</t>
  </si>
  <si>
    <t>Mx,d,inf</t>
  </si>
  <si>
    <t>fck</t>
  </si>
  <si>
    <t>e1x,A</t>
  </si>
  <si>
    <t>e1x,B</t>
  </si>
  <si>
    <t>e1x,C</t>
  </si>
  <si>
    <t>e1x,mín</t>
  </si>
  <si>
    <t>e1y,A</t>
  </si>
  <si>
    <t>e1y,B</t>
  </si>
  <si>
    <t>e1y,C</t>
  </si>
  <si>
    <t>e1y,mín</t>
  </si>
  <si>
    <t>λx</t>
  </si>
  <si>
    <t>λy</t>
  </si>
  <si>
    <t>λ1x</t>
  </si>
  <si>
    <t>αbx</t>
  </si>
  <si>
    <t>αby</t>
  </si>
  <si>
    <t>λ1y</t>
  </si>
  <si>
    <t>e2x,C</t>
  </si>
  <si>
    <t>ex</t>
  </si>
  <si>
    <t>ey</t>
  </si>
  <si>
    <t>e2y,C</t>
  </si>
  <si>
    <t>Excentricidades de 1a ordem em x</t>
  </si>
  <si>
    <t>Excentricidades de 1a ordem em y</t>
  </si>
  <si>
    <t>Excentricidades de 2a ordem em x</t>
  </si>
  <si>
    <t>Excentricidades de 2a ordem em y</t>
  </si>
  <si>
    <t>Situações de Cálculo</t>
  </si>
  <si>
    <t>#</t>
  </si>
  <si>
    <t>1a</t>
  </si>
  <si>
    <t>2a</t>
  </si>
  <si>
    <t>3a</t>
  </si>
  <si>
    <t>4a</t>
  </si>
  <si>
    <t>My,d,sup</t>
  </si>
  <si>
    <t>My,d,inf</t>
  </si>
  <si>
    <t>e1x,topo</t>
  </si>
  <si>
    <t>e1x,base</t>
  </si>
  <si>
    <t>e1y,topo</t>
  </si>
  <si>
    <t>e1y,base</t>
  </si>
  <si>
    <t>5a</t>
  </si>
  <si>
    <t>6a</t>
  </si>
  <si>
    <t>x</t>
  </si>
  <si>
    <t>Resistênciais</t>
  </si>
  <si>
    <t>MRdxx</t>
  </si>
  <si>
    <t>MRdyy</t>
  </si>
  <si>
    <t>y</t>
  </si>
  <si>
    <t>i</t>
  </si>
  <si>
    <t>Solicitações de Projeto</t>
  </si>
  <si>
    <t>Material</t>
  </si>
  <si>
    <t>Mx</t>
  </si>
  <si>
    <t>My</t>
  </si>
  <si>
    <t>Seção</t>
  </si>
  <si>
    <t>Topo</t>
  </si>
  <si>
    <t>Base</t>
  </si>
  <si>
    <t>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</si>
</sst>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&quot; cm&quot;"/>
    <numFmt numFmtId="165" formatCode="0&quot; cm&quot;"/>
    <numFmt numFmtId="166" formatCode="0&quot; kNcm&quot;"/>
    <numFmt numFmtId="167" formatCode="0.0&quot; kN/cm²&quot;"/>
    <numFmt numFmtId="168" formatCode="0.0&quot; kN&quot;"/>
    <numFmt numFmtId="169" formatCode="0.00&quot; cm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3" borderId="0" xfId="0" applyFont="1" applyFill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0" fillId="2" borderId="9" xfId="0" applyFill="1" applyBorder="1" applyAlignment="1" applyProtection="1">
      <alignment horizontal="center" vertical="center"/>
      <protection locked="0"/>
    </xf>
    <xf numFmtId="165" fontId="1" fillId="2" borderId="10" xfId="0" applyNumberFormat="1" applyFont="1" applyFill="1" applyBorder="1" applyAlignment="1" applyProtection="1">
      <alignment horizontal="right" vertical="center"/>
      <protection locked="0"/>
    </xf>
    <xf numFmtId="166" fontId="1" fillId="2" borderId="10" xfId="0" applyNumberFormat="1" applyFont="1" applyFill="1" applyBorder="1" applyAlignment="1" applyProtection="1">
      <alignment horizontal="right" vertical="center"/>
      <protection locked="0"/>
    </xf>
    <xf numFmtId="167" fontId="1" fillId="2" borderId="10" xfId="0" applyNumberFormat="1" applyFont="1" applyFill="1" applyBorder="1" applyAlignment="1" applyProtection="1">
      <alignment horizontal="right" vertical="center"/>
      <protection locked="0"/>
    </xf>
    <xf numFmtId="168" fontId="1" fillId="2" borderId="10" xfId="0" applyNumberFormat="1" applyFont="1" applyFill="1" applyBorder="1" applyAlignment="1" applyProtection="1">
      <alignment horizontal="right" vertical="center"/>
      <protection locked="0"/>
    </xf>
    <xf numFmtId="0" fontId="0" fillId="2" borderId="0" xfId="0" applyFill="1"/>
    <xf numFmtId="164" fontId="1" fillId="3" borderId="0" xfId="0" applyNumberFormat="1" applyFont="1" applyFill="1" applyAlignment="1" applyProtection="1">
      <alignment horizontal="right" vertical="center"/>
      <protection locked="0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169" fontId="0" fillId="2" borderId="10" xfId="0" applyNumberFormat="1" applyFill="1" applyBorder="1"/>
    <xf numFmtId="0" fontId="4" fillId="2" borderId="9" xfId="0" applyFont="1" applyFill="1" applyBorder="1" applyAlignment="1">
      <alignment horizontal="center"/>
    </xf>
    <xf numFmtId="2" fontId="0" fillId="2" borderId="10" xfId="0" applyNumberFormat="1" applyFill="1" applyBorder="1"/>
    <xf numFmtId="0" fontId="0" fillId="2" borderId="10" xfId="0" applyFill="1" applyBorder="1"/>
    <xf numFmtId="0" fontId="2" fillId="2" borderId="15" xfId="0" applyFont="1" applyFill="1" applyBorder="1" applyAlignment="1">
      <alignment horizontal="center"/>
    </xf>
    <xf numFmtId="169" fontId="0" fillId="2" borderId="15" xfId="0" applyNumberForma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168" fontId="0" fillId="2" borderId="15" xfId="0" applyNumberFormat="1" applyFill="1" applyBorder="1" applyAlignment="1" applyProtection="1">
      <alignment horizontal="right"/>
      <protection locked="0"/>
    </xf>
    <xf numFmtId="166" fontId="0" fillId="2" borderId="15" xfId="0" applyNumberFormat="1" applyFill="1" applyBorder="1" applyAlignment="1" applyProtection="1">
      <alignment horizontal="right"/>
      <protection locked="0"/>
    </xf>
    <xf numFmtId="0" fontId="0" fillId="3" borderId="1" xfId="0" applyFill="1" applyBorder="1" applyProtection="1">
      <protection locked="0"/>
    </xf>
    <xf numFmtId="0" fontId="0" fillId="3" borderId="2" xfId="0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0" fillId="3" borderId="13" xfId="0" applyFill="1" applyBorder="1" applyProtection="1">
      <protection locked="0"/>
    </xf>
    <xf numFmtId="0" fontId="0" fillId="3" borderId="14" xfId="0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4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Protection="1"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406736495600393E-2"/>
          <c:y val="0.14248209510088841"/>
          <c:w val="0.75189438982464851"/>
          <c:h val="0.75994369788949878"/>
        </c:manualLayout>
      </c:layout>
      <c:scatterChart>
        <c:scatterStyle val="lineMarker"/>
        <c:varyColors val="0"/>
        <c:ser>
          <c:idx val="0"/>
          <c:order val="0"/>
          <c:tx>
            <c:v>Situações de Cálculo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CC2-460C-A09C-6C62811B9C8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CC2-460C-A09C-6C62811B9C8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CC2-460C-A09C-6C62811B9C8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4a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5CC2-460C-A09C-6C62811B9C8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5a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5CC2-460C-A09C-6C62811B9C8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6a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CC2-460C-A09C-6C62811B9C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'Situações de Cálculo'!$Q$5:$Q$10</c:f>
              <c:numCache>
                <c:formatCode>0.00" cm"</c:formatCode>
                <c:ptCount val="6"/>
                <c:pt idx="0">
                  <c:v>2.1</c:v>
                </c:pt>
                <c:pt idx="1">
                  <c:v>0</c:v>
                </c:pt>
                <c:pt idx="2">
                  <c:v>2.1</c:v>
                </c:pt>
                <c:pt idx="3">
                  <c:v>0</c:v>
                </c:pt>
                <c:pt idx="4">
                  <c:v>4.0600000000000005</c:v>
                </c:pt>
                <c:pt idx="5">
                  <c:v>0</c:v>
                </c:pt>
              </c:numCache>
            </c:numRef>
          </c:xVal>
          <c:yVal>
            <c:numRef>
              <c:f>'Situações de Cálculo'!$R$5:$R$10</c:f>
              <c:numCache>
                <c:formatCode>0.00" cm"</c:formatCode>
                <c:ptCount val="6"/>
                <c:pt idx="0">
                  <c:v>3.5657142857142858</c:v>
                </c:pt>
                <c:pt idx="1">
                  <c:v>3.5657142857142858</c:v>
                </c:pt>
                <c:pt idx="2">
                  <c:v>3.5657142857142858</c:v>
                </c:pt>
                <c:pt idx="3">
                  <c:v>3.5657142857142858</c:v>
                </c:pt>
                <c:pt idx="4">
                  <c:v>1.4262857142857144</c:v>
                </c:pt>
                <c:pt idx="5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5-4E7F-B4BB-E905B94FA46F}"/>
            </c:ext>
          </c:extLst>
        </c:ser>
        <c:ser>
          <c:idx val="1"/>
          <c:order val="1"/>
          <c:tx>
            <c:v>Envoltória Resistente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'Situações de Cálculo'!$AB$3:$AB$103</c:f>
              <c:numCache>
                <c:formatCode>General</c:formatCode>
                <c:ptCount val="101"/>
                <c:pt idx="0">
                  <c:v>0</c:v>
                </c:pt>
                <c:pt idx="1">
                  <c:v>5.1428571428571435E-2</c:v>
                </c:pt>
                <c:pt idx="2">
                  <c:v>0.10285714285714287</c:v>
                </c:pt>
                <c:pt idx="3">
                  <c:v>0.15428571428571428</c:v>
                </c:pt>
                <c:pt idx="4">
                  <c:v>0.20571428571428574</c:v>
                </c:pt>
                <c:pt idx="5">
                  <c:v>0.25714285714285717</c:v>
                </c:pt>
                <c:pt idx="6">
                  <c:v>0.30857142857142855</c:v>
                </c:pt>
                <c:pt idx="7">
                  <c:v>0.36</c:v>
                </c:pt>
                <c:pt idx="8">
                  <c:v>0.41142857142857148</c:v>
                </c:pt>
                <c:pt idx="9">
                  <c:v>0.46285714285714286</c:v>
                </c:pt>
                <c:pt idx="10">
                  <c:v>0.51428571428571435</c:v>
                </c:pt>
                <c:pt idx="11">
                  <c:v>0.56571428571428573</c:v>
                </c:pt>
                <c:pt idx="12">
                  <c:v>0.6171428571428571</c:v>
                </c:pt>
                <c:pt idx="13">
                  <c:v>0.66857142857142859</c:v>
                </c:pt>
                <c:pt idx="14">
                  <c:v>0.72</c:v>
                </c:pt>
                <c:pt idx="15">
                  <c:v>0.77142857142857135</c:v>
                </c:pt>
                <c:pt idx="16">
                  <c:v>0.82285714285714295</c:v>
                </c:pt>
                <c:pt idx="17">
                  <c:v>0.87428571428571433</c:v>
                </c:pt>
                <c:pt idx="18">
                  <c:v>0.92571428571428571</c:v>
                </c:pt>
                <c:pt idx="19">
                  <c:v>0.97714285714285709</c:v>
                </c:pt>
                <c:pt idx="20">
                  <c:v>1.0285714285714287</c:v>
                </c:pt>
                <c:pt idx="21">
                  <c:v>1.08</c:v>
                </c:pt>
                <c:pt idx="22">
                  <c:v>1.1314285714285715</c:v>
                </c:pt>
                <c:pt idx="23">
                  <c:v>1.1828571428571428</c:v>
                </c:pt>
                <c:pt idx="24">
                  <c:v>1.2342857142857142</c:v>
                </c:pt>
                <c:pt idx="25">
                  <c:v>1.2857142857142858</c:v>
                </c:pt>
                <c:pt idx="26">
                  <c:v>1.3371428571428572</c:v>
                </c:pt>
                <c:pt idx="27">
                  <c:v>1.3885714285714286</c:v>
                </c:pt>
                <c:pt idx="28">
                  <c:v>1.44</c:v>
                </c:pt>
                <c:pt idx="29">
                  <c:v>1.4914285714285713</c:v>
                </c:pt>
                <c:pt idx="30">
                  <c:v>1.5428571428571427</c:v>
                </c:pt>
                <c:pt idx="31">
                  <c:v>1.5942857142857141</c:v>
                </c:pt>
                <c:pt idx="32">
                  <c:v>1.6457142857142859</c:v>
                </c:pt>
                <c:pt idx="33">
                  <c:v>1.6971428571428573</c:v>
                </c:pt>
                <c:pt idx="34">
                  <c:v>1.7485714285714287</c:v>
                </c:pt>
                <c:pt idx="35">
                  <c:v>1.8</c:v>
                </c:pt>
                <c:pt idx="36">
                  <c:v>1.8514285714285714</c:v>
                </c:pt>
                <c:pt idx="37">
                  <c:v>1.9028571428571428</c:v>
                </c:pt>
                <c:pt idx="38">
                  <c:v>1.9542857142857142</c:v>
                </c:pt>
                <c:pt idx="39">
                  <c:v>2.0057142857142858</c:v>
                </c:pt>
                <c:pt idx="40">
                  <c:v>2.0571428571428574</c:v>
                </c:pt>
                <c:pt idx="41">
                  <c:v>2.1085714285714285</c:v>
                </c:pt>
                <c:pt idx="42">
                  <c:v>2.16</c:v>
                </c:pt>
                <c:pt idx="43">
                  <c:v>2.2114285714285713</c:v>
                </c:pt>
                <c:pt idx="44">
                  <c:v>2.2628571428571429</c:v>
                </c:pt>
                <c:pt idx="45">
                  <c:v>2.3142857142857141</c:v>
                </c:pt>
                <c:pt idx="46">
                  <c:v>2.3657142857142857</c:v>
                </c:pt>
                <c:pt idx="47">
                  <c:v>2.4171428571428573</c:v>
                </c:pt>
                <c:pt idx="48">
                  <c:v>2.4685714285714284</c:v>
                </c:pt>
                <c:pt idx="49">
                  <c:v>2.52</c:v>
                </c:pt>
                <c:pt idx="50">
                  <c:v>2.5714285714285716</c:v>
                </c:pt>
                <c:pt idx="51">
                  <c:v>2.6228571428571428</c:v>
                </c:pt>
                <c:pt idx="52">
                  <c:v>2.6742857142857144</c:v>
                </c:pt>
                <c:pt idx="53">
                  <c:v>2.7257142857142855</c:v>
                </c:pt>
                <c:pt idx="54">
                  <c:v>2.7771428571428571</c:v>
                </c:pt>
                <c:pt idx="55">
                  <c:v>2.8285714285714283</c:v>
                </c:pt>
                <c:pt idx="56">
                  <c:v>2.88</c:v>
                </c:pt>
                <c:pt idx="57">
                  <c:v>2.9314285714285715</c:v>
                </c:pt>
                <c:pt idx="58">
                  <c:v>2.9828571428571427</c:v>
                </c:pt>
                <c:pt idx="59">
                  <c:v>3.0342857142857143</c:v>
                </c:pt>
                <c:pt idx="60">
                  <c:v>3.0857142857142854</c:v>
                </c:pt>
                <c:pt idx="61">
                  <c:v>3.137142857142857</c:v>
                </c:pt>
                <c:pt idx="62">
                  <c:v>3.1885714285714282</c:v>
                </c:pt>
                <c:pt idx="63">
                  <c:v>3.24</c:v>
                </c:pt>
                <c:pt idx="64">
                  <c:v>3.2914285714285718</c:v>
                </c:pt>
                <c:pt idx="65">
                  <c:v>3.342857142857143</c:v>
                </c:pt>
                <c:pt idx="66">
                  <c:v>3.3942857142857146</c:v>
                </c:pt>
                <c:pt idx="67">
                  <c:v>3.4457142857142857</c:v>
                </c:pt>
                <c:pt idx="68">
                  <c:v>3.4971428571428573</c:v>
                </c:pt>
                <c:pt idx="69">
                  <c:v>3.5485714285714285</c:v>
                </c:pt>
                <c:pt idx="70">
                  <c:v>3.6</c:v>
                </c:pt>
                <c:pt idx="71">
                  <c:v>3.6514285714285717</c:v>
                </c:pt>
                <c:pt idx="72">
                  <c:v>3.7028571428571428</c:v>
                </c:pt>
                <c:pt idx="73">
                  <c:v>3.7542857142857144</c:v>
                </c:pt>
                <c:pt idx="74">
                  <c:v>3.8057142857142856</c:v>
                </c:pt>
                <c:pt idx="75">
                  <c:v>3.8571428571428572</c:v>
                </c:pt>
                <c:pt idx="76">
                  <c:v>3.9085714285714284</c:v>
                </c:pt>
                <c:pt idx="77">
                  <c:v>3.96</c:v>
                </c:pt>
                <c:pt idx="78">
                  <c:v>4.0114285714285716</c:v>
                </c:pt>
                <c:pt idx="79">
                  <c:v>4.0628571428571432</c:v>
                </c:pt>
                <c:pt idx="80">
                  <c:v>4.1142857142857148</c:v>
                </c:pt>
                <c:pt idx="81">
                  <c:v>4.1657142857142855</c:v>
                </c:pt>
                <c:pt idx="82">
                  <c:v>4.2171428571428571</c:v>
                </c:pt>
                <c:pt idx="83">
                  <c:v>4.2685714285714287</c:v>
                </c:pt>
                <c:pt idx="84">
                  <c:v>4.32</c:v>
                </c:pt>
                <c:pt idx="85">
                  <c:v>4.3714285714285719</c:v>
                </c:pt>
                <c:pt idx="86">
                  <c:v>4.4228571428571426</c:v>
                </c:pt>
                <c:pt idx="87">
                  <c:v>4.4742857142857142</c:v>
                </c:pt>
                <c:pt idx="88">
                  <c:v>4.5257142857142858</c:v>
                </c:pt>
                <c:pt idx="89">
                  <c:v>4.5771428571428574</c:v>
                </c:pt>
                <c:pt idx="90">
                  <c:v>4.6285714285714281</c:v>
                </c:pt>
                <c:pt idx="91">
                  <c:v>4.68</c:v>
                </c:pt>
                <c:pt idx="92">
                  <c:v>4.7314285714285713</c:v>
                </c:pt>
                <c:pt idx="93">
                  <c:v>4.7828571428571429</c:v>
                </c:pt>
                <c:pt idx="94">
                  <c:v>4.8342857142857145</c:v>
                </c:pt>
                <c:pt idx="95">
                  <c:v>4.8857142857142852</c:v>
                </c:pt>
                <c:pt idx="96">
                  <c:v>4.9371428571428568</c:v>
                </c:pt>
                <c:pt idx="97">
                  <c:v>4.9885714285714284</c:v>
                </c:pt>
                <c:pt idx="98">
                  <c:v>5.04</c:v>
                </c:pt>
                <c:pt idx="99">
                  <c:v>5.0914285714285716</c:v>
                </c:pt>
                <c:pt idx="100">
                  <c:v>5.1428571428571432</c:v>
                </c:pt>
              </c:numCache>
            </c:numRef>
          </c:xVal>
          <c:yVal>
            <c:numRef>
              <c:f>'Situações de Cálculo'!$AC$3:$AC$103</c:f>
              <c:numCache>
                <c:formatCode>General</c:formatCode>
                <c:ptCount val="101"/>
                <c:pt idx="0">
                  <c:v>5.2857142857142856</c:v>
                </c:pt>
                <c:pt idx="1">
                  <c:v>5.2681727861351293</c:v>
                </c:pt>
                <c:pt idx="2">
                  <c:v>5.2453970732368385</c:v>
                </c:pt>
                <c:pt idx="3">
                  <c:v>5.2200983689559894</c:v>
                </c:pt>
                <c:pt idx="4">
                  <c:v>5.1929970457482808</c:v>
                </c:pt>
                <c:pt idx="5">
                  <c:v>5.1644619773831737</c:v>
                </c:pt>
                <c:pt idx="6">
                  <c:v>5.1347215933819133</c:v>
                </c:pt>
                <c:pt idx="7">
                  <c:v>5.1039325648750653</c:v>
                </c:pt>
                <c:pt idx="8">
                  <c:v>5.0722095379463745</c:v>
                </c:pt>
                <c:pt idx="9">
                  <c:v>5.0396402628006252</c:v>
                </c:pt>
                <c:pt idx="10">
                  <c:v>5.0062941590987409</c:v>
                </c:pt>
                <c:pt idx="11">
                  <c:v>4.9722275508397411</c:v>
                </c:pt>
                <c:pt idx="12">
                  <c:v>4.9374870562276865</c:v>
                </c:pt>
                <c:pt idx="13">
                  <c:v>4.9021118846387299</c:v>
                </c:pt>
                <c:pt idx="14">
                  <c:v>4.8661354510193915</c:v>
                </c:pt>
                <c:pt idx="15">
                  <c:v>4.8295865452676709</c:v>
                </c:pt>
                <c:pt idx="16">
                  <c:v>4.7924902009460002</c:v>
                </c:pt>
                <c:pt idx="17">
                  <c:v>4.754868354650359</c:v>
                </c:pt>
                <c:pt idx="18">
                  <c:v>4.7167403558203178</c:v>
                </c:pt>
                <c:pt idx="19">
                  <c:v>4.6781233672916711</c:v>
                </c:pt>
                <c:pt idx="20">
                  <c:v>4.6390326844594849</c:v>
                </c:pt>
                <c:pt idx="21">
                  <c:v>4.599481992756119</c:v>
                </c:pt>
                <c:pt idx="22">
                  <c:v>4.5594835776539266</c:v>
                </c:pt>
                <c:pt idx="23">
                  <c:v>4.5190484976210525</c:v>
                </c:pt>
                <c:pt idx="24">
                  <c:v>4.4781867278047249</c:v>
                </c:pt>
                <c:pt idx="25">
                  <c:v>4.4369072803203595</c:v>
                </c:pt>
                <c:pt idx="26">
                  <c:v>4.3952183056481706</c:v>
                </c:pt>
                <c:pt idx="27">
                  <c:v>4.3531271786249564</c:v>
                </c:pt>
                <c:pt idx="28">
                  <c:v>4.3106405717616063</c:v>
                </c:pt>
                <c:pt idx="29">
                  <c:v>4.2677645180447588</c:v>
                </c:pt>
                <c:pt idx="30">
                  <c:v>4.2245044649436219</c:v>
                </c:pt>
                <c:pt idx="31">
                  <c:v>4.1808653210051556</c:v>
                </c:pt>
                <c:pt idx="32">
                  <c:v>4.1368514961572433</c:v>
                </c:pt>
                <c:pt idx="33">
                  <c:v>4.0924669366319568</c:v>
                </c:pt>
                <c:pt idx="34">
                  <c:v>4.0477151552561672</c:v>
                </c:pt>
                <c:pt idx="35">
                  <c:v>4.0025992577247305</c:v>
                </c:pt>
                <c:pt idx="36">
                  <c:v>3.9571219653648</c:v>
                </c:pt>
                <c:pt idx="37">
                  <c:v>3.9112856348129892</c:v>
                </c:pt>
                <c:pt idx="38">
                  <c:v>3.8650922749558507</c:v>
                </c:pt>
                <c:pt idx="39">
                  <c:v>3.8185435614251286</c:v>
                </c:pt>
                <c:pt idx="40">
                  <c:v>3.7716408488900126</c:v>
                </c:pt>
                <c:pt idx="41">
                  <c:v>3.7243851813471363</c:v>
                </c:pt>
                <c:pt idx="42">
                  <c:v>3.6767773005737729</c:v>
                </c:pt>
                <c:pt idx="43">
                  <c:v>3.6288176528792975</c:v>
                </c:pt>
                <c:pt idx="44">
                  <c:v>3.5805063942635482</c:v>
                </c:pt>
                <c:pt idx="45">
                  <c:v>3.5318433940673648</c:v>
                </c:pt>
                <c:pt idx="46">
                  <c:v>3.4828282371795876</c:v>
                </c:pt>
                <c:pt idx="47">
                  <c:v>3.4334602248457173</c:v>
                </c:pt>
                <c:pt idx="48">
                  <c:v>3.3837383741055791</c:v>
                </c:pt>
                <c:pt idx="49">
                  <c:v>3.3336614158704214</c:v>
                </c:pt>
                <c:pt idx="50">
                  <c:v>3.2832277916334376</c:v>
                </c:pt>
                <c:pt idx="51">
                  <c:v>3.2324356487913293</c:v>
                </c:pt>
                <c:pt idx="52">
                  <c:v>3.1812828345379458</c:v>
                </c:pt>
                <c:pt idx="53">
                  <c:v>3.1297668882737639</c:v>
                </c:pt>
                <c:pt idx="54">
                  <c:v>3.077885032456702</c:v>
                </c:pt>
                <c:pt idx="55">
                  <c:v>3.0256341618000664</c:v>
                </c:pt>
                <c:pt idx="56">
                  <c:v>2.9730108307017558</c:v>
                </c:pt>
                <c:pt idx="57">
                  <c:v>2.9200112387648218</c:v>
                </c:pt>
                <c:pt idx="58">
                  <c:v>2.8666312142423291</c:v>
                </c:pt>
                <c:pt idx="59">
                  <c:v>2.812866195208541</c:v>
                </c:pt>
                <c:pt idx="60">
                  <c:v>2.7587112082228926</c:v>
                </c:pt>
                <c:pt idx="61">
                  <c:v>2.7041608442119149</c:v>
                </c:pt>
                <c:pt idx="62">
                  <c:v>2.6492092312460138</c:v>
                </c:pt>
                <c:pt idx="63">
                  <c:v>2.5938500038311214</c:v>
                </c:pt>
                <c:pt idx="64">
                  <c:v>2.5380762682678366</c:v>
                </c:pt>
                <c:pt idx="65">
                  <c:v>2.4818805635502637</c:v>
                </c:pt>
                <c:pt idx="66">
                  <c:v>2.4252548171802353</c:v>
                </c:pt>
                <c:pt idx="67">
                  <c:v>2.3681902951560359</c:v>
                </c:pt>
                <c:pt idx="68">
                  <c:v>2.3106775452531969</c:v>
                </c:pt>
                <c:pt idx="69">
                  <c:v>2.2527063325418109</c:v>
                </c:pt>
                <c:pt idx="70">
                  <c:v>2.1942655658718988</c:v>
                </c:pt>
                <c:pt idx="71">
                  <c:v>2.1353432137947062</c:v>
                </c:pt>
                <c:pt idx="72">
                  <c:v>2.0759262080589234</c:v>
                </c:pt>
                <c:pt idx="73">
                  <c:v>2.0160003324078533</c:v>
                </c:pt>
                <c:pt idx="74">
                  <c:v>1.9555500938806101</c:v>
                </c:pt>
                <c:pt idx="75">
                  <c:v>1.8945585731531136</c:v>
                </c:pt>
                <c:pt idx="76">
                  <c:v>1.8330072495953527</c:v>
                </c:pt>
                <c:pt idx="77">
                  <c:v>1.7708757956045202</c:v>
                </c:pt>
                <c:pt idx="78">
                  <c:v>1.7081418333073277</c:v>
                </c:pt>
                <c:pt idx="79">
                  <c:v>1.6447806447784161</c:v>
                </c:pt>
                <c:pt idx="80">
                  <c:v>1.5807648243077417</c:v>
                </c:pt>
                <c:pt idx="81">
                  <c:v>1.5160638576934473</c:v>
                </c:pt>
                <c:pt idx="82">
                  <c:v>1.4506436086303938</c:v>
                </c:pt>
                <c:pt idx="83">
                  <c:v>1.3844656853908404</c:v>
                </c:pt>
                <c:pt idx="84">
                  <c:v>1.3174866511998942</c:v>
                </c:pt>
                <c:pt idx="85">
                  <c:v>1.2496570274900853</c:v>
                </c:pt>
                <c:pt idx="86">
                  <c:v>1.1809200181436184</c:v>
                </c:pt>
                <c:pt idx="87">
                  <c:v>1.1112098508524726</c:v>
                </c:pt>
                <c:pt idx="88">
                  <c:v>1.0404495819107813</c:v>
                </c:pt>
                <c:pt idx="89">
                  <c:v>0.96854813078990354</c:v>
                </c:pt>
                <c:pt idx="90">
                  <c:v>0.8953961779912587</c:v>
                </c:pt>
                <c:pt idx="91">
                  <c:v>0.82086032992834512</c:v>
                </c:pt>
                <c:pt idx="92">
                  <c:v>0.74477453812683891</c:v>
                </c:pt>
                <c:pt idx="93">
                  <c:v>0.66692696128866835</c:v>
                </c:pt>
                <c:pt idx="94">
                  <c:v>0.58703881756787268</c:v>
                </c:pt>
                <c:pt idx="95">
                  <c:v>0.50472809798979501</c:v>
                </c:pt>
                <c:pt idx="96">
                  <c:v>0.41944179937327797</c:v>
                </c:pt>
                <c:pt idx="97">
                  <c:v>0.33031343236522942</c:v>
                </c:pt>
                <c:pt idx="98">
                  <c:v>0.23580405356888531</c:v>
                </c:pt>
                <c:pt idx="99">
                  <c:v>0.13245194054761389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55-4E7F-B4BB-E905B94FA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070040"/>
        <c:axId val="575970952"/>
      </c:scatterChart>
      <c:valAx>
        <c:axId val="57407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970952"/>
        <c:crosses val="autoZero"/>
        <c:crossBetween val="midCat"/>
      </c:valAx>
      <c:valAx>
        <c:axId val="57597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070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2" Type="http://schemas.openxmlformats.org/officeDocument/2006/relationships/hyperlink" Target="https://www.instagram.com/professordeestruturas/" TargetMode="External"/><Relationship Id="rId1" Type="http://schemas.openxmlformats.org/officeDocument/2006/relationships/chart" Target="../charts/chart1.xml"/><Relationship Id="rId6" Type="http://schemas.openxmlformats.org/officeDocument/2006/relationships/hyperlink" Target="https://linktr.ee/professordeestruturas" TargetMode="External"/><Relationship Id="rId5" Type="http://schemas.openxmlformats.org/officeDocument/2006/relationships/image" Target="../media/image2.png"/><Relationship Id="rId4" Type="http://schemas.openxmlformats.org/officeDocument/2006/relationships/hyperlink" Target="mailto:matheuscarini@gmail.com" TargetMode="External"/><Relationship Id="rId9" Type="http://schemas.openxmlformats.org/officeDocument/2006/relationships/hyperlink" Target="https://professordeestruturas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171449</xdr:colOff>
      <xdr:row>10</xdr:row>
      <xdr:rowOff>114300</xdr:rowOff>
    </xdr:from>
    <xdr:to>
      <xdr:col>21</xdr:col>
      <xdr:colOff>400049</xdr:colOff>
      <xdr:row>26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C76B5E-B1DC-4BAC-AC81-C8AD3B61A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291811</xdr:colOff>
      <xdr:row>27</xdr:row>
      <xdr:rowOff>22346</xdr:rowOff>
    </xdr:from>
    <xdr:to>
      <xdr:col>19</xdr:col>
      <xdr:colOff>548986</xdr:colOff>
      <xdr:row>28</xdr:row>
      <xdr:rowOff>117596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98C0F708-2AD7-4340-8806-B77BB45E4299}"/>
            </a:ext>
          </a:extLst>
        </xdr:cNvPr>
        <xdr:cNvSpPr txBox="1"/>
      </xdr:nvSpPr>
      <xdr:spPr>
        <a:xfrm>
          <a:off x="9550111" y="5203946"/>
          <a:ext cx="10001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20180223</a:t>
          </a:r>
        </a:p>
      </xdr:txBody>
    </xdr:sp>
    <xdr:clientData/>
  </xdr:twoCellAnchor>
  <xdr:twoCellAnchor>
    <xdr:from>
      <xdr:col>14</xdr:col>
      <xdr:colOff>323850</xdr:colOff>
      <xdr:row>26</xdr:row>
      <xdr:rowOff>180975</xdr:rowOff>
    </xdr:from>
    <xdr:to>
      <xdr:col>16</xdr:col>
      <xdr:colOff>583593</xdr:colOff>
      <xdr:row>28</xdr:row>
      <xdr:rowOff>101451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2F267D08-0981-4013-91BC-D059F15556D6}"/>
            </a:ext>
          </a:extLst>
        </xdr:cNvPr>
        <xdr:cNvGrpSpPr/>
      </xdr:nvGrpSpPr>
      <xdr:grpSpPr>
        <a:xfrm>
          <a:off x="7381875" y="5172075"/>
          <a:ext cx="1050318" cy="301476"/>
          <a:chOff x="7894308" y="3609975"/>
          <a:chExt cx="1050318" cy="301476"/>
        </a:xfrm>
      </xdr:grpSpPr>
      <xdr:pic>
        <xdr:nvPicPr>
          <xdr:cNvPr id="4" name="Imagem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59249B7-B134-187D-6B77-5D19E692C0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94308" y="3670392"/>
            <a:ext cx="204404" cy="203388"/>
          </a:xfrm>
          <a:prstGeom prst="rect">
            <a:avLst/>
          </a:prstGeom>
        </xdr:spPr>
      </xdr:pic>
      <xdr:pic>
        <xdr:nvPicPr>
          <xdr:cNvPr id="6" name="Imagem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6A9BC9A-8F1B-FCB5-CA50-E719CD5322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1014" y="3609975"/>
            <a:ext cx="303612" cy="301476"/>
          </a:xfrm>
          <a:prstGeom prst="rect">
            <a:avLst/>
          </a:prstGeom>
        </xdr:spPr>
      </xdr:pic>
      <xdr:pic>
        <xdr:nvPicPr>
          <xdr:cNvPr id="13" name="Imagem 12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661C81A-3AED-7B71-98F3-29380CDD98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52348" y="3672478"/>
            <a:ext cx="228600" cy="19921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285750</xdr:colOff>
      <xdr:row>26</xdr:row>
      <xdr:rowOff>161925</xdr:rowOff>
    </xdr:from>
    <xdr:to>
      <xdr:col>19</xdr:col>
      <xdr:colOff>548986</xdr:colOff>
      <xdr:row>28</xdr:row>
      <xdr:rowOff>108071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72147977-A383-404E-AE08-E85FCA7287ED}"/>
            </a:ext>
          </a:extLst>
        </xdr:cNvPr>
        <xdr:cNvGrpSpPr/>
      </xdr:nvGrpSpPr>
      <xdr:grpSpPr>
        <a:xfrm>
          <a:off x="285750" y="5153025"/>
          <a:ext cx="10264486" cy="327146"/>
          <a:chOff x="323850" y="6010275"/>
          <a:chExt cx="10264486" cy="327146"/>
        </a:xfrm>
      </xdr:grpSpPr>
      <xdr:pic>
        <xdr:nvPicPr>
          <xdr:cNvPr id="7" name="Imagem 6">
            <a:extLst>
              <a:ext uri="{FF2B5EF4-FFF2-40B4-BE49-F238E27FC236}">
                <a16:creationId xmlns:a16="http://schemas.microsoft.com/office/drawing/2014/main" id="{36BBEBEA-C9F9-FD66-4D59-B1129572C7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94D55A6A-5872-3B0D-1D5A-DB971BCCA094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12" name="Imagem 11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EE973D3-9513-E016-7D4D-419B403E06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4" name="Imagem 13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2EF772D6-C5A1-B897-95D0-ADA0AB5B2C6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5" name="Imagem 14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11C862F6-57AE-1622-A2D0-B7EC80CD67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105C2793-6710-F05E-9FAD-3B3479C0F762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20180223</a:t>
            </a: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0.01818</cdr:x>
      <cdr:y>0.01262</cdr:y>
    </cdr:from>
    <cdr:to>
      <cdr:x>0.17273</cdr:x>
      <cdr:y>0.09779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261F3448-65F5-4512-851F-68054C438D2C}"/>
            </a:ext>
          </a:extLst>
        </cdr:cNvPr>
        <cdr:cNvSpPr txBox="1"/>
      </cdr:nvSpPr>
      <cdr:spPr>
        <a:xfrm xmlns:a="http://schemas.openxmlformats.org/drawingml/2006/main">
          <a:off x="76200" y="38100"/>
          <a:ext cx="6477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 b="1"/>
            <a:t>ey</a:t>
          </a:r>
          <a:r>
            <a:rPr lang="pt-BR" sz="1100" b="1" baseline="0"/>
            <a:t> (cm)</a:t>
          </a:r>
          <a:endParaRPr lang="pt-BR" sz="1100" b="1"/>
        </a:p>
      </cdr:txBody>
    </cdr:sp>
  </cdr:relSizeAnchor>
  <cdr:relSizeAnchor xmlns:cdr="http://schemas.openxmlformats.org/drawingml/2006/chartDrawing">
    <cdr:from>
      <cdr:x>0.84545</cdr:x>
      <cdr:y>0.84858</cdr:y>
    </cdr:from>
    <cdr:to>
      <cdr:x>1</cdr:x>
      <cdr:y>0.93375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BFC01920-CAAE-4022-9519-54791AE7A06C}"/>
            </a:ext>
          </a:extLst>
        </cdr:cNvPr>
        <cdr:cNvSpPr txBox="1"/>
      </cdr:nvSpPr>
      <cdr:spPr>
        <a:xfrm xmlns:a="http://schemas.openxmlformats.org/drawingml/2006/main">
          <a:off x="4340543" y="2562225"/>
          <a:ext cx="793432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 b="1"/>
            <a:t>ex</a:t>
          </a:r>
          <a:r>
            <a:rPr lang="pt-BR" sz="1100" b="1" baseline="0"/>
            <a:t> (cm)</a:t>
          </a:r>
          <a:endParaRPr lang="pt-BR" sz="1100" b="1"/>
        </a:p>
      </cdr:txBody>
    </cdr:sp>
  </cdr:relSizeAnchor>
</c:userShap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7C13-C6F4-4275-97C8-6B2D836C90A7}">
  <dimension ref="B1:AC103"/>
  <sheetViews>
    <sheetView tabSelected="1" zoomScaleNormal="100" workbookViewId="0">
      <selection activeCell="F21" sqref="F21"/>
    </sheetView>
  </sheetViews>
  <sheetFormatPr defaultColWidth="9.140625" defaultRowHeight="15" x14ac:dyDescent="0.25"/>
  <cols>
    <col min="1" max="2" width="4.5703125" style="8" customWidth="1"/>
    <col min="3" max="3" width="9.140625" style="8"/>
    <col min="4" max="4" width="9.140625" style="8" bestFit="1" customWidth="1"/>
    <col min="5" max="5" width="13" style="8" customWidth="1"/>
    <col min="6" max="6" width="9.140625" style="8"/>
    <col min="7" max="8" width="4.5703125" style="8" customWidth="1"/>
    <col min="9" max="9" width="8.85546875" style="10" bestFit="1" customWidth="1"/>
    <col min="10" max="10" width="10.5703125" style="8" customWidth="1"/>
    <col min="11" max="11" width="4.5703125" style="8" customWidth="1"/>
    <col min="12" max="12" width="8" style="10" customWidth="1"/>
    <col min="13" max="13" width="10.5703125" style="8" customWidth="1"/>
    <col min="14" max="14" width="4.5703125" style="8" customWidth="1"/>
    <col min="15" max="15" width="7.28515625" style="8" customWidth="1"/>
    <col min="16" max="16" width="4.5703125" style="8" customWidth="1"/>
    <col min="17" max="18" width="10.5703125" style="8" customWidth="1"/>
    <col min="19" max="19" width="11.140625" style="8" customWidth="1"/>
    <col min="20" max="21" width="12.5703125" style="8" customWidth="1"/>
    <col min="22" max="26" width="9.140625" style="8"/>
    <col min="27" max="29" width="0" style="8" hidden="1" customWidth="1"/>
    <col min="30" max="16384" width="9.140625" style="8"/>
  </cols>
  <sheetData>
    <row r="1" spans="2:29" ht="15.75" thickBot="1" x14ac:dyDescent="0.3"/>
    <row r="2" spans="2:29" ht="15.75" thickBot="1" x14ac:dyDescent="0.3">
      <c r="B2" s="21"/>
      <c r="C2" s="22"/>
      <c r="D2" s="22"/>
      <c r="E2" s="22"/>
      <c r="F2" s="22"/>
      <c r="G2" s="23"/>
      <c r="AA2" s="8" t="s">
        <v>50</v>
      </c>
      <c r="AB2" s="10" t="s">
        <v>45</v>
      </c>
      <c r="AC2" s="8" t="s">
        <v>49</v>
      </c>
    </row>
    <row r="3" spans="2:29" ht="15" customHeight="1" x14ac:dyDescent="0.25">
      <c r="B3" s="24"/>
      <c r="C3" s="32" t="s">
        <v>2</v>
      </c>
      <c r="D3" s="33"/>
      <c r="E3" s="33"/>
      <c r="F3" s="34"/>
      <c r="G3" s="25"/>
      <c r="I3" s="38" t="s">
        <v>27</v>
      </c>
      <c r="J3" s="39"/>
      <c r="L3" s="38" t="s">
        <v>29</v>
      </c>
      <c r="M3" s="39"/>
      <c r="O3" s="42" t="s">
        <v>31</v>
      </c>
      <c r="P3" s="42"/>
      <c r="Q3" s="42"/>
      <c r="R3" s="42"/>
      <c r="S3" s="42"/>
      <c r="T3" s="42"/>
      <c r="U3" s="42"/>
      <c r="AA3" s="8">
        <v>0</v>
      </c>
      <c r="AB3" s="8">
        <f>AA3*E$22/E$12/100</f>
        <v>0</v>
      </c>
      <c r="AC3" s="8">
        <f>E$23/E$12*(1-(AB3/$AB$103)^1.2)^(1/1.2)</f>
        <v>5.2857142857142856</v>
      </c>
    </row>
    <row r="4" spans="2:29" ht="15.75" thickBot="1" x14ac:dyDescent="0.3">
      <c r="B4" s="24"/>
      <c r="C4" s="35"/>
      <c r="D4" s="36"/>
      <c r="E4" s="36"/>
      <c r="F4" s="37"/>
      <c r="G4" s="25"/>
      <c r="I4" s="40"/>
      <c r="J4" s="41"/>
      <c r="L4" s="40"/>
      <c r="M4" s="41"/>
      <c r="O4" s="18" t="s">
        <v>55</v>
      </c>
      <c r="P4" s="18" t="s">
        <v>32</v>
      </c>
      <c r="Q4" s="18" t="s">
        <v>24</v>
      </c>
      <c r="R4" s="18" t="s">
        <v>25</v>
      </c>
      <c r="S4" s="18" t="s">
        <v>5</v>
      </c>
      <c r="T4" s="18" t="s">
        <v>53</v>
      </c>
      <c r="U4" s="18" t="s">
        <v>54</v>
      </c>
      <c r="AA4" s="8">
        <v>1</v>
      </c>
      <c r="AB4" s="8">
        <f>AA4*E$22/E$12/100</f>
        <v>5.1428571428571435E-2</v>
      </c>
      <c r="AC4" s="8">
        <f t="shared" ref="AC4:AC67" si="0">E$23/E$12*(1-(AB4/$AB$103)^1.2)^(1/1.2)</f>
        <v>5.2681727861351293</v>
      </c>
    </row>
    <row r="5" spans="2:29" x14ac:dyDescent="0.25">
      <c r="B5" s="24"/>
      <c r="C5" s="1"/>
      <c r="D5" s="1"/>
      <c r="E5" s="1"/>
      <c r="F5" s="1"/>
      <c r="G5" s="25"/>
      <c r="I5" s="11" t="s">
        <v>39</v>
      </c>
      <c r="J5" s="12">
        <f>E13/E12</f>
        <v>0</v>
      </c>
      <c r="L5" s="13" t="s">
        <v>17</v>
      </c>
      <c r="M5" s="14">
        <f>3.46*E9/E7</f>
        <v>48.44</v>
      </c>
      <c r="O5" s="43" t="s">
        <v>56</v>
      </c>
      <c r="P5" s="16" t="s">
        <v>33</v>
      </c>
      <c r="Q5" s="17">
        <f>MAX(J5,J10)</f>
        <v>2.1</v>
      </c>
      <c r="R5" s="17">
        <f>J14</f>
        <v>3.5657142857142858</v>
      </c>
      <c r="S5" s="19">
        <f>E12</f>
        <v>350</v>
      </c>
      <c r="T5" s="20">
        <f>S5*Q5</f>
        <v>735</v>
      </c>
      <c r="U5" s="20">
        <f>S5*R5</f>
        <v>1248</v>
      </c>
      <c r="AA5" s="8">
        <v>2</v>
      </c>
      <c r="AB5" s="8">
        <f t="shared" ref="AB5:AB68" si="1">AA5*E$22/E$12/100</f>
        <v>0.10285714285714287</v>
      </c>
      <c r="AC5" s="8">
        <f t="shared" si="0"/>
        <v>5.2453970732368385</v>
      </c>
    </row>
    <row r="6" spans="2:29" x14ac:dyDescent="0.25">
      <c r="B6" s="24"/>
      <c r="C6" s="1"/>
      <c r="D6" s="30" t="s">
        <v>0</v>
      </c>
      <c r="E6" s="31"/>
      <c r="F6" s="1"/>
      <c r="G6" s="25"/>
      <c r="I6" s="11" t="s">
        <v>40</v>
      </c>
      <c r="J6" s="12">
        <f>E14/E12</f>
        <v>0</v>
      </c>
      <c r="L6" s="13" t="s">
        <v>20</v>
      </c>
      <c r="M6" s="14">
        <f>IF(J7&lt;J10,1,MAX(0.6+0.4*J8/J7,0.4))</f>
        <v>1</v>
      </c>
      <c r="O6" s="44"/>
      <c r="P6" s="16" t="s">
        <v>34</v>
      </c>
      <c r="Q6" s="17">
        <f>J5</f>
        <v>0</v>
      </c>
      <c r="R6" s="17">
        <f>MAX(J14,J19)</f>
        <v>3.5657142857142858</v>
      </c>
      <c r="S6" s="19">
        <f>S5</f>
        <v>350</v>
      </c>
      <c r="T6" s="20">
        <f t="shared" ref="T6:T10" si="2">S6*Q6</f>
        <v>0</v>
      </c>
      <c r="U6" s="20">
        <f t="shared" ref="U6:U10" si="3">S6*R6</f>
        <v>1248</v>
      </c>
      <c r="AA6" s="8">
        <v>3</v>
      </c>
      <c r="AB6" s="8">
        <f t="shared" si="1"/>
        <v>0.15428571428571428</v>
      </c>
      <c r="AC6" s="8">
        <f t="shared" si="0"/>
        <v>5.2200983689559894</v>
      </c>
    </row>
    <row r="7" spans="2:29" x14ac:dyDescent="0.25">
      <c r="B7" s="24"/>
      <c r="C7" s="1"/>
      <c r="D7" s="3" t="s">
        <v>1</v>
      </c>
      <c r="E7" s="4">
        <v>20</v>
      </c>
      <c r="F7" s="1"/>
      <c r="G7" s="25"/>
      <c r="I7" s="11" t="s">
        <v>9</v>
      </c>
      <c r="J7" s="12">
        <f>MAX(J5:J6)</f>
        <v>0</v>
      </c>
      <c r="L7" s="13" t="s">
        <v>19</v>
      </c>
      <c r="M7" s="14">
        <f>MAX(MIN((25+12.5*J7/E7)/M6,90),35)</f>
        <v>35</v>
      </c>
      <c r="O7" s="43" t="s">
        <v>57</v>
      </c>
      <c r="P7" s="16" t="s">
        <v>35</v>
      </c>
      <c r="Q7" s="17">
        <f>MAX(J6,J10)</f>
        <v>2.1</v>
      </c>
      <c r="R7" s="17">
        <f>J15</f>
        <v>3.5657142857142858</v>
      </c>
      <c r="S7" s="19">
        <f t="shared" ref="S7:S10" si="4">S6</f>
        <v>350</v>
      </c>
      <c r="T7" s="20">
        <f t="shared" si="2"/>
        <v>735</v>
      </c>
      <c r="U7" s="20">
        <f t="shared" si="3"/>
        <v>1248</v>
      </c>
      <c r="AA7" s="8">
        <v>4</v>
      </c>
      <c r="AB7" s="8">
        <f t="shared" si="1"/>
        <v>0.20571428571428574</v>
      </c>
      <c r="AC7" s="8">
        <f t="shared" si="0"/>
        <v>5.1929970457482808</v>
      </c>
    </row>
    <row r="8" spans="2:29" x14ac:dyDescent="0.25">
      <c r="B8" s="24"/>
      <c r="C8" s="1"/>
      <c r="D8" s="3" t="s">
        <v>3</v>
      </c>
      <c r="E8" s="4">
        <v>40</v>
      </c>
      <c r="F8" s="1"/>
      <c r="G8" s="25"/>
      <c r="I8" s="11" t="s">
        <v>10</v>
      </c>
      <c r="J8" s="12">
        <f>-MIN(J5:J6)</f>
        <v>0</v>
      </c>
      <c r="L8" s="13" t="s">
        <v>23</v>
      </c>
      <c r="M8" s="12">
        <f>IF(M5&lt;=M7,0,0.0005*E$9^2/((MAX(E$12/(E$7*E$8*E$19/1.4),0.5)+0.5)*E7))</f>
        <v>1.9600000000000002</v>
      </c>
      <c r="O8" s="44"/>
      <c r="P8" s="16" t="s">
        <v>36</v>
      </c>
      <c r="Q8" s="17">
        <f>J6</f>
        <v>0</v>
      </c>
      <c r="R8" s="17">
        <f>MAX(J15,J19)</f>
        <v>3.5657142857142858</v>
      </c>
      <c r="S8" s="19">
        <f t="shared" si="4"/>
        <v>350</v>
      </c>
      <c r="T8" s="20">
        <f t="shared" si="2"/>
        <v>0</v>
      </c>
      <c r="U8" s="20">
        <f t="shared" si="3"/>
        <v>1248</v>
      </c>
      <c r="AA8" s="8">
        <v>5</v>
      </c>
      <c r="AB8" s="8">
        <f t="shared" si="1"/>
        <v>0.25714285714285717</v>
      </c>
      <c r="AC8" s="8">
        <f t="shared" si="0"/>
        <v>5.1644619773831737</v>
      </c>
    </row>
    <row r="9" spans="2:29" x14ac:dyDescent="0.25">
      <c r="B9" s="24"/>
      <c r="C9" s="1"/>
      <c r="D9" s="3" t="s">
        <v>4</v>
      </c>
      <c r="E9" s="4">
        <v>280</v>
      </c>
      <c r="F9" s="1"/>
      <c r="G9" s="25"/>
      <c r="I9" s="11" t="s">
        <v>11</v>
      </c>
      <c r="J9" s="12">
        <f>MAX(0.6*J7+0.4*J8,0.4*J7)</f>
        <v>0</v>
      </c>
      <c r="O9" s="43" t="s">
        <v>58</v>
      </c>
      <c r="P9" s="16" t="s">
        <v>43</v>
      </c>
      <c r="Q9" s="17">
        <f>MAX(J9,J10)+M8</f>
        <v>4.0600000000000005</v>
      </c>
      <c r="R9" s="17">
        <f>J18</f>
        <v>1.4262857142857144</v>
      </c>
      <c r="S9" s="19">
        <f t="shared" si="4"/>
        <v>350</v>
      </c>
      <c r="T9" s="20">
        <f t="shared" si="2"/>
        <v>1421.0000000000002</v>
      </c>
      <c r="U9" s="20">
        <f t="shared" si="3"/>
        <v>499.20000000000005</v>
      </c>
      <c r="AA9" s="8">
        <v>6</v>
      </c>
      <c r="AB9" s="8">
        <f t="shared" si="1"/>
        <v>0.30857142857142855</v>
      </c>
      <c r="AC9" s="8">
        <f t="shared" si="0"/>
        <v>5.1347215933819133</v>
      </c>
    </row>
    <row r="10" spans="2:29" x14ac:dyDescent="0.25">
      <c r="B10" s="24"/>
      <c r="C10" s="1"/>
      <c r="D10" s="1"/>
      <c r="E10" s="9"/>
      <c r="F10" s="1"/>
      <c r="G10" s="25"/>
      <c r="I10" s="11" t="s">
        <v>12</v>
      </c>
      <c r="J10" s="12">
        <f>1.5+0.03*E7</f>
        <v>2.1</v>
      </c>
      <c r="O10" s="44"/>
      <c r="P10" s="16" t="s">
        <v>44</v>
      </c>
      <c r="Q10" s="17">
        <f>J9</f>
        <v>0</v>
      </c>
      <c r="R10" s="17">
        <f>MAX(J18,J19)+M17</f>
        <v>2.7</v>
      </c>
      <c r="S10" s="19">
        <f t="shared" si="4"/>
        <v>350</v>
      </c>
      <c r="T10" s="20">
        <f t="shared" si="2"/>
        <v>0</v>
      </c>
      <c r="U10" s="20">
        <f t="shared" si="3"/>
        <v>945.00000000000011</v>
      </c>
      <c r="AA10" s="8">
        <v>7</v>
      </c>
      <c r="AB10" s="8">
        <f t="shared" si="1"/>
        <v>0.36</v>
      </c>
      <c r="AC10" s="8">
        <f t="shared" si="0"/>
        <v>5.1039325648750653</v>
      </c>
    </row>
    <row r="11" spans="2:29" x14ac:dyDescent="0.25">
      <c r="B11" s="24"/>
      <c r="C11" s="26"/>
      <c r="D11" s="30" t="s">
        <v>51</v>
      </c>
      <c r="E11" s="31"/>
      <c r="F11" s="26"/>
      <c r="G11" s="25"/>
      <c r="AA11" s="8">
        <v>8</v>
      </c>
      <c r="AB11" s="8">
        <f t="shared" si="1"/>
        <v>0.41142857142857148</v>
      </c>
      <c r="AC11" s="8">
        <f t="shared" si="0"/>
        <v>5.0722095379463745</v>
      </c>
    </row>
    <row r="12" spans="2:29" x14ac:dyDescent="0.25">
      <c r="B12" s="24"/>
      <c r="C12" s="26"/>
      <c r="D12" s="3" t="s">
        <v>5</v>
      </c>
      <c r="E12" s="7">
        <v>350</v>
      </c>
      <c r="F12" s="26"/>
      <c r="G12" s="25"/>
      <c r="I12" s="38" t="s">
        <v>28</v>
      </c>
      <c r="J12" s="39"/>
      <c r="L12" s="38" t="s">
        <v>30</v>
      </c>
      <c r="M12" s="39"/>
      <c r="AA12" s="8">
        <v>9</v>
      </c>
      <c r="AB12" s="8">
        <f t="shared" si="1"/>
        <v>0.46285714285714286</v>
      </c>
      <c r="AC12" s="8">
        <f t="shared" si="0"/>
        <v>5.0396402628006252</v>
      </c>
    </row>
    <row r="13" spans="2:29" x14ac:dyDescent="0.25">
      <c r="B13" s="24"/>
      <c r="C13" s="26"/>
      <c r="D13" s="3" t="s">
        <v>6</v>
      </c>
      <c r="E13" s="5">
        <v>0</v>
      </c>
      <c r="F13" s="26"/>
      <c r="G13" s="25"/>
      <c r="I13" s="40"/>
      <c r="J13" s="41"/>
      <c r="L13" s="40"/>
      <c r="M13" s="41"/>
      <c r="AA13" s="8">
        <v>10</v>
      </c>
      <c r="AB13" s="8">
        <f t="shared" si="1"/>
        <v>0.51428571428571435</v>
      </c>
      <c r="AC13" s="8">
        <f t="shared" si="0"/>
        <v>5.0062941590987409</v>
      </c>
    </row>
    <row r="14" spans="2:29" x14ac:dyDescent="0.25">
      <c r="B14" s="24"/>
      <c r="C14" s="26"/>
      <c r="D14" s="3" t="s">
        <v>7</v>
      </c>
      <c r="E14" s="5">
        <v>0</v>
      </c>
      <c r="F14" s="26"/>
      <c r="G14" s="25"/>
      <c r="I14" s="11" t="s">
        <v>41</v>
      </c>
      <c r="J14" s="12">
        <f>E15/E12</f>
        <v>3.5657142857142858</v>
      </c>
      <c r="L14" s="13" t="s">
        <v>18</v>
      </c>
      <c r="M14" s="15">
        <f>3.46*E9/E8</f>
        <v>24.22</v>
      </c>
      <c r="AA14" s="8">
        <v>11</v>
      </c>
      <c r="AB14" s="8">
        <f t="shared" si="1"/>
        <v>0.56571428571428573</v>
      </c>
      <c r="AC14" s="8">
        <f t="shared" si="0"/>
        <v>4.9722275508397411</v>
      </c>
    </row>
    <row r="15" spans="2:29" x14ac:dyDescent="0.25">
      <c r="B15" s="24"/>
      <c r="C15" s="26"/>
      <c r="D15" s="3" t="s">
        <v>37</v>
      </c>
      <c r="E15" s="5">
        <v>1248</v>
      </c>
      <c r="F15" s="26"/>
      <c r="G15" s="25"/>
      <c r="I15" s="11" t="s">
        <v>42</v>
      </c>
      <c r="J15" s="12">
        <f>E16/E12</f>
        <v>3.5657142857142858</v>
      </c>
      <c r="L15" s="13" t="s">
        <v>21</v>
      </c>
      <c r="M15" s="14">
        <f>IF(J16&lt;J19,1,MAX(0.6+0.4*J17/J16,0.4))</f>
        <v>0.4</v>
      </c>
      <c r="AA15" s="8">
        <v>12</v>
      </c>
      <c r="AB15" s="8">
        <f t="shared" si="1"/>
        <v>0.6171428571428571</v>
      </c>
      <c r="AC15" s="8">
        <f t="shared" si="0"/>
        <v>4.9374870562276865</v>
      </c>
    </row>
    <row r="16" spans="2:29" x14ac:dyDescent="0.25">
      <c r="B16" s="24"/>
      <c r="C16" s="26"/>
      <c r="D16" s="3" t="s">
        <v>38</v>
      </c>
      <c r="E16" s="5">
        <v>1248</v>
      </c>
      <c r="F16" s="26"/>
      <c r="G16" s="25"/>
      <c r="I16" s="11" t="s">
        <v>13</v>
      </c>
      <c r="J16" s="12">
        <f>MAX(J14:J15)</f>
        <v>3.5657142857142858</v>
      </c>
      <c r="L16" s="13" t="s">
        <v>22</v>
      </c>
      <c r="M16" s="14">
        <f>MAX(MIN((25+12.5*J16/E8)/M15,90),35)</f>
        <v>65.285714285714278</v>
      </c>
      <c r="AA16" s="8">
        <v>13</v>
      </c>
      <c r="AB16" s="8">
        <f t="shared" si="1"/>
        <v>0.66857142857142859</v>
      </c>
      <c r="AC16" s="8">
        <f t="shared" si="0"/>
        <v>4.9021118846387299</v>
      </c>
    </row>
    <row r="17" spans="2:29" x14ac:dyDescent="0.25">
      <c r="B17" s="24"/>
      <c r="C17" s="26"/>
      <c r="D17" s="26"/>
      <c r="E17" s="26"/>
      <c r="F17" s="26"/>
      <c r="G17" s="25"/>
      <c r="I17" s="11" t="s">
        <v>14</v>
      </c>
      <c r="J17" s="12">
        <f>-MIN(J14:J15)</f>
        <v>-3.5657142857142858</v>
      </c>
      <c r="L17" s="13" t="s">
        <v>26</v>
      </c>
      <c r="M17" s="12">
        <f>IF(M14&lt;=M16,0,0.0005*E$9^2/((MAX(E$12/(E$7*E$8*E$19/1.4),0.5)+0.5)*E8))</f>
        <v>0</v>
      </c>
      <c r="AA17" s="8">
        <v>14</v>
      </c>
      <c r="AB17" s="8">
        <f t="shared" si="1"/>
        <v>0.72</v>
      </c>
      <c r="AC17" s="8">
        <f t="shared" si="0"/>
        <v>4.8661354510193915</v>
      </c>
    </row>
    <row r="18" spans="2:29" x14ac:dyDescent="0.25">
      <c r="B18" s="24"/>
      <c r="C18" s="26"/>
      <c r="D18" s="30" t="s">
        <v>52</v>
      </c>
      <c r="E18" s="31"/>
      <c r="F18" s="26"/>
      <c r="G18" s="25"/>
      <c r="I18" s="11" t="s">
        <v>15</v>
      </c>
      <c r="J18" s="12">
        <f>MAX(0.6*J16+0.4*J17,0.4*J16)</f>
        <v>1.4262857142857144</v>
      </c>
      <c r="AA18" s="8">
        <v>15</v>
      </c>
      <c r="AB18" s="8">
        <f t="shared" si="1"/>
        <v>0.77142857142857135</v>
      </c>
      <c r="AC18" s="8">
        <f t="shared" si="0"/>
        <v>4.8295865452676709</v>
      </c>
    </row>
    <row r="19" spans="2:29" x14ac:dyDescent="0.25">
      <c r="B19" s="24"/>
      <c r="C19" s="26"/>
      <c r="D19" s="2" t="s">
        <v>8</v>
      </c>
      <c r="E19" s="6">
        <v>2.5</v>
      </c>
      <c r="F19" s="26"/>
      <c r="G19" s="25"/>
      <c r="I19" s="11" t="s">
        <v>16</v>
      </c>
      <c r="J19" s="12">
        <f>1.5+0.03*E8</f>
        <v>2.7</v>
      </c>
      <c r="AA19" s="8">
        <v>16</v>
      </c>
      <c r="AB19" s="8">
        <f t="shared" si="1"/>
        <v>0.82285714285714295</v>
      </c>
      <c r="AC19" s="8">
        <f t="shared" si="0"/>
        <v>4.7924902009460002</v>
      </c>
    </row>
    <row r="20" spans="2:29" x14ac:dyDescent="0.25">
      <c r="B20" s="24"/>
      <c r="C20" s="26"/>
      <c r="D20" s="26"/>
      <c r="E20" s="26"/>
      <c r="F20" s="26"/>
      <c r="G20" s="25"/>
      <c r="AA20" s="8">
        <v>17</v>
      </c>
      <c r="AB20" s="8">
        <f t="shared" si="1"/>
        <v>0.87428571428571433</v>
      </c>
      <c r="AC20" s="8">
        <f t="shared" si="0"/>
        <v>4.754868354650359</v>
      </c>
    </row>
    <row r="21" spans="2:29" x14ac:dyDescent="0.25">
      <c r="B21" s="24"/>
      <c r="C21" s="26"/>
      <c r="D21" s="30" t="s">
        <v>46</v>
      </c>
      <c r="E21" s="31"/>
      <c r="F21" s="26"/>
      <c r="G21" s="25"/>
      <c r="AA21" s="8">
        <v>18</v>
      </c>
      <c r="AB21" s="8">
        <f t="shared" si="1"/>
        <v>0.92571428571428571</v>
      </c>
      <c r="AC21" s="8">
        <f t="shared" si="0"/>
        <v>4.7167403558203178</v>
      </c>
    </row>
    <row r="22" spans="2:29" x14ac:dyDescent="0.25">
      <c r="B22" s="24"/>
      <c r="C22" s="26"/>
      <c r="D22" s="3" t="s">
        <v>47</v>
      </c>
      <c r="E22" s="5">
        <v>1800</v>
      </c>
      <c r="F22" s="26"/>
      <c r="G22" s="25"/>
      <c r="AA22" s="8">
        <v>19</v>
      </c>
      <c r="AB22" s="8">
        <f t="shared" si="1"/>
        <v>0.97714285714285709</v>
      </c>
      <c r="AC22" s="8">
        <f t="shared" si="0"/>
        <v>4.6781233672916711</v>
      </c>
    </row>
    <row r="23" spans="2:29" x14ac:dyDescent="0.25">
      <c r="B23" s="24"/>
      <c r="C23" s="26"/>
      <c r="D23" s="3" t="s">
        <v>48</v>
      </c>
      <c r="E23" s="5">
        <v>1850</v>
      </c>
      <c r="F23" s="26"/>
      <c r="G23" s="25"/>
      <c r="AA23" s="8">
        <v>20</v>
      </c>
      <c r="AB23" s="8">
        <f t="shared" si="1"/>
        <v>1.0285714285714287</v>
      </c>
      <c r="AC23" s="8">
        <f t="shared" si="0"/>
        <v>4.6390326844594849</v>
      </c>
    </row>
    <row r="24" spans="2:29" ht="15.75" thickBot="1" x14ac:dyDescent="0.3">
      <c r="B24" s="27"/>
      <c r="C24" s="28"/>
      <c r="D24" s="28"/>
      <c r="E24" s="28"/>
      <c r="F24" s="28"/>
      <c r="G24" s="29"/>
      <c r="AA24" s="8">
        <v>21</v>
      </c>
      <c r="AB24" s="8">
        <f t="shared" si="1"/>
        <v>1.08</v>
      </c>
      <c r="AC24" s="8">
        <f t="shared" si="0"/>
        <v>4.599481992756119</v>
      </c>
    </row>
    <row r="25" spans="2:29" x14ac:dyDescent="0.25">
      <c r="AA25" s="8">
        <v>22</v>
      </c>
      <c r="AB25" s="8">
        <f t="shared" si="1"/>
        <v>1.1314285714285715</v>
      </c>
      <c r="AC25" s="8">
        <f t="shared" si="0"/>
        <v>4.5594835776539266</v>
      </c>
    </row>
    <row r="26" spans="2:29" x14ac:dyDescent="0.25">
      <c r="AA26" s="8">
        <v>23</v>
      </c>
      <c r="AB26" s="8">
        <f t="shared" si="1"/>
        <v>1.1828571428571428</v>
      </c>
      <c r="AC26" s="8">
        <f t="shared" si="0"/>
        <v>4.5190484976210525</v>
      </c>
    </row>
    <row r="27" spans="2:29" x14ac:dyDescent="0.25">
      <c r="AA27" s="8">
        <v>24</v>
      </c>
      <c r="AB27" s="8">
        <f t="shared" si="1"/>
        <v>1.2342857142857142</v>
      </c>
      <c r="AC27" s="8">
        <f t="shared" si="0"/>
        <v>4.4781867278047249</v>
      </c>
    </row>
    <row r="28" spans="2:29" x14ac:dyDescent="0.25">
      <c r="AA28" s="8">
        <v>25</v>
      </c>
      <c r="AB28" s="8">
        <f t="shared" si="1"/>
        <v>1.2857142857142858</v>
      </c>
      <c r="AC28" s="8">
        <f t="shared" si="0"/>
        <v>4.4369072803203595</v>
      </c>
    </row>
    <row r="29" spans="2:29" x14ac:dyDescent="0.25">
      <c r="AA29" s="8">
        <v>26</v>
      </c>
      <c r="AB29" s="8">
        <f t="shared" si="1"/>
        <v>1.3371428571428572</v>
      </c>
      <c r="AC29" s="8">
        <f t="shared" si="0"/>
        <v>4.3952183056481706</v>
      </c>
    </row>
    <row r="30" spans="2:29" x14ac:dyDescent="0.25">
      <c r="AA30" s="8">
        <v>27</v>
      </c>
      <c r="AB30" s="8">
        <f t="shared" si="1"/>
        <v>1.3885714285714286</v>
      </c>
      <c r="AC30" s="8">
        <f t="shared" si="0"/>
        <v>4.3531271786249564</v>
      </c>
    </row>
    <row r="31" spans="2:29" x14ac:dyDescent="0.25">
      <c r="AA31" s="8">
        <v>28</v>
      </c>
      <c r="AB31" s="8">
        <f t="shared" si="1"/>
        <v>1.44</v>
      </c>
      <c r="AC31" s="8">
        <f t="shared" si="0"/>
        <v>4.3106405717616063</v>
      </c>
    </row>
    <row r="32" spans="2:29" x14ac:dyDescent="0.25">
      <c r="AA32" s="8">
        <v>29</v>
      </c>
      <c r="AB32" s="8">
        <f t="shared" si="1"/>
        <v>1.4914285714285713</v>
      </c>
      <c r="AC32" s="8">
        <f t="shared" si="0"/>
        <v>4.2677645180447588</v>
      </c>
    </row>
    <row r="33" spans="27:29" x14ac:dyDescent="0.25">
      <c r="AA33" s="8">
        <v>30</v>
      </c>
      <c r="AB33" s="8">
        <f t="shared" si="1"/>
        <v>1.5428571428571427</v>
      </c>
      <c r="AC33" s="8">
        <f t="shared" si="0"/>
        <v>4.2245044649436219</v>
      </c>
    </row>
    <row r="34" spans="27:29" x14ac:dyDescent="0.25">
      <c r="AA34" s="8">
        <v>31</v>
      </c>
      <c r="AB34" s="8">
        <f t="shared" si="1"/>
        <v>1.5942857142857141</v>
      </c>
      <c r="AC34" s="8">
        <f t="shared" si="0"/>
        <v>4.1808653210051556</v>
      </c>
    </row>
    <row r="35" spans="27:29" x14ac:dyDescent="0.25">
      <c r="AA35" s="8">
        <v>32</v>
      </c>
      <c r="AB35" s="8">
        <f t="shared" si="1"/>
        <v>1.6457142857142859</v>
      </c>
      <c r="AC35" s="8">
        <f t="shared" si="0"/>
        <v>4.1368514961572433</v>
      </c>
    </row>
    <row r="36" spans="27:29" x14ac:dyDescent="0.25">
      <c r="AA36" s="8">
        <v>33</v>
      </c>
      <c r="AB36" s="8">
        <f t="shared" si="1"/>
        <v>1.6971428571428573</v>
      </c>
      <c r="AC36" s="8">
        <f t="shared" si="0"/>
        <v>4.0924669366319568</v>
      </c>
    </row>
    <row r="37" spans="27:29" x14ac:dyDescent="0.25">
      <c r="AA37" s="8">
        <v>34</v>
      </c>
      <c r="AB37" s="8">
        <f t="shared" si="1"/>
        <v>1.7485714285714287</v>
      </c>
      <c r="AC37" s="8">
        <f t="shared" si="0"/>
        <v>4.0477151552561672</v>
      </c>
    </row>
    <row r="38" spans="27:29" x14ac:dyDescent="0.25">
      <c r="AA38" s="8">
        <v>35</v>
      </c>
      <c r="AB38" s="8">
        <f t="shared" si="1"/>
        <v>1.8</v>
      </c>
      <c r="AC38" s="8">
        <f t="shared" si="0"/>
        <v>4.0025992577247305</v>
      </c>
    </row>
    <row r="39" spans="27:29" x14ac:dyDescent="0.25">
      <c r="AA39" s="8">
        <v>36</v>
      </c>
      <c r="AB39" s="8">
        <f t="shared" si="1"/>
        <v>1.8514285714285714</v>
      </c>
      <c r="AC39" s="8">
        <f t="shared" si="0"/>
        <v>3.9571219653648</v>
      </c>
    </row>
    <row r="40" spans="27:29" x14ac:dyDescent="0.25">
      <c r="AA40" s="8">
        <v>37</v>
      </c>
      <c r="AB40" s="8">
        <f t="shared" si="1"/>
        <v>1.9028571428571428</v>
      </c>
      <c r="AC40" s="8">
        <f t="shared" si="0"/>
        <v>3.9112856348129892</v>
      </c>
    </row>
    <row r="41" spans="27:29" x14ac:dyDescent="0.25">
      <c r="AA41" s="8">
        <v>38</v>
      </c>
      <c r="AB41" s="8">
        <f t="shared" si="1"/>
        <v>1.9542857142857142</v>
      </c>
      <c r="AC41" s="8">
        <f t="shared" si="0"/>
        <v>3.8650922749558507</v>
      </c>
    </row>
    <row r="42" spans="27:29" x14ac:dyDescent="0.25">
      <c r="AA42" s="8">
        <v>39</v>
      </c>
      <c r="AB42" s="8">
        <f t="shared" si="1"/>
        <v>2.0057142857142858</v>
      </c>
      <c r="AC42" s="8">
        <f t="shared" si="0"/>
        <v>3.8185435614251286</v>
      </c>
    </row>
    <row r="43" spans="27:29" x14ac:dyDescent="0.25">
      <c r="AA43" s="8">
        <v>40</v>
      </c>
      <c r="AB43" s="8">
        <f t="shared" si="1"/>
        <v>2.0571428571428574</v>
      </c>
      <c r="AC43" s="8">
        <f t="shared" si="0"/>
        <v>3.7716408488900126</v>
      </c>
    </row>
    <row r="44" spans="27:29" x14ac:dyDescent="0.25">
      <c r="AA44" s="8">
        <v>41</v>
      </c>
      <c r="AB44" s="8">
        <f t="shared" si="1"/>
        <v>2.1085714285714285</v>
      </c>
      <c r="AC44" s="8">
        <f t="shared" si="0"/>
        <v>3.7243851813471363</v>
      </c>
    </row>
    <row r="45" spans="27:29" x14ac:dyDescent="0.25">
      <c r="AA45" s="8">
        <v>42</v>
      </c>
      <c r="AB45" s="8">
        <f t="shared" si="1"/>
        <v>2.16</v>
      </c>
      <c r="AC45" s="8">
        <f t="shared" si="0"/>
        <v>3.6767773005737729</v>
      </c>
    </row>
    <row r="46" spans="27:29" x14ac:dyDescent="0.25">
      <c r="AA46" s="8">
        <v>43</v>
      </c>
      <c r="AB46" s="8">
        <f t="shared" si="1"/>
        <v>2.2114285714285713</v>
      </c>
      <c r="AC46" s="8">
        <f t="shared" si="0"/>
        <v>3.6288176528792975</v>
      </c>
    </row>
    <row r="47" spans="27:29" x14ac:dyDescent="0.25">
      <c r="AA47" s="8">
        <v>44</v>
      </c>
      <c r="AB47" s="8">
        <f t="shared" si="1"/>
        <v>2.2628571428571429</v>
      </c>
      <c r="AC47" s="8">
        <f t="shared" si="0"/>
        <v>3.5805063942635482</v>
      </c>
    </row>
    <row r="48" spans="27:29" x14ac:dyDescent="0.25">
      <c r="AA48" s="8">
        <v>45</v>
      </c>
      <c r="AB48" s="8">
        <f t="shared" si="1"/>
        <v>2.3142857142857141</v>
      </c>
      <c r="AC48" s="8">
        <f t="shared" si="0"/>
        <v>3.5318433940673648</v>
      </c>
    </row>
    <row r="49" spans="27:29" x14ac:dyDescent="0.25">
      <c r="AA49" s="8">
        <v>46</v>
      </c>
      <c r="AB49" s="8">
        <f t="shared" si="1"/>
        <v>2.3657142857142857</v>
      </c>
      <c r="AC49" s="8">
        <f t="shared" si="0"/>
        <v>3.4828282371795876</v>
      </c>
    </row>
    <row r="50" spans="27:29" x14ac:dyDescent="0.25">
      <c r="AA50" s="8">
        <v>47</v>
      </c>
      <c r="AB50" s="8">
        <f t="shared" si="1"/>
        <v>2.4171428571428573</v>
      </c>
      <c r="AC50" s="8">
        <f t="shared" si="0"/>
        <v>3.4334602248457173</v>
      </c>
    </row>
    <row r="51" spans="27:29" x14ac:dyDescent="0.25">
      <c r="AA51" s="8">
        <v>48</v>
      </c>
      <c r="AB51" s="8">
        <f t="shared" si="1"/>
        <v>2.4685714285714284</v>
      </c>
      <c r="AC51" s="8">
        <f t="shared" si="0"/>
        <v>3.3837383741055791</v>
      </c>
    </row>
    <row r="52" spans="27:29" x14ac:dyDescent="0.25">
      <c r="AA52" s="8">
        <v>49</v>
      </c>
      <c r="AB52" s="8">
        <f t="shared" si="1"/>
        <v>2.52</v>
      </c>
      <c r="AC52" s="8">
        <f t="shared" si="0"/>
        <v>3.3336614158704214</v>
      </c>
    </row>
    <row r="53" spans="27:29" x14ac:dyDescent="0.25">
      <c r="AA53" s="8">
        <v>50</v>
      </c>
      <c r="AB53" s="8">
        <f t="shared" si="1"/>
        <v>2.5714285714285716</v>
      </c>
      <c r="AC53" s="8">
        <f t="shared" si="0"/>
        <v>3.2832277916334376</v>
      </c>
    </row>
    <row r="54" spans="27:29" x14ac:dyDescent="0.25">
      <c r="AA54" s="8">
        <v>51</v>
      </c>
      <c r="AB54" s="8">
        <f t="shared" si="1"/>
        <v>2.6228571428571428</v>
      </c>
      <c r="AC54" s="8">
        <f t="shared" si="0"/>
        <v>3.2324356487913293</v>
      </c>
    </row>
    <row r="55" spans="27:29" x14ac:dyDescent="0.25">
      <c r="AA55" s="8">
        <v>52</v>
      </c>
      <c r="AB55" s="8">
        <f t="shared" si="1"/>
        <v>2.6742857142857144</v>
      </c>
      <c r="AC55" s="8">
        <f t="shared" si="0"/>
        <v>3.1812828345379458</v>
      </c>
    </row>
    <row r="56" spans="27:29" x14ac:dyDescent="0.25">
      <c r="AA56" s="8">
        <v>53</v>
      </c>
      <c r="AB56" s="8">
        <f t="shared" si="1"/>
        <v>2.7257142857142855</v>
      </c>
      <c r="AC56" s="8">
        <f t="shared" si="0"/>
        <v>3.1297668882737639</v>
      </c>
    </row>
    <row r="57" spans="27:29" x14ac:dyDescent="0.25">
      <c r="AA57" s="8">
        <v>54</v>
      </c>
      <c r="AB57" s="8">
        <f t="shared" si="1"/>
        <v>2.7771428571428571</v>
      </c>
      <c r="AC57" s="8">
        <f t="shared" si="0"/>
        <v>3.077885032456702</v>
      </c>
    </row>
    <row r="58" spans="27:29" x14ac:dyDescent="0.25">
      <c r="AA58" s="8">
        <v>55</v>
      </c>
      <c r="AB58" s="8">
        <f t="shared" si="1"/>
        <v>2.8285714285714283</v>
      </c>
      <c r="AC58" s="8">
        <f t="shared" si="0"/>
        <v>3.0256341618000664</v>
      </c>
    </row>
    <row r="59" spans="27:29" x14ac:dyDescent="0.25">
      <c r="AA59" s="8">
        <v>56</v>
      </c>
      <c r="AB59" s="8">
        <f t="shared" si="1"/>
        <v>2.88</v>
      </c>
      <c r="AC59" s="8">
        <f t="shared" si="0"/>
        <v>2.9730108307017558</v>
      </c>
    </row>
    <row r="60" spans="27:29" x14ac:dyDescent="0.25">
      <c r="AA60" s="8">
        <v>57</v>
      </c>
      <c r="AB60" s="8">
        <f t="shared" si="1"/>
        <v>2.9314285714285715</v>
      </c>
      <c r="AC60" s="8">
        <f t="shared" si="0"/>
        <v>2.9200112387648218</v>
      </c>
    </row>
    <row r="61" spans="27:29" x14ac:dyDescent="0.25">
      <c r="AA61" s="8">
        <v>58</v>
      </c>
      <c r="AB61" s="8">
        <f t="shared" si="1"/>
        <v>2.9828571428571427</v>
      </c>
      <c r="AC61" s="8">
        <f t="shared" si="0"/>
        <v>2.8666312142423291</v>
      </c>
    </row>
    <row r="62" spans="27:29" x14ac:dyDescent="0.25">
      <c r="AA62" s="8">
        <v>59</v>
      </c>
      <c r="AB62" s="8">
        <f t="shared" si="1"/>
        <v>3.0342857142857143</v>
      </c>
      <c r="AC62" s="8">
        <f t="shared" si="0"/>
        <v>2.812866195208541</v>
      </c>
    </row>
    <row r="63" spans="27:29" x14ac:dyDescent="0.25">
      <c r="AA63" s="8">
        <v>60</v>
      </c>
      <c r="AB63" s="8">
        <f t="shared" si="1"/>
        <v>3.0857142857142854</v>
      </c>
      <c r="AC63" s="8">
        <f t="shared" si="0"/>
        <v>2.7587112082228926</v>
      </c>
    </row>
    <row r="64" spans="27:29" x14ac:dyDescent="0.25">
      <c r="AA64" s="8">
        <v>61</v>
      </c>
      <c r="AB64" s="8">
        <f t="shared" si="1"/>
        <v>3.137142857142857</v>
      </c>
      <c r="AC64" s="8">
        <f t="shared" si="0"/>
        <v>2.7041608442119149</v>
      </c>
    </row>
    <row r="65" spans="27:29" x14ac:dyDescent="0.25">
      <c r="AA65" s="8">
        <v>62</v>
      </c>
      <c r="AB65" s="8">
        <f t="shared" si="1"/>
        <v>3.1885714285714282</v>
      </c>
      <c r="AC65" s="8">
        <f t="shared" si="0"/>
        <v>2.6492092312460138</v>
      </c>
    </row>
    <row r="66" spans="27:29" x14ac:dyDescent="0.25">
      <c r="AA66" s="8">
        <v>63</v>
      </c>
      <c r="AB66" s="8">
        <f t="shared" si="1"/>
        <v>3.24</v>
      </c>
      <c r="AC66" s="8">
        <f t="shared" si="0"/>
        <v>2.5938500038311214</v>
      </c>
    </row>
    <row r="67" spans="27:29" x14ac:dyDescent="0.25">
      <c r="AA67" s="8">
        <v>64</v>
      </c>
      <c r="AB67" s="8">
        <f t="shared" si="1"/>
        <v>3.2914285714285718</v>
      </c>
      <c r="AC67" s="8">
        <f t="shared" si="0"/>
        <v>2.5380762682678366</v>
      </c>
    </row>
    <row r="68" spans="27:29" x14ac:dyDescent="0.25">
      <c r="AA68" s="8">
        <v>65</v>
      </c>
      <c r="AB68" s="8">
        <f t="shared" si="1"/>
        <v>3.342857142857143</v>
      </c>
      <c r="AC68" s="8">
        <f t="shared" ref="AC68:AC103" si="5">E$23/E$12*(1-(AB68/$AB$103)^1.2)^(1/1.2)</f>
        <v>2.4818805635502637</v>
      </c>
    </row>
    <row r="69" spans="27:29" x14ac:dyDescent="0.25">
      <c r="AA69" s="8">
        <v>66</v>
      </c>
      <c r="AB69" s="8">
        <f t="shared" ref="AB69:AB103" si="6">AA69*E$22/E$12/100</f>
        <v>3.3942857142857146</v>
      </c>
      <c r="AC69" s="8">
        <f t="shared" si="5"/>
        <v>2.4252548171802353</v>
      </c>
    </row>
    <row r="70" spans="27:29" x14ac:dyDescent="0.25">
      <c r="AA70" s="8">
        <v>67</v>
      </c>
      <c r="AB70" s="8">
        <f t="shared" si="6"/>
        <v>3.4457142857142857</v>
      </c>
      <c r="AC70" s="8">
        <f t="shared" si="5"/>
        <v>2.3681902951560359</v>
      </c>
    </row>
    <row r="71" spans="27:29" x14ac:dyDescent="0.25">
      <c r="AA71" s="8">
        <v>68</v>
      </c>
      <c r="AB71" s="8">
        <f t="shared" si="6"/>
        <v>3.4971428571428573</v>
      </c>
      <c r="AC71" s="8">
        <f t="shared" si="5"/>
        <v>2.3106775452531969</v>
      </c>
    </row>
    <row r="72" spans="27:29" x14ac:dyDescent="0.25">
      <c r="AA72" s="8">
        <v>69</v>
      </c>
      <c r="AB72" s="8">
        <f t="shared" si="6"/>
        <v>3.5485714285714285</v>
      </c>
      <c r="AC72" s="8">
        <f t="shared" si="5"/>
        <v>2.2527063325418109</v>
      </c>
    </row>
    <row r="73" spans="27:29" x14ac:dyDescent="0.25">
      <c r="AA73" s="8">
        <v>70</v>
      </c>
      <c r="AB73" s="8">
        <f t="shared" si="6"/>
        <v>3.6</v>
      </c>
      <c r="AC73" s="8">
        <f t="shared" si="5"/>
        <v>2.1942655658718988</v>
      </c>
    </row>
    <row r="74" spans="27:29" x14ac:dyDescent="0.25">
      <c r="AA74" s="8">
        <v>71</v>
      </c>
      <c r="AB74" s="8">
        <f t="shared" si="6"/>
        <v>3.6514285714285717</v>
      </c>
      <c r="AC74" s="8">
        <f t="shared" si="5"/>
        <v>2.1353432137947062</v>
      </c>
    </row>
    <row r="75" spans="27:29" x14ac:dyDescent="0.25">
      <c r="AA75" s="8">
        <v>72</v>
      </c>
      <c r="AB75" s="8">
        <f t="shared" si="6"/>
        <v>3.7028571428571428</v>
      </c>
      <c r="AC75" s="8">
        <f t="shared" si="5"/>
        <v>2.0759262080589234</v>
      </c>
    </row>
    <row r="76" spans="27:29" x14ac:dyDescent="0.25">
      <c r="AA76" s="8">
        <v>73</v>
      </c>
      <c r="AB76" s="8">
        <f t="shared" si="6"/>
        <v>3.7542857142857144</v>
      </c>
      <c r="AC76" s="8">
        <f t="shared" si="5"/>
        <v>2.0160003324078533</v>
      </c>
    </row>
    <row r="77" spans="27:29" x14ac:dyDescent="0.25">
      <c r="AA77" s="8">
        <v>74</v>
      </c>
      <c r="AB77" s="8">
        <f t="shared" si="6"/>
        <v>3.8057142857142856</v>
      </c>
      <c r="AC77" s="8">
        <f t="shared" si="5"/>
        <v>1.9555500938806101</v>
      </c>
    </row>
    <row r="78" spans="27:29" x14ac:dyDescent="0.25">
      <c r="AA78" s="8">
        <v>75</v>
      </c>
      <c r="AB78" s="8">
        <f t="shared" si="6"/>
        <v>3.8571428571428572</v>
      </c>
      <c r="AC78" s="8">
        <f t="shared" si="5"/>
        <v>1.8945585731531136</v>
      </c>
    </row>
    <row r="79" spans="27:29" x14ac:dyDescent="0.25">
      <c r="AA79" s="8">
        <v>76</v>
      </c>
      <c r="AB79" s="8">
        <f t="shared" si="6"/>
        <v>3.9085714285714284</v>
      </c>
      <c r="AC79" s="8">
        <f t="shared" si="5"/>
        <v>1.8330072495953527</v>
      </c>
    </row>
    <row r="80" spans="27:29" x14ac:dyDescent="0.25">
      <c r="AA80" s="8">
        <v>77</v>
      </c>
      <c r="AB80" s="8">
        <f t="shared" si="6"/>
        <v>3.96</v>
      </c>
      <c r="AC80" s="8">
        <f t="shared" si="5"/>
        <v>1.7708757956045202</v>
      </c>
    </row>
    <row r="81" spans="27:29" x14ac:dyDescent="0.25">
      <c r="AA81" s="8">
        <v>78</v>
      </c>
      <c r="AB81" s="8">
        <f t="shared" si="6"/>
        <v>4.0114285714285716</v>
      </c>
      <c r="AC81" s="8">
        <f t="shared" si="5"/>
        <v>1.7081418333073277</v>
      </c>
    </row>
    <row r="82" spans="27:29" x14ac:dyDescent="0.25">
      <c r="AA82" s="8">
        <v>79</v>
      </c>
      <c r="AB82" s="8">
        <f t="shared" si="6"/>
        <v>4.0628571428571432</v>
      </c>
      <c r="AC82" s="8">
        <f t="shared" si="5"/>
        <v>1.6447806447784161</v>
      </c>
    </row>
    <row r="83" spans="27:29" x14ac:dyDescent="0.25">
      <c r="AA83" s="8">
        <v>80</v>
      </c>
      <c r="AB83" s="8">
        <f t="shared" si="6"/>
        <v>4.1142857142857148</v>
      </c>
      <c r="AC83" s="8">
        <f t="shared" si="5"/>
        <v>1.5807648243077417</v>
      </c>
    </row>
    <row r="84" spans="27:29" x14ac:dyDescent="0.25">
      <c r="AA84" s="8">
        <v>81</v>
      </c>
      <c r="AB84" s="8">
        <f t="shared" si="6"/>
        <v>4.1657142857142855</v>
      </c>
      <c r="AC84" s="8">
        <f t="shared" si="5"/>
        <v>1.5160638576934473</v>
      </c>
    </row>
    <row r="85" spans="27:29" x14ac:dyDescent="0.25">
      <c r="AA85" s="8">
        <v>82</v>
      </c>
      <c r="AB85" s="8">
        <f t="shared" si="6"/>
        <v>4.2171428571428571</v>
      </c>
      <c r="AC85" s="8">
        <f t="shared" si="5"/>
        <v>1.4506436086303938</v>
      </c>
    </row>
    <row r="86" spans="27:29" x14ac:dyDescent="0.25">
      <c r="AA86" s="8">
        <v>83</v>
      </c>
      <c r="AB86" s="8">
        <f t="shared" si="6"/>
        <v>4.2685714285714287</v>
      </c>
      <c r="AC86" s="8">
        <f t="shared" si="5"/>
        <v>1.3844656853908404</v>
      </c>
    </row>
    <row r="87" spans="27:29" x14ac:dyDescent="0.25">
      <c r="AA87" s="8">
        <v>84</v>
      </c>
      <c r="AB87" s="8">
        <f t="shared" si="6"/>
        <v>4.32</v>
      </c>
      <c r="AC87" s="8">
        <f t="shared" si="5"/>
        <v>1.3174866511998942</v>
      </c>
    </row>
    <row r="88" spans="27:29" x14ac:dyDescent="0.25">
      <c r="AA88" s="8">
        <v>85</v>
      </c>
      <c r="AB88" s="8">
        <f t="shared" si="6"/>
        <v>4.3714285714285719</v>
      </c>
      <c r="AC88" s="8">
        <f t="shared" si="5"/>
        <v>1.2496570274900853</v>
      </c>
    </row>
    <row r="89" spans="27:29" x14ac:dyDescent="0.25">
      <c r="AA89" s="8">
        <v>86</v>
      </c>
      <c r="AB89" s="8">
        <f t="shared" si="6"/>
        <v>4.4228571428571426</v>
      </c>
      <c r="AC89" s="8">
        <f t="shared" si="5"/>
        <v>1.1809200181436184</v>
      </c>
    </row>
    <row r="90" spans="27:29" x14ac:dyDescent="0.25">
      <c r="AA90" s="8">
        <v>87</v>
      </c>
      <c r="AB90" s="8">
        <f t="shared" si="6"/>
        <v>4.4742857142857142</v>
      </c>
      <c r="AC90" s="8">
        <f t="shared" si="5"/>
        <v>1.1112098508524726</v>
      </c>
    </row>
    <row r="91" spans="27:29" x14ac:dyDescent="0.25">
      <c r="AA91" s="8">
        <v>88</v>
      </c>
      <c r="AB91" s="8">
        <f t="shared" si="6"/>
        <v>4.5257142857142858</v>
      </c>
      <c r="AC91" s="8">
        <f t="shared" si="5"/>
        <v>1.0404495819107813</v>
      </c>
    </row>
    <row r="92" spans="27:29" x14ac:dyDescent="0.25">
      <c r="AA92" s="8">
        <v>89</v>
      </c>
      <c r="AB92" s="8">
        <f t="shared" si="6"/>
        <v>4.5771428571428574</v>
      </c>
      <c r="AC92" s="8">
        <f t="shared" si="5"/>
        <v>0.96854813078990354</v>
      </c>
    </row>
    <row r="93" spans="27:29" x14ac:dyDescent="0.25">
      <c r="AA93" s="8">
        <v>90</v>
      </c>
      <c r="AB93" s="8">
        <f t="shared" si="6"/>
        <v>4.6285714285714281</v>
      </c>
      <c r="AC93" s="8">
        <f t="shared" si="5"/>
        <v>0.8953961779912587</v>
      </c>
    </row>
    <row r="94" spans="27:29" x14ac:dyDescent="0.25">
      <c r="AA94" s="8">
        <v>91</v>
      </c>
      <c r="AB94" s="8">
        <f t="shared" si="6"/>
        <v>4.68</v>
      </c>
      <c r="AC94" s="8">
        <f t="shared" si="5"/>
        <v>0.82086032992834512</v>
      </c>
    </row>
    <row r="95" spans="27:29" x14ac:dyDescent="0.25">
      <c r="AA95" s="8">
        <v>92</v>
      </c>
      <c r="AB95" s="8">
        <f t="shared" si="6"/>
        <v>4.7314285714285713</v>
      </c>
      <c r="AC95" s="8">
        <f t="shared" si="5"/>
        <v>0.74477453812683891</v>
      </c>
    </row>
    <row r="96" spans="27:29" x14ac:dyDescent="0.25">
      <c r="AA96" s="8">
        <v>93</v>
      </c>
      <c r="AB96" s="8">
        <f t="shared" si="6"/>
        <v>4.7828571428571429</v>
      </c>
      <c r="AC96" s="8">
        <f t="shared" si="5"/>
        <v>0.66692696128866835</v>
      </c>
    </row>
    <row r="97" spans="27:29" x14ac:dyDescent="0.25">
      <c r="AA97" s="8">
        <v>94</v>
      </c>
      <c r="AB97" s="8">
        <f t="shared" si="6"/>
        <v>4.8342857142857145</v>
      </c>
      <c r="AC97" s="8">
        <f t="shared" si="5"/>
        <v>0.58703881756787268</v>
      </c>
    </row>
    <row r="98" spans="27:29" x14ac:dyDescent="0.25">
      <c r="AA98" s="8">
        <v>95</v>
      </c>
      <c r="AB98" s="8">
        <f t="shared" si="6"/>
        <v>4.8857142857142852</v>
      </c>
      <c r="AC98" s="8">
        <f t="shared" si="5"/>
        <v>0.50472809798979501</v>
      </c>
    </row>
    <row r="99" spans="27:29" x14ac:dyDescent="0.25">
      <c r="AA99" s="8">
        <v>96</v>
      </c>
      <c r="AB99" s="8">
        <f t="shared" si="6"/>
        <v>4.9371428571428568</v>
      </c>
      <c r="AC99" s="8">
        <f t="shared" si="5"/>
        <v>0.41944179937327797</v>
      </c>
    </row>
    <row r="100" spans="27:29" x14ac:dyDescent="0.25">
      <c r="AA100" s="8">
        <v>97</v>
      </c>
      <c r="AB100" s="8">
        <f t="shared" si="6"/>
        <v>4.9885714285714284</v>
      </c>
      <c r="AC100" s="8">
        <f t="shared" si="5"/>
        <v>0.33031343236522942</v>
      </c>
    </row>
    <row r="101" spans="27:29" x14ac:dyDescent="0.25">
      <c r="AA101" s="8">
        <v>98</v>
      </c>
      <c r="AB101" s="8">
        <f t="shared" si="6"/>
        <v>5.04</v>
      </c>
      <c r="AC101" s="8">
        <f t="shared" si="5"/>
        <v>0.23580405356888531</v>
      </c>
    </row>
    <row r="102" spans="27:29" x14ac:dyDescent="0.25">
      <c r="AA102" s="8">
        <v>99</v>
      </c>
      <c r="AB102" s="8">
        <f t="shared" si="6"/>
        <v>5.0914285714285716</v>
      </c>
      <c r="AC102" s="8">
        <f t="shared" si="5"/>
        <v>0.13245194054761389</v>
      </c>
    </row>
    <row r="103" spans="27:29" x14ac:dyDescent="0.25">
      <c r="AA103" s="8">
        <v>100</v>
      </c>
      <c r="AB103" s="8">
        <f t="shared" si="6"/>
        <v>5.1428571428571432</v>
      </c>
      <c r="AC103" s="8">
        <f t="shared" si="5"/>
        <v>0</v>
      </c>
    </row>
  </sheetData>
  <sheetProtection algorithmName="SHA-512" hashValue="2xL/qe+3gB/PZPz3wtwPNDPT6H12AzMQ1FWiu8qWWZrxNZ45fm/CvgjcGstOsbji1+am74+TX0JI81g0Mux7jw==" saltValue="+CmNB8p9rsnSfcBgpgSnLA==" spinCount="100000" sheet="1" objects="1" scenarios="1" selectLockedCells="1"/>
  <mergeCells count="13">
    <mergeCell ref="O3:U3"/>
    <mergeCell ref="O5:O6"/>
    <mergeCell ref="O7:O8"/>
    <mergeCell ref="O9:O10"/>
    <mergeCell ref="D18:E18"/>
    <mergeCell ref="D21:E21"/>
    <mergeCell ref="C3:F4"/>
    <mergeCell ref="I3:J4"/>
    <mergeCell ref="L3:M4"/>
    <mergeCell ref="D6:E6"/>
    <mergeCell ref="D11:E11"/>
    <mergeCell ref="I12:J13"/>
    <mergeCell ref="L12:M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Situações de Cálculo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Carini</dc:creator>
  <cp:lastModifiedBy>Matheus Carini</cp:lastModifiedBy>
  <dcterms:created xsi:type="dcterms:W3CDTF">2017-11-08T19:25:03Z</dcterms:created>
  <dcterms:modified xsi:type="dcterms:W3CDTF">2024-08-20T20:35:11Z</dcterms:modified>
</cp:coreProperties>
</file>