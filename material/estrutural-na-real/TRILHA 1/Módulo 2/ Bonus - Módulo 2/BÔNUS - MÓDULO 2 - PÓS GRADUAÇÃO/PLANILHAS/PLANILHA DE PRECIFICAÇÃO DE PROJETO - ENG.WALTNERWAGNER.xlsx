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 activeTab="1"/>
  </bookViews>
  <sheets>
    <sheet name="INÍCIO " sheetId="2" r:id="rId1"/>
    <sheet name="PRECIFICAÇÃO DE PROJETO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B33" i="1"/>
  <c r="B31" i="1"/>
  <c r="B11" i="1" l="1"/>
  <c r="E28" i="1" l="1"/>
  <c r="E24" i="1" l="1"/>
  <c r="E19" i="1"/>
  <c r="E23" i="1"/>
  <c r="E18" i="1"/>
  <c r="E27" i="1"/>
  <c r="E22" i="1"/>
  <c r="E17" i="1"/>
  <c r="E26" i="1"/>
  <c r="E21" i="1"/>
  <c r="E16" i="1"/>
  <c r="E25" i="1"/>
  <c r="E20" i="1"/>
  <c r="E29" i="1" l="1"/>
  <c r="B32" i="1" s="1"/>
</calcChain>
</file>

<file path=xl/comments1.xml><?xml version="1.0" encoding="utf-8"?>
<comments xmlns="http://schemas.openxmlformats.org/spreadsheetml/2006/main">
  <authors>
    <author>Autor</author>
  </authors>
  <commentList>
    <comment ref="A9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ÁREA CONSTRUÍDA: ÁREA COBERTA + ÁREA PISCINA (SE HOUVER)</t>
        </r>
      </text>
    </comment>
  </commentList>
</comments>
</file>

<file path=xl/sharedStrings.xml><?xml version="1.0" encoding="utf-8"?>
<sst xmlns="http://schemas.openxmlformats.org/spreadsheetml/2006/main" count="37" uniqueCount="37">
  <si>
    <t>CLIENTE</t>
  </si>
  <si>
    <t>ORÇAMENTO Nº</t>
  </si>
  <si>
    <t>ELABORADO POR</t>
  </si>
  <si>
    <t>DATA:</t>
  </si>
  <si>
    <t>Descrição</t>
  </si>
  <si>
    <t>Nota Fiscal:</t>
  </si>
  <si>
    <t>Complexidade</t>
  </si>
  <si>
    <t>ESCADA MODERNA</t>
  </si>
  <si>
    <t>FUNDAÇÃO PROFUNDA</t>
  </si>
  <si>
    <t>QTD.</t>
  </si>
  <si>
    <t>Acréscimo(%)</t>
  </si>
  <si>
    <t>Preço (R$/m²)</t>
  </si>
  <si>
    <t>FUNDAÇÃO EXCENTRICA</t>
  </si>
  <si>
    <t>PISCINA NA COBERTURA</t>
  </si>
  <si>
    <t>TERERNO DESNÍVEL (&gt;6m)</t>
  </si>
  <si>
    <t>TIPO</t>
  </si>
  <si>
    <t>Waltner Wagner</t>
  </si>
  <si>
    <t>Área Construída (m²)</t>
  </si>
  <si>
    <t>Detalhe a mais</t>
  </si>
  <si>
    <t>TOTAL ACRÉSCIMO</t>
  </si>
  <si>
    <t>Residência Alto Padrão</t>
  </si>
  <si>
    <t>TOTAL m² (R$)</t>
  </si>
  <si>
    <t>BALANÇO (&gt;4m)</t>
  </si>
  <si>
    <t>BALANÇO (2 à 4m)</t>
  </si>
  <si>
    <t>Acréscimo(R$)</t>
  </si>
  <si>
    <t>TOTAL COM ACRÉSCIMO</t>
  </si>
  <si>
    <t>VIGA DE TRANSIÇÃO (2 - 4m)</t>
  </si>
  <si>
    <t>TERRENO DESNÍVEL (3 - 6m)</t>
  </si>
  <si>
    <t>VIGA DE TRANSIÇÃO(4 - 6 m)</t>
  </si>
  <si>
    <t>VIGA DE TRANSIÇÃO (&gt;6m)</t>
  </si>
  <si>
    <t>VIGA VÃO (6 - 9m)</t>
  </si>
  <si>
    <t>VIGA VÃO (&gt;9m)</t>
  </si>
  <si>
    <t>ORÇAMENTO PROJETO ESTRUTURAL - RESIDÊNCIAL</t>
  </si>
  <si>
    <t>PREÇO FINAL:</t>
  </si>
  <si>
    <t>ENG.WALTNERWAGNER</t>
  </si>
  <si>
    <t xml:space="preserve">  Esse modelo de planilha permite precificar o custo de um projeto estrutural de uma obra residencial em concreto armado</t>
  </si>
  <si>
    <t xml:space="preserve">  Bem-vindo à Planilha de Precificação de Projeto Estrutural do engenheiro Waltner Wagner.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</si>
</sst>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8"/>
      <color theme="0"/>
      <name val="Calibri1"/>
    </font>
    <font>
      <sz val="11"/>
      <color theme="3" tint="-0.249977111117893"/>
      <name val="Calibri1"/>
    </font>
    <font>
      <sz val="10"/>
      <name val="Calibri1"/>
    </font>
    <font>
      <sz val="11"/>
      <name val="Calibri1"/>
    </font>
    <font>
      <sz val="14"/>
      <name val="Calibri1"/>
    </font>
    <font>
      <sz val="11"/>
      <color theme="1"/>
      <name val="Calibri1"/>
    </font>
    <font>
      <sz val="12"/>
      <color theme="1"/>
      <name val="Calibri"/>
      <family val="2"/>
      <scheme val="minor"/>
    </font>
    <font>
      <sz val="12"/>
      <color theme="1"/>
      <name val="Calibri1"/>
    </font>
    <font>
      <sz val="10"/>
      <color theme="1"/>
      <name val="Calibri"/>
      <family val="2"/>
      <scheme val="minor"/>
    </font>
    <font>
      <b/>
      <sz val="18"/>
      <color rgb="FFFFFF00"/>
      <name val="Calibri1"/>
    </font>
    <font>
      <b/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707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1" fillId="3" borderId="13" xfId="1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64" fontId="0" fillId="0" borderId="1" xfId="2" applyNumberFormat="1" applyFont="1" applyFill="1" applyBorder="1" applyAlignment="1">
      <alignment horizontal="center"/>
    </xf>
    <xf numFmtId="164" fontId="0" fillId="0" borderId="12" xfId="2" applyNumberFormat="1" applyFont="1" applyFill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164" fontId="0" fillId="0" borderId="14" xfId="2" applyNumberFormat="1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0" fillId="6" borderId="0" xfId="0" applyFill="1"/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vertical="center" wrapText="1"/>
    </xf>
    <xf numFmtId="0" fontId="11" fillId="6" borderId="0" xfId="0" applyFont="1" applyFill="1" applyAlignment="1"/>
    <xf numFmtId="0" fontId="9" fillId="6" borderId="0" xfId="0" applyFont="1" applyFill="1" applyAlignment="1">
      <alignment horizontal="center" wrapText="1"/>
    </xf>
    <xf numFmtId="0" fontId="12" fillId="6" borderId="0" xfId="0" applyFont="1" applyFill="1"/>
    <xf numFmtId="0" fontId="13" fillId="6" borderId="0" xfId="0" applyFont="1" applyFill="1"/>
    <xf numFmtId="0" fontId="14" fillId="6" borderId="0" xfId="0" applyFont="1" applyFill="1" applyAlignment="1"/>
    <xf numFmtId="0" fontId="16" fillId="6" borderId="0" xfId="0" applyFont="1" applyFill="1" applyAlignment="1">
      <alignment vertical="center"/>
    </xf>
    <xf numFmtId="0" fontId="15" fillId="6" borderId="0" xfId="0" applyFont="1" applyFill="1" applyBorder="1" applyAlignment="1">
      <alignment vertical="center" wrapText="1"/>
    </xf>
    <xf numFmtId="0" fontId="17" fillId="5" borderId="0" xfId="0" applyFont="1" applyFill="1" applyAlignment="1">
      <alignment horizontal="center" vertic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0" fillId="3" borderId="15" xfId="0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5" xfId="0" applyBorder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8585"/>
      <color rgb="FFF62E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#'PRECIFICA&#199;&#195;O DE PROJET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132062</xdr:colOff>
      <xdr:row>6</xdr:row>
      <xdr:rowOff>259324</xdr:rowOff>
    </xdr:from>
    <xdr:to>
      <xdr:col>8</xdr:col>
      <xdr:colOff>272143</xdr:colOff>
      <xdr:row>10</xdr:row>
      <xdr:rowOff>53303</xdr:rowOff>
    </xdr:to>
    <xdr:sp macro="" textlink="">
      <xdr:nvSpPr>
        <xdr:cNvPr id="2" name="Retângulo: Cantos Arredondado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66CD09B-A046-4981-A2A0-EC0D70CA2E28}"/>
            </a:ext>
          </a:extLst>
        </xdr:cNvPr>
        <xdr:cNvSpPr/>
      </xdr:nvSpPr>
      <xdr:spPr>
        <a:xfrm>
          <a:off x="3193669" y="1443145"/>
          <a:ext cx="1977045" cy="753283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 baseline="0">
              <a:solidFill>
                <a:schemeClr val="bg1"/>
              </a:solidFill>
              <a:latin typeface="+mn-lt"/>
            </a:rPr>
            <a:t>PLANILHA DE PRECIFICAÇÃO DE PROJETO</a:t>
          </a:r>
        </a:p>
      </xdr:txBody>
    </xdr:sp>
    <xdr:clientData/>
  </xdr:twoCellAnchor>
  <xdr:twoCellAnchor editAs="oneCell">
    <xdr:from>
      <xdr:col>11</xdr:col>
      <xdr:colOff>494845</xdr:colOff>
      <xdr:row>2</xdr:row>
      <xdr:rowOff>92982</xdr:rowOff>
    </xdr:from>
    <xdr:to>
      <xdr:col>13</xdr:col>
      <xdr:colOff>545646</xdr:colOff>
      <xdr:row>7</xdr:row>
      <xdr:rowOff>177799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0381" y="473982"/>
          <a:ext cx="1275444" cy="1350281"/>
        </a:xfrm>
        <a:prstGeom prst="ellipse">
          <a:avLst/>
        </a:prstGeom>
        <a:ln w="3175" cap="rnd">
          <a:solidFill>
            <a:srgbClr val="FF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11</xdr:col>
      <xdr:colOff>292553</xdr:colOff>
      <xdr:row>8</xdr:row>
      <xdr:rowOff>170089</xdr:rowOff>
    </xdr:from>
    <xdr:to>
      <xdr:col>12</xdr:col>
      <xdr:colOff>56648</xdr:colOff>
      <xdr:row>9</xdr:row>
      <xdr:rowOff>197303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8089" y="1925410"/>
          <a:ext cx="376416" cy="217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zoomScale="140" zoomScaleNormal="140" workbookViewId="0">
      <selection activeCell="D8" sqref="D8"/>
    </sheetView>
  </sheetViews>
  <sheetFormatPr defaultRowHeight="15"/>
  <sheetData>
    <row r="1" spans="1:18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18" ht="29.25" customHeight="1">
      <c r="A4" s="42"/>
      <c r="B4" s="42"/>
      <c r="C4" s="43" t="s">
        <v>36</v>
      </c>
      <c r="D4" s="43"/>
      <c r="E4" s="43"/>
      <c r="F4" s="43"/>
      <c r="G4" s="43"/>
      <c r="H4" s="43"/>
      <c r="I4" s="43"/>
      <c r="J4" s="43"/>
      <c r="K4" s="43"/>
      <c r="L4" s="42"/>
      <c r="M4" s="42"/>
      <c r="N4" s="42"/>
      <c r="O4" s="42"/>
      <c r="P4" s="42"/>
      <c r="Q4" s="42"/>
      <c r="R4" s="42"/>
    </row>
    <row r="5" spans="1:18" ht="18">
      <c r="A5" s="42"/>
      <c r="B5" s="42"/>
      <c r="C5" s="44" t="s">
        <v>35</v>
      </c>
      <c r="D5" s="44"/>
      <c r="E5" s="44"/>
      <c r="F5" s="44"/>
      <c r="G5" s="44"/>
      <c r="H5" s="44"/>
      <c r="I5" s="44"/>
      <c r="J5" s="44"/>
      <c r="K5" s="44"/>
      <c r="L5" s="45"/>
      <c r="M5" s="45"/>
      <c r="N5" s="45"/>
      <c r="O5" s="46"/>
      <c r="P5" s="42"/>
      <c r="Q5" s="42"/>
      <c r="R5" s="42"/>
    </row>
    <row r="6" spans="1:18">
      <c r="A6" s="42"/>
      <c r="B6" s="42"/>
      <c r="C6" s="44"/>
      <c r="D6" s="44"/>
      <c r="E6" s="44"/>
      <c r="F6" s="44"/>
      <c r="G6" s="44"/>
      <c r="H6" s="44"/>
      <c r="I6" s="44"/>
      <c r="J6" s="44"/>
      <c r="K6" s="44"/>
      <c r="L6" s="45"/>
      <c r="M6" s="45"/>
      <c r="N6" s="45"/>
      <c r="O6" s="42"/>
      <c r="P6" s="42"/>
      <c r="Q6" s="42"/>
      <c r="R6" s="42"/>
    </row>
    <row r="7" spans="1:18" ht="21.75" customHeight="1">
      <c r="A7" s="42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5"/>
      <c r="N7" s="45"/>
      <c r="O7" s="42"/>
      <c r="P7" s="42"/>
      <c r="Q7" s="42"/>
      <c r="R7" s="42"/>
    </row>
    <row r="8" spans="1:18">
      <c r="A8" s="42"/>
      <c r="B8" s="42"/>
      <c r="C8" s="48"/>
      <c r="D8" s="48"/>
      <c r="E8" s="48"/>
      <c r="F8" s="48"/>
      <c r="G8" s="48"/>
      <c r="H8" s="48"/>
      <c r="I8" s="48"/>
      <c r="J8" s="48"/>
      <c r="K8" s="48"/>
      <c r="L8" s="48"/>
      <c r="M8" s="45"/>
      <c r="N8" s="45"/>
      <c r="O8" s="42"/>
      <c r="P8" s="42"/>
      <c r="Q8" s="42"/>
      <c r="R8" s="42"/>
    </row>
    <row r="9" spans="1:18">
      <c r="A9" s="42"/>
      <c r="B9" s="42"/>
      <c r="C9" s="48"/>
      <c r="D9" s="48"/>
      <c r="E9" s="48"/>
      <c r="F9" s="48"/>
      <c r="G9" s="48"/>
      <c r="H9" s="48"/>
      <c r="I9" s="48"/>
      <c r="J9" s="48"/>
      <c r="K9" s="48"/>
      <c r="L9" s="48"/>
      <c r="M9" s="42"/>
      <c r="N9" s="42"/>
      <c r="O9" s="42"/>
      <c r="P9" s="42"/>
      <c r="Q9" s="42"/>
      <c r="R9" s="42"/>
    </row>
    <row r="10" spans="1:18" ht="15.75">
      <c r="A10" s="42"/>
      <c r="B10" s="49"/>
      <c r="C10" s="42"/>
      <c r="D10" s="42"/>
      <c r="E10" s="42"/>
      <c r="F10" s="42"/>
      <c r="G10" s="42"/>
      <c r="H10" s="42"/>
      <c r="I10" s="42"/>
      <c r="J10" s="50"/>
      <c r="K10" s="50"/>
      <c r="L10" s="48"/>
      <c r="M10" s="56" t="s">
        <v>34</v>
      </c>
      <c r="N10" s="56"/>
      <c r="O10" s="42"/>
      <c r="P10" s="42"/>
      <c r="Q10" s="42"/>
      <c r="R10" s="42"/>
    </row>
    <row r="11" spans="1:18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</row>
    <row r="12" spans="1:18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3" spans="1:18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52"/>
      <c r="L13" s="52"/>
      <c r="M13" s="52"/>
      <c r="N13" s="52"/>
      <c r="O13" s="42"/>
      <c r="P13" s="42"/>
      <c r="Q13" s="42"/>
      <c r="R13" s="42"/>
    </row>
    <row r="14" spans="1:18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52"/>
      <c r="L14" s="52"/>
      <c r="M14" s="52"/>
      <c r="N14" s="52"/>
      <c r="O14" s="42"/>
      <c r="P14" s="42"/>
      <c r="Q14" s="42"/>
      <c r="R14" s="42"/>
    </row>
    <row r="15" spans="1:18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</row>
    <row r="16" spans="1:18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</row>
    <row r="17" spans="1:18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</row>
    <row r="18" spans="1:18" ht="23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</row>
    <row r="19" spans="1:18" ht="23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</row>
    <row r="20" spans="1:18" ht="23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</row>
    <row r="21" spans="1:18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</row>
    <row r="22" spans="1:18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</row>
    <row r="23" spans="1:18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</row>
  </sheetData>
  <mergeCells count="5">
    <mergeCell ref="A1:R2"/>
    <mergeCell ref="C4:K4"/>
    <mergeCell ref="C5:K6"/>
    <mergeCell ref="B7:L7"/>
    <mergeCell ref="M10:N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5"/>
  <sheetViews>
    <sheetView showGridLines="0" tabSelected="1" zoomScale="130" zoomScaleNormal="130" workbookViewId="0">
      <selection activeCell="J9" sqref="J9"/>
    </sheetView>
  </sheetViews>
  <sheetFormatPr defaultRowHeight="15"/>
  <cols>
    <col min="1" max="1" width="22.42578125" bestFit="1" customWidth="1"/>
    <col min="2" max="2" width="10.42578125" customWidth="1"/>
    <col min="3" max="3" width="10.28515625" customWidth="1"/>
    <col min="4" max="4" width="12.28515625" customWidth="1"/>
    <col min="5" max="5" width="13.28515625" customWidth="1"/>
    <col min="6" max="6" width="8.85546875" customWidth="1"/>
    <col min="8" max="8" width="11.140625" bestFit="1" customWidth="1"/>
  </cols>
  <sheetData>
    <row r="1" spans="1:8" ht="15" customHeight="1">
      <c r="A1" s="53" t="s">
        <v>32</v>
      </c>
      <c r="B1" s="53"/>
      <c r="C1" s="53"/>
      <c r="D1" s="53"/>
      <c r="E1" s="53"/>
      <c r="F1" s="53"/>
      <c r="G1" s="53"/>
      <c r="H1" s="53"/>
    </row>
    <row r="2" spans="1:8">
      <c r="A2" s="53"/>
      <c r="B2" s="53"/>
      <c r="C2" s="53"/>
      <c r="D2" s="53"/>
      <c r="E2" s="53"/>
      <c r="F2" s="53"/>
      <c r="G2" s="53"/>
      <c r="H2" s="53"/>
    </row>
    <row r="3" spans="1:8">
      <c r="A3" s="13" t="s">
        <v>0</v>
      </c>
      <c r="B3" s="24"/>
      <c r="C3" s="25"/>
      <c r="D3" s="25"/>
      <c r="E3" s="25"/>
      <c r="F3" s="25"/>
      <c r="G3" s="25"/>
      <c r="H3" s="26"/>
    </row>
    <row r="4" spans="1:8">
      <c r="A4" s="13" t="s">
        <v>1</v>
      </c>
      <c r="B4" s="24">
        <v>1</v>
      </c>
      <c r="C4" s="25"/>
      <c r="D4" s="25"/>
      <c r="E4" s="25"/>
      <c r="F4" s="25"/>
      <c r="G4" s="25"/>
      <c r="H4" s="26"/>
    </row>
    <row r="5" spans="1:8">
      <c r="A5" s="13" t="s">
        <v>2</v>
      </c>
      <c r="B5" s="24" t="s">
        <v>16</v>
      </c>
      <c r="C5" s="25"/>
      <c r="D5" s="25"/>
      <c r="E5" s="25"/>
      <c r="F5" s="25"/>
      <c r="G5" s="25"/>
      <c r="H5" s="26"/>
    </row>
    <row r="6" spans="1:8">
      <c r="A6" s="13" t="s">
        <v>3</v>
      </c>
      <c r="B6" s="27">
        <v>44084</v>
      </c>
      <c r="C6" s="25"/>
      <c r="D6" s="25"/>
      <c r="E6" s="25"/>
      <c r="F6" s="25"/>
      <c r="G6" s="25"/>
      <c r="H6" s="26"/>
    </row>
    <row r="7" spans="1:8" ht="15.75" thickBot="1">
      <c r="A7" s="19"/>
      <c r="B7" s="1"/>
      <c r="C7" s="1"/>
      <c r="D7" s="1"/>
      <c r="E7" s="1"/>
      <c r="F7" s="1"/>
      <c r="G7" s="1"/>
      <c r="H7" s="2"/>
    </row>
    <row r="8" spans="1:8">
      <c r="A8" s="20" t="s">
        <v>4</v>
      </c>
      <c r="B8" s="28" t="s">
        <v>20</v>
      </c>
      <c r="C8" s="29"/>
      <c r="D8" s="1"/>
      <c r="E8" s="1"/>
      <c r="F8" s="1"/>
      <c r="G8" s="1"/>
      <c r="H8" s="2"/>
    </row>
    <row r="9" spans="1:8">
      <c r="A9" s="13" t="s">
        <v>17</v>
      </c>
      <c r="B9" s="30">
        <v>0</v>
      </c>
      <c r="C9" s="31"/>
      <c r="D9" s="1"/>
      <c r="E9" s="1"/>
      <c r="F9" s="1"/>
      <c r="G9" s="1"/>
      <c r="H9" s="2"/>
    </row>
    <row r="10" spans="1:8">
      <c r="A10" s="13" t="s">
        <v>11</v>
      </c>
      <c r="B10" s="32">
        <v>0</v>
      </c>
      <c r="C10" s="33"/>
      <c r="D10" s="1"/>
      <c r="E10" s="1"/>
      <c r="F10" s="1"/>
      <c r="G10" s="1"/>
      <c r="H10" s="2"/>
    </row>
    <row r="11" spans="1:8" ht="15.75" thickBot="1">
      <c r="A11" s="21" t="s">
        <v>21</v>
      </c>
      <c r="B11" s="34">
        <f>B9*B10</f>
        <v>0</v>
      </c>
      <c r="C11" s="35"/>
      <c r="D11" s="1"/>
      <c r="E11" s="1"/>
      <c r="F11" s="1"/>
      <c r="G11" s="1"/>
      <c r="H11" s="2"/>
    </row>
    <row r="12" spans="1:8">
      <c r="A12" s="3"/>
      <c r="B12" s="4"/>
      <c r="C12" s="1"/>
      <c r="D12" s="1"/>
      <c r="E12" s="1"/>
      <c r="F12" s="1"/>
      <c r="G12" s="1"/>
      <c r="H12" s="2"/>
    </row>
    <row r="13" spans="1:8" ht="15.75">
      <c r="A13" s="53" t="s">
        <v>6</v>
      </c>
      <c r="B13" s="53"/>
      <c r="C13" s="53"/>
      <c r="D13" s="53"/>
      <c r="E13" s="53"/>
      <c r="F13" s="1"/>
      <c r="G13" s="1"/>
      <c r="H13" s="2"/>
    </row>
    <row r="14" spans="1:8">
      <c r="A14" s="39" t="s">
        <v>15</v>
      </c>
      <c r="B14" s="40"/>
      <c r="C14" s="14" t="s">
        <v>9</v>
      </c>
      <c r="D14" s="14" t="s">
        <v>10</v>
      </c>
      <c r="E14" s="15" t="s">
        <v>24</v>
      </c>
      <c r="F14" s="1"/>
      <c r="G14" s="1"/>
      <c r="H14" s="2"/>
    </row>
    <row r="15" spans="1:8">
      <c r="A15" s="22" t="s">
        <v>23</v>
      </c>
      <c r="B15" s="23"/>
      <c r="C15" s="5">
        <v>0</v>
      </c>
      <c r="D15" s="7">
        <v>0.1</v>
      </c>
      <c r="E15" s="12">
        <f>D15*C15*$B$11</f>
        <v>0</v>
      </c>
      <c r="F15" s="1"/>
      <c r="G15" s="1"/>
      <c r="H15" s="2"/>
    </row>
    <row r="16" spans="1:8">
      <c r="A16" s="22" t="s">
        <v>22</v>
      </c>
      <c r="B16" s="23"/>
      <c r="C16" s="5">
        <v>0</v>
      </c>
      <c r="D16" s="7">
        <v>0.2</v>
      </c>
      <c r="E16" s="12">
        <f t="shared" ref="E16:E28" si="0">D16*C16*$B$11</f>
        <v>0</v>
      </c>
      <c r="F16" s="1"/>
      <c r="G16" s="1"/>
      <c r="H16" s="2"/>
    </row>
    <row r="17" spans="1:8">
      <c r="A17" s="22" t="s">
        <v>26</v>
      </c>
      <c r="B17" s="23"/>
      <c r="C17" s="5">
        <v>0</v>
      </c>
      <c r="D17" s="7">
        <v>0.1</v>
      </c>
      <c r="E17" s="12">
        <f t="shared" si="0"/>
        <v>0</v>
      </c>
      <c r="F17" s="1"/>
      <c r="G17" s="1"/>
      <c r="H17" s="2"/>
    </row>
    <row r="18" spans="1:8">
      <c r="A18" s="22" t="s">
        <v>28</v>
      </c>
      <c r="B18" s="23"/>
      <c r="C18" s="5">
        <v>0</v>
      </c>
      <c r="D18" s="7">
        <v>0.15</v>
      </c>
      <c r="E18" s="12">
        <f t="shared" si="0"/>
        <v>0</v>
      </c>
      <c r="F18" s="1"/>
      <c r="G18" s="1"/>
      <c r="H18" s="2"/>
    </row>
    <row r="19" spans="1:8">
      <c r="A19" s="22" t="s">
        <v>29</v>
      </c>
      <c r="B19" s="23"/>
      <c r="C19" s="5">
        <v>0</v>
      </c>
      <c r="D19" s="7">
        <v>0.2</v>
      </c>
      <c r="E19" s="12">
        <f t="shared" si="0"/>
        <v>0</v>
      </c>
      <c r="F19" s="1"/>
      <c r="G19" s="1"/>
      <c r="H19" s="2"/>
    </row>
    <row r="20" spans="1:8">
      <c r="A20" s="22" t="s">
        <v>30</v>
      </c>
      <c r="B20" s="23"/>
      <c r="C20" s="5">
        <v>0</v>
      </c>
      <c r="D20" s="7">
        <v>0.1</v>
      </c>
      <c r="E20" s="12">
        <f t="shared" si="0"/>
        <v>0</v>
      </c>
      <c r="F20" s="1"/>
      <c r="G20" s="1"/>
      <c r="H20" s="2"/>
    </row>
    <row r="21" spans="1:8">
      <c r="A21" s="22" t="s">
        <v>31</v>
      </c>
      <c r="B21" s="23"/>
      <c r="C21" s="5">
        <v>0</v>
      </c>
      <c r="D21" s="7">
        <v>0.15</v>
      </c>
      <c r="E21" s="12">
        <f t="shared" si="0"/>
        <v>0</v>
      </c>
      <c r="F21" s="1"/>
      <c r="G21" s="1"/>
      <c r="H21" s="2"/>
    </row>
    <row r="22" spans="1:8">
      <c r="A22" s="22" t="s">
        <v>7</v>
      </c>
      <c r="B22" s="23"/>
      <c r="C22" s="5">
        <v>0</v>
      </c>
      <c r="D22" s="7">
        <v>7.0000000000000007E-2</v>
      </c>
      <c r="E22" s="12">
        <f t="shared" si="0"/>
        <v>0</v>
      </c>
      <c r="F22" s="1"/>
      <c r="G22" s="1"/>
      <c r="H22" s="2"/>
    </row>
    <row r="23" spans="1:8">
      <c r="A23" s="22" t="s">
        <v>27</v>
      </c>
      <c r="B23" s="23"/>
      <c r="C23" s="5">
        <v>0</v>
      </c>
      <c r="D23" s="7">
        <v>0.1</v>
      </c>
      <c r="E23" s="12">
        <f t="shared" si="0"/>
        <v>0</v>
      </c>
      <c r="F23" s="1"/>
      <c r="G23" s="1"/>
      <c r="H23" s="2"/>
    </row>
    <row r="24" spans="1:8">
      <c r="A24" s="36" t="s">
        <v>14</v>
      </c>
      <c r="B24" s="30"/>
      <c r="C24" s="5">
        <v>0</v>
      </c>
      <c r="D24" s="7">
        <v>0.15</v>
      </c>
      <c r="E24" s="12">
        <f t="shared" si="0"/>
        <v>0</v>
      </c>
      <c r="F24" s="1"/>
      <c r="G24" s="1"/>
      <c r="H24" s="2"/>
    </row>
    <row r="25" spans="1:8">
      <c r="A25" s="22" t="s">
        <v>8</v>
      </c>
      <c r="B25" s="23"/>
      <c r="C25" s="5">
        <v>0</v>
      </c>
      <c r="D25" s="7">
        <v>0.15</v>
      </c>
      <c r="E25" s="12">
        <f t="shared" si="0"/>
        <v>0</v>
      </c>
      <c r="F25" s="1"/>
      <c r="G25" s="1"/>
      <c r="H25" s="2"/>
    </row>
    <row r="26" spans="1:8">
      <c r="A26" s="22" t="s">
        <v>12</v>
      </c>
      <c r="B26" s="23"/>
      <c r="C26" s="5">
        <v>0</v>
      </c>
      <c r="D26" s="8">
        <v>0.1</v>
      </c>
      <c r="E26" s="12">
        <f t="shared" si="0"/>
        <v>0</v>
      </c>
      <c r="F26" s="1"/>
      <c r="G26" s="1"/>
      <c r="H26" s="2"/>
    </row>
    <row r="27" spans="1:8">
      <c r="A27" s="36" t="s">
        <v>13</v>
      </c>
      <c r="B27" s="30"/>
      <c r="C27" s="5">
        <v>0</v>
      </c>
      <c r="D27" s="9">
        <v>0.2</v>
      </c>
      <c r="E27" s="12">
        <f t="shared" si="0"/>
        <v>0</v>
      </c>
      <c r="F27" s="1"/>
      <c r="G27" s="1"/>
      <c r="H27" s="2"/>
    </row>
    <row r="28" spans="1:8" ht="15.75" thickBot="1">
      <c r="A28" s="37" t="s">
        <v>18</v>
      </c>
      <c r="B28" s="38"/>
      <c r="C28" s="10">
        <v>0</v>
      </c>
      <c r="D28" s="11">
        <v>0.1</v>
      </c>
      <c r="E28" s="12">
        <f t="shared" si="0"/>
        <v>0</v>
      </c>
      <c r="F28" s="1"/>
      <c r="G28" s="1"/>
      <c r="H28" s="2"/>
    </row>
    <row r="29" spans="1:8" ht="15.75" thickBot="1">
      <c r="A29" s="3"/>
      <c r="B29" s="1"/>
      <c r="C29" s="54" t="s">
        <v>19</v>
      </c>
      <c r="D29" s="55"/>
      <c r="E29" s="17">
        <f>SUM(E15:E26)</f>
        <v>0</v>
      </c>
      <c r="F29" s="1"/>
      <c r="G29" s="1"/>
      <c r="H29" s="2"/>
    </row>
    <row r="30" spans="1:8" ht="15.75" thickBot="1">
      <c r="A30" s="3"/>
      <c r="B30" s="1"/>
      <c r="C30" s="1"/>
      <c r="D30" s="1"/>
      <c r="E30" s="1"/>
      <c r="F30" s="1"/>
      <c r="G30" s="1"/>
      <c r="H30" s="2"/>
    </row>
    <row r="31" spans="1:8">
      <c r="A31" s="6" t="s">
        <v>25</v>
      </c>
      <c r="B31" s="16">
        <f>E29+B11</f>
        <v>0</v>
      </c>
      <c r="C31" s="1"/>
      <c r="D31" s="1"/>
      <c r="E31" s="1"/>
      <c r="F31" s="1"/>
      <c r="G31" s="1"/>
      <c r="H31" s="2"/>
    </row>
    <row r="32" spans="1:8">
      <c r="A32" s="58" t="s">
        <v>5</v>
      </c>
      <c r="B32" s="59">
        <f>0.11*B31</f>
        <v>0</v>
      </c>
      <c r="C32" s="1"/>
      <c r="D32" s="1"/>
      <c r="E32" s="1"/>
      <c r="F32" s="1"/>
      <c r="G32" s="1"/>
      <c r="H32" s="2"/>
    </row>
    <row r="33" spans="1:8" ht="15.75" thickBot="1">
      <c r="A33" s="57" t="s">
        <v>33</v>
      </c>
      <c r="B33" s="18">
        <f>SUM(B31:B32)</f>
        <v>0</v>
      </c>
      <c r="C33" s="1"/>
      <c r="D33" s="1"/>
      <c r="E33" s="1"/>
      <c r="F33" s="1"/>
      <c r="G33" s="1"/>
      <c r="H33" s="2"/>
    </row>
    <row r="34" spans="1:8">
      <c r="A34" s="3"/>
      <c r="B34" s="1"/>
      <c r="C34" s="1"/>
      <c r="D34" s="1"/>
      <c r="E34" s="1"/>
      <c r="F34" s="1"/>
      <c r="G34" s="1"/>
      <c r="H34" s="2"/>
    </row>
    <row r="35" spans="1:8" ht="15.75" thickBot="1">
      <c r="A35" s="60"/>
      <c r="B35" s="61"/>
      <c r="C35" s="61"/>
      <c r="D35" s="61"/>
      <c r="E35" s="61"/>
      <c r="F35" s="61"/>
      <c r="G35" s="61"/>
      <c r="H35" s="62"/>
    </row>
  </sheetData>
  <mergeCells count="26">
    <mergeCell ref="A28:B28"/>
    <mergeCell ref="A14:B14"/>
    <mergeCell ref="A22:B22"/>
    <mergeCell ref="A23:B23"/>
    <mergeCell ref="A24:B24"/>
    <mergeCell ref="A25:B25"/>
    <mergeCell ref="A26:B26"/>
    <mergeCell ref="B9:C9"/>
    <mergeCell ref="B10:C10"/>
    <mergeCell ref="B11:C11"/>
    <mergeCell ref="A13:E13"/>
    <mergeCell ref="A27:B27"/>
    <mergeCell ref="A1:H2"/>
    <mergeCell ref="A15:B15"/>
    <mergeCell ref="A16:B16"/>
    <mergeCell ref="A17:B17"/>
    <mergeCell ref="A18:B18"/>
    <mergeCell ref="B3:H3"/>
    <mergeCell ref="B4:H4"/>
    <mergeCell ref="B5:H5"/>
    <mergeCell ref="B6:H6"/>
    <mergeCell ref="A21:B21"/>
    <mergeCell ref="A20:B20"/>
    <mergeCell ref="A19:B19"/>
    <mergeCell ref="C29:D29"/>
    <mergeCell ref="B8:C8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 </vt:lpstr>
      <vt:lpstr>PRECIFICAÇÃO DE PROJETO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2020-09-11T18:06:25Z</dcterms:modified>
</cp:coreProperties>
</file>