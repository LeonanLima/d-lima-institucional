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GA" sheetId="1" r:id="rId4"/>
  </sheets>
  <definedNames/>
  <calcPr/>
  <extLst>
    <ext uri="GoogleSheetsCustomDataVersion2">
      <go:sheetsCustomData xmlns:go="http://customooxmlschemas.google.com/" r:id="rId5" roundtripDataChecksum="oG8rCLgAk2/Ldu0I7+tUrHZaYECPMyfpvyrrwsjS4LY="/>
    </ext>
  </extLst>
</workbook>
</file>

<file path=xl/sharedStrings.xml><?xml version="1.0" encoding="utf-8"?>
<sst xmlns="http://schemas.openxmlformats.org/spreadsheetml/2006/main" count="79" uniqueCount="75">
  <si>
    <t>DIMENSIONAMENTO DE VIGA</t>
  </si>
  <si>
    <t>Preencha apenas as células com essa cor de fundo!</t>
  </si>
  <si>
    <t>DADOS INICIAIS</t>
  </si>
  <si>
    <t>PARÂMETROS DE VINCULAÇÃO</t>
  </si>
  <si>
    <t>Dados da Viga</t>
  </si>
  <si>
    <t>Largura (cm)</t>
  </si>
  <si>
    <t>FCK (Mpa)</t>
  </si>
  <si>
    <t>αx</t>
  </si>
  <si>
    <t>βx</t>
  </si>
  <si>
    <t>γ</t>
  </si>
  <si>
    <t>δ</t>
  </si>
  <si>
    <t>δ2</t>
  </si>
  <si>
    <t>ζ</t>
  </si>
  <si>
    <t>Altura (cm)</t>
  </si>
  <si>
    <t>FYK (Mpa)</t>
  </si>
  <si>
    <t>Apoio/Apoio</t>
  </si>
  <si>
    <t>Vão livre (cm)</t>
  </si>
  <si>
    <t>Cobrimento (cm)</t>
  </si>
  <si>
    <t>Livre/Balanço</t>
  </si>
  <si>
    <t>Apoio 01 (cm)</t>
  </si>
  <si>
    <r>
      <rPr>
        <rFont val="Calibri"/>
        <b/>
        <color theme="1"/>
        <sz val="11.0"/>
      </rPr>
      <t>Carga total na viga (Tf/m)</t>
    </r>
    <r>
      <rPr>
        <rFont val="Calibri"/>
        <b val="0"/>
        <color theme="1"/>
        <sz val="11.0"/>
      </rPr>
      <t xml:space="preserve"> - </t>
    </r>
    <r>
      <rPr>
        <rFont val="Calibri"/>
        <b val="0"/>
        <i/>
        <color theme="1"/>
        <sz val="10.0"/>
      </rPr>
      <t xml:space="preserve">Característica </t>
    </r>
  </si>
  <si>
    <t>Apoio 02 (cm)</t>
  </si>
  <si>
    <t>ARMADURAS DA VIGA</t>
  </si>
  <si>
    <t>TIPO DE APOIOS:</t>
  </si>
  <si>
    <t>Ângulo dos estribos:</t>
  </si>
  <si>
    <t>Ramos do estribo:</t>
  </si>
  <si>
    <t>Diâmetro estribo (mm)</t>
  </si>
  <si>
    <t>c/</t>
  </si>
  <si>
    <t>%AS utilizado</t>
  </si>
  <si>
    <t>VERIFICAÇÕES</t>
  </si>
  <si>
    <t>Diâmetro arm. Negativa (mm)</t>
  </si>
  <si>
    <t>qt:</t>
  </si>
  <si>
    <t>Diâmetro arm. Pele (mm)</t>
  </si>
  <si>
    <t>Momento:</t>
  </si>
  <si>
    <t>Diâmetro arm. Positiva (mm)</t>
  </si>
  <si>
    <t>Flecha:</t>
  </si>
  <si>
    <t>Reação Lado A (Tf)</t>
  </si>
  <si>
    <t>Reação Lado B (Tf)</t>
  </si>
  <si>
    <t>Cortante:</t>
  </si>
  <si>
    <t>Taxa de aço:</t>
  </si>
  <si>
    <t>CÁLCULOS</t>
  </si>
  <si>
    <t>CISALHAMENTO</t>
  </si>
  <si>
    <t>DEFORMAÇÕES</t>
  </si>
  <si>
    <t>Parâmetros de Cálculo</t>
  </si>
  <si>
    <t>Vd (Tf)</t>
  </si>
  <si>
    <t>Inércia (cm^4)</t>
  </si>
  <si>
    <t>Vão eixo-eixo (m)</t>
  </si>
  <si>
    <t>Vrd2 (Tf)</t>
  </si>
  <si>
    <t>Módulo Elasticidade (Tf/cm²)</t>
  </si>
  <si>
    <t>ocd (Tf/cm²)</t>
  </si>
  <si>
    <t>fctd (Tf/cm²)</t>
  </si>
  <si>
    <t>Flecha (cm)</t>
  </si>
  <si>
    <t>fyd (Tf/cm²)</t>
  </si>
  <si>
    <t>Vrd3 (Tf)</t>
  </si>
  <si>
    <t>Fluência:</t>
  </si>
  <si>
    <t>Vsw (Tf)</t>
  </si>
  <si>
    <t>Flecha no infinito (cm)</t>
  </si>
  <si>
    <t>MOMENTO FLETOR</t>
  </si>
  <si>
    <t>Asw (cm²/cm)</t>
  </si>
  <si>
    <t>Flecha lim. Infinito (cm)</t>
  </si>
  <si>
    <t>+</t>
  </si>
  <si>
    <t>-</t>
  </si>
  <si>
    <t>AS estribo (cm²)</t>
  </si>
  <si>
    <t>Flecha relativa: 1/</t>
  </si>
  <si>
    <t>Md(tf.cm):</t>
  </si>
  <si>
    <t>Eficiência estribos:</t>
  </si>
  <si>
    <t>d:</t>
  </si>
  <si>
    <t>μ:</t>
  </si>
  <si>
    <t>ARMADURA DE PELE</t>
  </si>
  <si>
    <t>ξ:</t>
  </si>
  <si>
    <t>AS necessário:</t>
  </si>
  <si>
    <t>AS:</t>
  </si>
  <si>
    <t>Quantia barras:</t>
  </si>
  <si>
    <t>AS Barra:</t>
  </si>
  <si>
    <t>Diâmetro barra: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</si>
</sst>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0_-;\-* #,##0.00_-;_-* \-??_-;_-@"/>
    <numFmt numFmtId="165" formatCode="_(* #,##0.00_);_(* \(#,##0.00\);_(* &quot;-&quot;??_);_(@_)"/>
    <numFmt numFmtId="166" formatCode="0.0%"/>
    <numFmt numFmtId="167" formatCode="0.000"/>
    <numFmt numFmtId="168" formatCode="0.0"/>
    <numFmt numFmtId="169" formatCode="0.0000"/>
    <numFmt numFmtId="170" formatCode="_-&quot;R$&quot;\ * #,##0.00_-;\-&quot;R$&quot;\ * #,##0.00_-;_-&quot;R$&quot;\ * &quot;-&quot;??_-;_-@"/>
  </numFmts>
  <fonts count="21">
    <font>
      <sz val="11.0"/>
      <color theme="1"/>
      <name val="Calibri"/>
      <scheme val="minor"/>
    </font>
    <font>
      <b/>
      <sz val="14.0"/>
      <color rgb="FFFF0000"/>
      <name val="Calibri"/>
    </font>
    <font/>
    <font>
      <sz val="10.0"/>
      <color rgb="FF000000"/>
      <name val="Calibri"/>
    </font>
    <font>
      <b/>
      <sz val="14.0"/>
      <color theme="1"/>
      <name val="Calibri"/>
    </font>
    <font>
      <b/>
      <sz val="11.0"/>
      <color rgb="FFFF0000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i/>
      <sz val="10.0"/>
      <color theme="1"/>
      <name val="Calibri"/>
    </font>
    <font>
      <i/>
      <sz val="11.0"/>
      <color theme="1"/>
      <name val="Calibri"/>
    </font>
    <font>
      <i/>
      <sz val="10.0"/>
      <color rgb="FF000000"/>
      <name val="Calibri"/>
    </font>
    <font>
      <sz val="10.0"/>
      <color rgb="FF262626"/>
      <name val="Calibri"/>
    </font>
    <font>
      <sz val="10.0"/>
      <color theme="1"/>
      <name val="Calibri"/>
    </font>
    <font>
      <sz val="10.0"/>
      <color rgb="FFAEABAB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b/>
      <sz val="10.0"/>
      <color rgb="FFFF0000"/>
      <name val="Calibri"/>
    </font>
    <font>
      <sz val="11.0"/>
      <color theme="1"/>
      <name val="Calibri"/>
    </font>
    <font>
      <sz val="11.0"/>
      <color rgb="FFFF0000"/>
      <name val="Calibri"/>
    </font>
    <font>
      <b/>
      <sz val="11.0"/>
      <color rgb="FF202122"/>
      <name val="Calibri"/>
    </font>
    <font>
      <sz val="10.0"/>
      <color rgb="FF75707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F07070"/>
        <bgColor rgb="FFF07070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63">
    <border/>
    <border>
      <left style="medium">
        <color rgb="FF000000"/>
      </left>
      <top/>
    </border>
    <border>
      <top/>
    </border>
    <border>
      <right/>
      <top/>
    </border>
    <border>
      <left style="medium">
        <color rgb="FF000000"/>
      </left>
      <bottom/>
    </border>
    <border>
      <bottom/>
    </border>
    <border>
      <right/>
      <bottom/>
    </border>
    <border>
      <left/>
      <top/>
    </border>
    <border>
      <left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49" xfId="0" applyAlignment="1" applyBorder="1" applyFill="1" applyFont="1" applyNumberFormat="1">
      <alignment horizontal="center" shrinkToFit="0" vertical="center" wrapText="1"/>
    </xf>
    <xf borderId="8" fillId="0" fontId="2" numFmtId="0" xfId="0" applyBorder="1" applyFont="1"/>
    <xf borderId="9" fillId="4" fontId="5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2" fontId="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15" fillId="5" fontId="7" numFmtId="0" xfId="0" applyAlignment="1" applyBorder="1" applyFill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0" fillId="0" fontId="7" numFmtId="0" xfId="0" applyAlignment="1" applyFont="1">
      <alignment horizontal="center"/>
    </xf>
    <xf borderId="18" fillId="0" fontId="7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readingOrder="0" vertical="center"/>
    </xf>
    <xf borderId="20" fillId="0" fontId="2" numFmtId="0" xfId="0" applyBorder="1" applyFont="1"/>
    <xf borderId="19" fillId="3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1" fillId="6" fontId="8" numFmtId="0" xfId="0" applyBorder="1" applyFill="1" applyFont="1"/>
    <xf borderId="22" fillId="5" fontId="9" numFmtId="0" xfId="0" applyAlignment="1" applyBorder="1" applyFont="1">
      <alignment horizontal="center"/>
    </xf>
    <xf borderId="23" fillId="5" fontId="9" numFmtId="0" xfId="0" applyAlignment="1" applyBorder="1" applyFont="1">
      <alignment horizontal="center"/>
    </xf>
    <xf borderId="24" fillId="5" fontId="9" numFmtId="0" xfId="0" applyAlignment="1" applyBorder="1" applyFont="1">
      <alignment horizontal="center"/>
    </xf>
    <xf borderId="25" fillId="0" fontId="7" numFmtId="0" xfId="0" applyAlignment="1" applyBorder="1" applyFont="1">
      <alignment horizontal="center" vertical="center"/>
    </xf>
    <xf borderId="26" fillId="3" fontId="3" numFmtId="0" xfId="0" applyAlignment="1" applyBorder="1" applyFont="1">
      <alignment horizontal="center" readingOrder="0" vertical="center"/>
    </xf>
    <xf borderId="27" fillId="0" fontId="2" numFmtId="0" xfId="0" applyBorder="1" applyFont="1"/>
    <xf borderId="26" fillId="3" fontId="3" numFmtId="0" xfId="0" applyAlignment="1" applyBorder="1" applyFont="1">
      <alignment horizontal="center" vertical="center"/>
    </xf>
    <xf borderId="28" fillId="5" fontId="9" numFmtId="0" xfId="0" applyAlignment="1" applyBorder="1" applyFont="1">
      <alignment horizontal="center"/>
    </xf>
    <xf borderId="18" fillId="6" fontId="10" numFmtId="2" xfId="0" applyAlignment="1" applyBorder="1" applyFont="1" applyNumberFormat="1">
      <alignment horizontal="center"/>
    </xf>
    <xf borderId="29" fillId="6" fontId="10" numFmtId="2" xfId="0" applyAlignment="1" applyBorder="1" applyFont="1" applyNumberFormat="1">
      <alignment horizontal="center"/>
    </xf>
    <xf borderId="30" fillId="6" fontId="10" numFmtId="2" xfId="0" applyAlignment="1" applyBorder="1" applyFont="1" applyNumberFormat="1">
      <alignment horizontal="center"/>
    </xf>
    <xf borderId="31" fillId="5" fontId="9" numFmtId="0" xfId="0" applyAlignment="1" applyBorder="1" applyFont="1">
      <alignment horizontal="center" vertical="center"/>
    </xf>
    <xf borderId="32" fillId="6" fontId="10" numFmtId="2" xfId="0" applyAlignment="1" applyBorder="1" applyFont="1" applyNumberFormat="1">
      <alignment horizontal="center"/>
    </xf>
    <xf borderId="33" fillId="6" fontId="10" numFmtId="2" xfId="0" applyAlignment="1" applyBorder="1" applyFont="1" applyNumberFormat="1">
      <alignment horizontal="center"/>
    </xf>
    <xf borderId="34" fillId="6" fontId="10" numFmtId="2" xfId="0" applyAlignment="1" applyBorder="1" applyFont="1" applyNumberFormat="1">
      <alignment horizontal="center"/>
    </xf>
    <xf borderId="32" fillId="0" fontId="7" numFmtId="0" xfId="0" applyAlignment="1" applyBorder="1" applyFont="1">
      <alignment horizontal="center" shrinkToFit="0" vertical="center" wrapText="1"/>
    </xf>
    <xf borderId="35" fillId="3" fontId="3" numFmtId="0" xfId="0" applyAlignment="1" applyBorder="1" applyFont="1">
      <alignment horizontal="center" readingOrder="0" vertical="center"/>
    </xf>
    <xf borderId="36" fillId="0" fontId="2" numFmtId="0" xfId="0" applyBorder="1" applyFont="1"/>
    <xf borderId="0" fillId="0" fontId="11" numFmtId="0" xfId="0" applyAlignment="1" applyFont="1">
      <alignment horizontal="left"/>
    </xf>
    <xf borderId="37" fillId="0" fontId="7" numFmtId="0" xfId="0" applyAlignment="1" applyBorder="1" applyFont="1">
      <alignment horizontal="center" vertical="center"/>
    </xf>
    <xf borderId="38" fillId="3" fontId="3" numFmtId="0" xfId="0" applyAlignment="1" applyBorder="1" applyFont="1">
      <alignment horizontal="center" vertical="center"/>
    </xf>
    <xf borderId="39" fillId="0" fontId="2" numFmtId="0" xfId="0" applyBorder="1" applyFont="1"/>
    <xf borderId="0" fillId="0" fontId="12" numFmtId="0" xfId="0" applyAlignment="1" applyFont="1">
      <alignment horizontal="right"/>
    </xf>
    <xf borderId="0" fillId="0" fontId="12" numFmtId="164" xfId="0" applyFont="1" applyNumberFormat="1"/>
    <xf borderId="0" fillId="0" fontId="12" numFmtId="0" xfId="0" applyFont="1"/>
    <xf borderId="9" fillId="4" fontId="5" numFmtId="0" xfId="0" applyAlignment="1" applyBorder="1" applyFont="1">
      <alignment horizontal="center"/>
    </xf>
    <xf borderId="40" fillId="0" fontId="7" numFmtId="0" xfId="0" applyAlignment="1" applyBorder="1" applyFont="1">
      <alignment horizontal="center" vertical="center"/>
    </xf>
    <xf borderId="41" fillId="0" fontId="2" numFmtId="0" xfId="0" applyBorder="1" applyFont="1"/>
    <xf borderId="0" fillId="0" fontId="7" numFmtId="0" xfId="0" applyAlignment="1" applyFont="1">
      <alignment horizontal="center" vertical="center"/>
    </xf>
    <xf borderId="42" fillId="3" fontId="3" numFmtId="0" xfId="0" applyAlignment="1" applyBorder="1" applyFont="1">
      <alignment horizontal="center" readingOrder="0" vertical="center"/>
    </xf>
    <xf borderId="43" fillId="0" fontId="2" numFmtId="0" xfId="0" applyBorder="1" applyFont="1"/>
    <xf borderId="19" fillId="0" fontId="3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19" fillId="6" fontId="3" numFmtId="0" xfId="0" applyAlignment="1" applyBorder="1" applyFont="1">
      <alignment horizontal="center" vertical="center"/>
    </xf>
    <xf borderId="0" fillId="0" fontId="13" numFmtId="0" xfId="0" applyAlignment="1" applyFont="1">
      <alignment horizontal="left"/>
    </xf>
    <xf borderId="44" fillId="0" fontId="7" numFmtId="0" xfId="0" applyAlignment="1" applyBorder="1" applyFont="1">
      <alignment horizontal="center" vertical="center"/>
    </xf>
    <xf borderId="45" fillId="3" fontId="3" numFmtId="0" xfId="0" applyAlignment="1" applyBorder="1" applyFont="1">
      <alignment horizontal="center" readingOrder="0" vertical="center"/>
    </xf>
    <xf borderId="46" fillId="0" fontId="3" numFmtId="1" xfId="0" applyAlignment="1" applyBorder="1" applyFont="1" applyNumberFormat="1">
      <alignment horizontal="center" vertical="center"/>
    </xf>
    <xf borderId="26" fillId="0" fontId="14" numFmtId="0" xfId="0" applyAlignment="1" applyBorder="1" applyFont="1">
      <alignment horizontal="center" vertical="center"/>
    </xf>
    <xf borderId="0" fillId="0" fontId="13" numFmtId="0" xfId="0" applyAlignment="1" applyFont="1">
      <alignment horizontal="right"/>
    </xf>
    <xf borderId="47" fillId="5" fontId="7" numFmtId="0" xfId="0" applyAlignment="1" applyBorder="1" applyFont="1">
      <alignment horizontal="center" vertical="center"/>
    </xf>
    <xf borderId="48" fillId="0" fontId="2" numFmtId="0" xfId="0" applyBorder="1" applyFont="1"/>
    <xf borderId="49" fillId="0" fontId="2" numFmtId="0" xfId="0" applyBorder="1" applyFont="1"/>
    <xf borderId="0" fillId="0" fontId="12" numFmtId="165" xfId="0" applyFont="1" applyNumberFormat="1"/>
    <xf borderId="45" fillId="3" fontId="3" numFmtId="0" xfId="0" applyAlignment="1" applyBorder="1" applyFont="1">
      <alignment horizontal="center" vertical="center"/>
    </xf>
    <xf borderId="50" fillId="6" fontId="15" numFmtId="0" xfId="0" applyAlignment="1" applyBorder="1" applyFont="1">
      <alignment horizontal="center" vertical="center"/>
    </xf>
    <xf borderId="51" fillId="0" fontId="12" numFmtId="166" xfId="0" applyAlignment="1" applyBorder="1" applyFont="1" applyNumberFormat="1">
      <alignment horizontal="center" vertical="center"/>
    </xf>
    <xf borderId="52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55" fillId="0" fontId="2" numFmtId="0" xfId="0" applyBorder="1" applyFont="1"/>
    <xf borderId="0" fillId="0" fontId="16" numFmtId="0" xfId="0" applyAlignment="1" applyFont="1">
      <alignment horizontal="center"/>
    </xf>
    <xf borderId="0" fillId="0" fontId="14" numFmtId="165" xfId="0" applyFont="1" applyNumberFormat="1"/>
    <xf borderId="56" fillId="0" fontId="2" numFmtId="0" xfId="0" applyBorder="1" applyFont="1"/>
    <xf borderId="26" fillId="0" fontId="3" numFmtId="167" xfId="0" applyAlignment="1" applyBorder="1" applyFont="1" applyNumberFormat="1">
      <alignment horizontal="center" vertical="center"/>
    </xf>
    <xf borderId="0" fillId="0" fontId="14" numFmtId="0" xfId="0" applyFont="1"/>
    <xf borderId="57" fillId="0" fontId="15" numFmtId="0" xfId="0" applyAlignment="1" applyBorder="1" applyFont="1">
      <alignment horizontal="center" vertical="center"/>
    </xf>
    <xf borderId="46" fillId="0" fontId="17" numFmtId="0" xfId="0" applyAlignment="1" applyBorder="1" applyFont="1">
      <alignment horizontal="center" vertical="center"/>
    </xf>
    <xf borderId="26" fillId="0" fontId="3" numFmtId="10" xfId="0" applyAlignment="1" applyBorder="1" applyFont="1" applyNumberFormat="1">
      <alignment horizontal="center" vertical="center"/>
    </xf>
    <xf borderId="32" fillId="0" fontId="7" numFmtId="0" xfId="0" applyAlignment="1" applyBorder="1" applyFont="1">
      <alignment horizontal="center" vertical="center"/>
    </xf>
    <xf borderId="58" fillId="0" fontId="3" numFmtId="0" xfId="0" applyAlignment="1" applyBorder="1" applyFont="1">
      <alignment horizontal="center" vertical="center"/>
    </xf>
    <xf borderId="59" fillId="0" fontId="2" numFmtId="0" xfId="0" applyBorder="1" applyFont="1"/>
    <xf borderId="33" fillId="0" fontId="7" numFmtId="0" xfId="0" applyAlignment="1" applyBorder="1" applyFont="1">
      <alignment horizontal="center" vertical="center"/>
    </xf>
    <xf borderId="35" fillId="0" fontId="3" numFmtId="167" xfId="0" applyAlignment="1" applyBorder="1" applyFont="1" applyNumberFormat="1">
      <alignment horizontal="center" vertical="center"/>
    </xf>
    <xf borderId="0" fillId="0" fontId="13" numFmtId="0" xfId="0" applyFont="1"/>
    <xf borderId="0" fillId="0" fontId="12" numFmtId="166" xfId="0" applyAlignment="1" applyFont="1" applyNumberFormat="1">
      <alignment horizontal="center" vertical="center"/>
    </xf>
    <xf borderId="9" fillId="4" fontId="18" numFmtId="0" xfId="0" applyAlignment="1" applyBorder="1" applyFont="1">
      <alignment horizontal="center"/>
    </xf>
    <xf borderId="0" fillId="0" fontId="3" numFmtId="167" xfId="0" applyAlignment="1" applyFont="1" applyNumberFormat="1">
      <alignment horizontal="center" vertical="center"/>
    </xf>
    <xf borderId="0" fillId="0" fontId="12" numFmtId="0" xfId="0" applyAlignment="1" applyFont="1">
      <alignment horizontal="left"/>
    </xf>
    <xf borderId="12" fillId="5" fontId="7" numFmtId="0" xfId="0" applyAlignment="1" applyBorder="1" applyFont="1">
      <alignment horizontal="center" vertical="center"/>
    </xf>
    <xf borderId="15" fillId="5" fontId="7" numFmtId="0" xfId="0" applyAlignment="1" applyBorder="1" applyFont="1">
      <alignment horizontal="center" vertical="center"/>
    </xf>
    <xf borderId="25" fillId="0" fontId="19" numFmtId="0" xfId="0" applyAlignment="1" applyBorder="1" applyFont="1">
      <alignment horizontal="center" vertical="center"/>
    </xf>
    <xf borderId="26" fillId="0" fontId="3" numFmtId="168" xfId="0" applyAlignment="1" applyBorder="1" applyFont="1" applyNumberFormat="1">
      <alignment horizontal="center" vertical="center"/>
    </xf>
    <xf borderId="26" fillId="0" fontId="3" numFmtId="169" xfId="0" applyAlignment="1" applyBorder="1" applyFont="1" applyNumberFormat="1">
      <alignment horizontal="center" vertical="center"/>
    </xf>
    <xf borderId="26" fillId="0" fontId="3" numFmtId="2" xfId="0" applyAlignment="1" applyBorder="1" applyFont="1" applyNumberFormat="1">
      <alignment horizontal="center" vertical="center"/>
    </xf>
    <xf borderId="32" fillId="0" fontId="19" numFmtId="0" xfId="0" applyAlignment="1" applyBorder="1" applyFont="1">
      <alignment horizontal="center" vertical="center"/>
    </xf>
    <xf borderId="35" fillId="0" fontId="3" numFmtId="169" xfId="0" applyAlignment="1" applyBorder="1" applyFont="1" applyNumberFormat="1">
      <alignment horizontal="center" vertical="center"/>
    </xf>
    <xf borderId="26" fillId="0" fontId="3" numFmtId="1" xfId="0" applyAlignment="1" applyBorder="1" applyFont="1" applyNumberFormat="1">
      <alignment horizontal="center" vertical="center"/>
    </xf>
    <xf borderId="0" fillId="0" fontId="13" numFmtId="2" xfId="0" applyFont="1" applyNumberFormat="1"/>
    <xf borderId="18" fillId="0" fontId="20" numFmtId="0" xfId="0" applyAlignment="1" applyBorder="1" applyFont="1">
      <alignment horizontal="right"/>
    </xf>
    <xf borderId="29" fillId="0" fontId="19" numFmtId="0" xfId="0" applyAlignment="1" applyBorder="1" applyFont="1">
      <alignment horizontal="center" vertical="center"/>
    </xf>
    <xf borderId="30" fillId="0" fontId="19" numFmtId="0" xfId="0" applyAlignment="1" applyBorder="1" applyFont="1">
      <alignment horizontal="center" vertical="center"/>
    </xf>
    <xf borderId="32" fillId="0" fontId="19" numFmtId="0" xfId="0" applyAlignment="1" applyBorder="1" applyFont="1">
      <alignment horizontal="right" vertical="center"/>
    </xf>
    <xf borderId="35" fillId="0" fontId="3" numFmtId="1" xfId="0" applyAlignment="1" applyBorder="1" applyFont="1" applyNumberFormat="1">
      <alignment horizontal="left" vertical="center"/>
    </xf>
    <xf borderId="46" fillId="0" fontId="3" numFmtId="2" xfId="0" applyAlignment="1" applyBorder="1" applyFont="1" applyNumberFormat="1">
      <alignment horizontal="center" vertical="center"/>
    </xf>
    <xf borderId="60" fillId="0" fontId="3" numFmtId="2" xfId="0" applyAlignment="1" applyBorder="1" applyFont="1" applyNumberFormat="1">
      <alignment horizontal="center" vertical="center"/>
    </xf>
    <xf borderId="32" fillId="0" fontId="19" numFmtId="9" xfId="0" applyAlignment="1" applyBorder="1" applyFont="1" applyNumberFormat="1">
      <alignment horizontal="center" vertical="center"/>
    </xf>
    <xf borderId="35" fillId="0" fontId="3" numFmtId="9" xfId="0" applyAlignment="1" applyBorder="1" applyFont="1" applyNumberFormat="1">
      <alignment horizontal="center" vertical="center"/>
    </xf>
    <xf borderId="46" fillId="0" fontId="3" numFmtId="168" xfId="0" applyAlignment="1" applyBorder="1" applyFont="1" applyNumberFormat="1">
      <alignment horizontal="center" vertical="center"/>
    </xf>
    <xf borderId="60" fillId="0" fontId="3" numFmtId="168" xfId="0" applyAlignment="1" applyBorder="1" applyFont="1" applyNumberFormat="1">
      <alignment horizontal="center" vertical="center"/>
    </xf>
    <xf borderId="61" fillId="0" fontId="19" numFmtId="0" xfId="0" applyAlignment="1" applyBorder="1" applyFont="1">
      <alignment horizontal="center" vertical="center"/>
    </xf>
    <xf borderId="62" fillId="0" fontId="3" numFmtId="10" xfId="0" applyAlignment="1" applyBorder="1" applyFont="1" applyNumberFormat="1">
      <alignment horizontal="center" vertical="center"/>
    </xf>
    <xf borderId="46" fillId="0" fontId="3" numFmtId="167" xfId="0" applyAlignment="1" applyBorder="1" applyFont="1" applyNumberFormat="1">
      <alignment horizontal="center" vertical="center"/>
    </xf>
    <xf borderId="60" fillId="0" fontId="3" numFmtId="167" xfId="0" applyAlignment="1" applyBorder="1" applyFont="1" applyNumberFormat="1">
      <alignment horizontal="center" vertical="center"/>
    </xf>
    <xf borderId="33" fillId="0" fontId="3" numFmtId="2" xfId="0" applyAlignment="1" applyBorder="1" applyFont="1" applyNumberFormat="1">
      <alignment horizontal="center" vertical="center"/>
    </xf>
    <xf borderId="34" fillId="0" fontId="3" numFmtId="2" xfId="0" applyAlignment="1" applyBorder="1" applyFont="1" applyNumberFormat="1">
      <alignment horizontal="center" vertical="center"/>
    </xf>
    <xf borderId="35" fillId="0" fontId="3" numFmtId="2" xfId="0" applyAlignment="1" applyBorder="1" applyFont="1" applyNumberFormat="1">
      <alignment horizontal="center" vertical="center"/>
    </xf>
    <xf borderId="0" fillId="0" fontId="13" numFmtId="170" xfId="0" applyFont="1" applyNumberFormat="1"/>
    <xf borderId="0" fillId="0" fontId="12" numFmtId="2" xfId="0" applyFont="1" applyNumberFormat="1"/>
    <xf borderId="0" fillId="0" fontId="1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86"/>
    <col customWidth="1" min="2" max="2" width="26.57"/>
    <col customWidth="1" min="3" max="3" width="8.14"/>
    <col customWidth="1" min="4" max="4" width="25.29"/>
    <col customWidth="1" min="5" max="5" width="9.0"/>
    <col customWidth="1" min="6" max="6" width="7.71"/>
    <col customWidth="1" min="7" max="7" width="18.43"/>
    <col customWidth="1" min="8" max="8" width="30.29"/>
    <col customWidth="1" min="9" max="9" width="11.0"/>
    <col customWidth="1" min="10" max="10" width="10.0"/>
    <col customWidth="1" min="11" max="11" width="28.43"/>
    <col customWidth="1" min="12" max="12" width="10.71"/>
    <col customWidth="1" min="13" max="14" width="6.29"/>
    <col customWidth="1" min="15" max="15" width="24.71"/>
    <col customWidth="1" min="16" max="16" width="23.71"/>
    <col customWidth="1" min="17" max="17" width="12.29"/>
    <col customWidth="1" min="18" max="21" width="10.29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0" t="s">
        <v>2</v>
      </c>
      <c r="B7" s="11"/>
      <c r="C7" s="11"/>
      <c r="D7" s="11"/>
      <c r="E7" s="11"/>
      <c r="F7" s="12"/>
      <c r="G7" s="4"/>
      <c r="H7" s="13" t="s">
        <v>3</v>
      </c>
      <c r="I7" s="14"/>
      <c r="J7" s="14"/>
      <c r="K7" s="14"/>
      <c r="L7" s="14"/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6"/>
      <c r="B8" s="16"/>
      <c r="C8" s="16"/>
      <c r="D8" s="16"/>
      <c r="E8" s="16"/>
      <c r="F8" s="16"/>
      <c r="G8" s="1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7" t="s">
        <v>4</v>
      </c>
      <c r="B9" s="18"/>
      <c r="C9" s="18"/>
      <c r="D9" s="18"/>
      <c r="E9" s="18"/>
      <c r="F9" s="19"/>
      <c r="G9" s="2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21" t="s">
        <v>5</v>
      </c>
      <c r="B10" s="22">
        <v>20.0</v>
      </c>
      <c r="C10" s="23"/>
      <c r="D10" s="21" t="s">
        <v>6</v>
      </c>
      <c r="E10" s="24">
        <v>25.0</v>
      </c>
      <c r="F10" s="23"/>
      <c r="G10" s="25"/>
      <c r="H10" s="26"/>
      <c r="I10" s="27" t="s">
        <v>7</v>
      </c>
      <c r="J10" s="28" t="s">
        <v>8</v>
      </c>
      <c r="K10" s="28" t="s">
        <v>9</v>
      </c>
      <c r="L10" s="28" t="s">
        <v>10</v>
      </c>
      <c r="M10" s="28" t="s">
        <v>11</v>
      </c>
      <c r="N10" s="29" t="s">
        <v>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30" t="s">
        <v>13</v>
      </c>
      <c r="B11" s="31">
        <v>30.0</v>
      </c>
      <c r="C11" s="32"/>
      <c r="D11" s="30" t="s">
        <v>14</v>
      </c>
      <c r="E11" s="33">
        <v>500.0</v>
      </c>
      <c r="F11" s="32"/>
      <c r="G11" s="25"/>
      <c r="H11" s="34" t="s">
        <v>15</v>
      </c>
      <c r="I11" s="35">
        <v>8.0</v>
      </c>
      <c r="J11" s="36">
        <v>99999.0</v>
      </c>
      <c r="K11" s="36">
        <f>384/5</f>
        <v>76.8</v>
      </c>
      <c r="L11" s="36">
        <v>0.5</v>
      </c>
      <c r="M11" s="36">
        <v>0.5</v>
      </c>
      <c r="N11" s="37">
        <v>0.2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30" t="s">
        <v>16</v>
      </c>
      <c r="B12" s="31">
        <v>600.0</v>
      </c>
      <c r="C12" s="32"/>
      <c r="D12" s="30" t="s">
        <v>17</v>
      </c>
      <c r="E12" s="33">
        <v>2.5</v>
      </c>
      <c r="F12" s="32"/>
      <c r="G12" s="25"/>
      <c r="H12" s="38" t="s">
        <v>18</v>
      </c>
      <c r="I12" s="39">
        <v>99999.0</v>
      </c>
      <c r="J12" s="40">
        <v>2.0</v>
      </c>
      <c r="K12" s="40">
        <f>8</f>
        <v>8</v>
      </c>
      <c r="L12" s="40">
        <v>1.0</v>
      </c>
      <c r="M12" s="40">
        <v>1.0E-8</v>
      </c>
      <c r="N12" s="41">
        <v>0.0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75" customHeight="1">
      <c r="A13" s="30" t="s">
        <v>19</v>
      </c>
      <c r="B13" s="33">
        <v>14.0</v>
      </c>
      <c r="C13" s="32"/>
      <c r="D13" s="42" t="s">
        <v>20</v>
      </c>
      <c r="E13" s="43">
        <v>0.4</v>
      </c>
      <c r="F13" s="44"/>
      <c r="G13" s="25"/>
      <c r="H13" s="4"/>
      <c r="I13" s="4"/>
      <c r="J13" s="4"/>
      <c r="K13" s="4"/>
      <c r="L13" s="4"/>
      <c r="M13" s="4"/>
      <c r="N13" s="4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46" t="s">
        <v>21</v>
      </c>
      <c r="B14" s="47">
        <v>14.0</v>
      </c>
      <c r="C14" s="48"/>
      <c r="D14" s="49"/>
      <c r="E14" s="50"/>
      <c r="F14" s="51"/>
      <c r="G14" s="51"/>
      <c r="H14" s="52" t="s">
        <v>22</v>
      </c>
      <c r="I14" s="11"/>
      <c r="J14" s="11"/>
      <c r="K14" s="11"/>
      <c r="L14" s="11"/>
      <c r="M14" s="11"/>
      <c r="N14" s="1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53" t="s">
        <v>23</v>
      </c>
      <c r="B15" s="54"/>
      <c r="C15" s="23"/>
      <c r="D15" s="49"/>
      <c r="E15" s="50"/>
      <c r="F15" s="51"/>
      <c r="G15" s="51"/>
      <c r="H15" s="4"/>
      <c r="I15" s="4"/>
      <c r="J15" s="4"/>
      <c r="K15" s="4"/>
      <c r="L15" s="4"/>
      <c r="M15" s="4"/>
      <c r="N15" s="5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56" t="s">
        <v>15</v>
      </c>
      <c r="B16" s="57"/>
      <c r="C16" s="44"/>
      <c r="D16" s="49"/>
      <c r="E16" s="50"/>
      <c r="F16" s="51"/>
      <c r="G16" s="51"/>
      <c r="H16" s="21" t="s">
        <v>24</v>
      </c>
      <c r="I16" s="58">
        <v>90.0</v>
      </c>
      <c r="J16" s="54"/>
      <c r="K16" s="59" t="s">
        <v>25</v>
      </c>
      <c r="L16" s="60">
        <v>2.0</v>
      </c>
      <c r="M16" s="23"/>
      <c r="N16" s="6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9"/>
      <c r="E17" s="50"/>
      <c r="F17" s="51"/>
      <c r="G17" s="51"/>
      <c r="H17" s="62" t="s">
        <v>26</v>
      </c>
      <c r="I17" s="63">
        <v>5.0</v>
      </c>
      <c r="J17" s="62" t="s">
        <v>27</v>
      </c>
      <c r="K17" s="64">
        <f>MIN(ROUNDDOWN(H35/H34*100,0),ROUNDDOWN(C37*0.6/SIN(RADIANS(I16)),0),30)</f>
        <v>15</v>
      </c>
      <c r="L17" s="65" t="s">
        <v>28</v>
      </c>
      <c r="M17" s="32"/>
      <c r="N17" s="6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67" t="s">
        <v>29</v>
      </c>
      <c r="B18" s="68"/>
      <c r="C18" s="69"/>
      <c r="D18" s="51"/>
      <c r="E18" s="70"/>
      <c r="F18" s="51"/>
      <c r="G18" s="51"/>
      <c r="H18" s="62" t="s">
        <v>30</v>
      </c>
      <c r="I18" s="71">
        <v>6.3</v>
      </c>
      <c r="J18" s="72" t="s">
        <v>31</v>
      </c>
      <c r="K18" s="64">
        <f>MAX(2,ROUNDUP(D40/D41,0))</f>
        <v>2</v>
      </c>
      <c r="L18" s="73">
        <f>D40/(D41*K18)</f>
        <v>0.0002918710203</v>
      </c>
      <c r="M18" s="74"/>
      <c r="N18" s="6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75"/>
      <c r="B19" s="76"/>
      <c r="C19" s="77"/>
      <c r="D19" s="78"/>
      <c r="E19" s="79"/>
      <c r="F19" s="51"/>
      <c r="G19" s="51"/>
      <c r="H19" s="62" t="s">
        <v>32</v>
      </c>
      <c r="I19" s="71">
        <v>8.0</v>
      </c>
      <c r="J19" s="62" t="s">
        <v>31</v>
      </c>
      <c r="K19" s="64">
        <f>H40*2*IF(B11&gt;60,"1","0")</f>
        <v>0</v>
      </c>
      <c r="L19" s="80"/>
      <c r="M19" s="77"/>
      <c r="N19" s="6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30" t="s">
        <v>33</v>
      </c>
      <c r="B20" s="81" t="str">
        <f>IF(MAX(C39:D39)&gt;0.36,"Momento acima do limite","OK")</f>
        <v>OK</v>
      </c>
      <c r="C20" s="32"/>
      <c r="D20" s="78"/>
      <c r="E20" s="82"/>
      <c r="F20" s="51"/>
      <c r="G20" s="51"/>
      <c r="H20" s="62" t="s">
        <v>34</v>
      </c>
      <c r="I20" s="63">
        <v>12.0</v>
      </c>
      <c r="J20" s="83" t="s">
        <v>31</v>
      </c>
      <c r="K20" s="84">
        <f>MAX(2,ROUNDUP(C40/C41,0))</f>
        <v>3</v>
      </c>
      <c r="L20" s="85">
        <f>C40/(C41*K20)</f>
        <v>0.7261472199</v>
      </c>
      <c r="M20" s="32"/>
      <c r="N20" s="6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0" t="s">
        <v>35</v>
      </c>
      <c r="B21" s="81" t="str">
        <f>IF(L35&gt;250,"OK","Flecha acima do limite")</f>
        <v>OK</v>
      </c>
      <c r="C21" s="32"/>
      <c r="D21" s="78"/>
      <c r="E21" s="82"/>
      <c r="F21" s="51"/>
      <c r="G21" s="51"/>
      <c r="H21" s="86" t="s">
        <v>36</v>
      </c>
      <c r="I21" s="87">
        <f>E13*C30*VLOOKUP(A16,H11:M13,6,FALSE)</f>
        <v>1.228</v>
      </c>
      <c r="J21" s="88"/>
      <c r="K21" s="89" t="s">
        <v>37</v>
      </c>
      <c r="L21" s="90">
        <f>E13*C30*VLOOKUP(A16,H11:M13,5,FALSE)</f>
        <v>1.228</v>
      </c>
      <c r="M21" s="44"/>
      <c r="N21" s="66"/>
      <c r="O21" s="91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30" t="s">
        <v>38</v>
      </c>
      <c r="B22" s="81" t="str">
        <f>IF(H29&gt;H30,"Cortante acima do limite","OK")</f>
        <v>OK</v>
      </c>
      <c r="C22" s="32"/>
      <c r="D22" s="78"/>
      <c r="E22" s="82"/>
      <c r="F22" s="51"/>
      <c r="G22" s="5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86" t="s">
        <v>39</v>
      </c>
      <c r="B23" s="90" t="str">
        <f>IF(L37&gt;0.04,"Taxa de aço acima do limite","OK")</f>
        <v>OK</v>
      </c>
      <c r="C23" s="44"/>
      <c r="D23" s="78"/>
      <c r="E23" s="82"/>
      <c r="F23" s="51"/>
      <c r="G23" s="5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78"/>
      <c r="B24" s="78"/>
      <c r="C24" s="78"/>
      <c r="D24" s="78"/>
      <c r="E24" s="51"/>
      <c r="F24" s="51"/>
      <c r="G24" s="5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92"/>
      <c r="H25" s="4"/>
      <c r="I25" s="4"/>
      <c r="J25" s="4"/>
      <c r="K25" s="4"/>
      <c r="L25" s="4"/>
      <c r="M25" s="4"/>
      <c r="N25" s="91"/>
      <c r="O25" s="4"/>
      <c r="P25" s="4"/>
      <c r="Q25" s="4"/>
      <c r="R25" s="91"/>
      <c r="S25" s="91"/>
      <c r="T25" s="91"/>
      <c r="U25" s="51"/>
      <c r="V25" s="4"/>
      <c r="W25" s="4"/>
      <c r="X25" s="4"/>
      <c r="Y25" s="4"/>
      <c r="Z25" s="4"/>
    </row>
    <row r="26" ht="13.5" customHeight="1">
      <c r="A26" s="93" t="s">
        <v>40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2"/>
      <c r="O26" s="4"/>
      <c r="P26" s="4"/>
      <c r="Q26" s="4"/>
      <c r="R26" s="91"/>
      <c r="S26" s="91"/>
      <c r="T26" s="91"/>
      <c r="U26" s="51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94"/>
      <c r="H27" s="4"/>
      <c r="I27" s="4"/>
      <c r="J27" s="4"/>
      <c r="K27" s="4"/>
      <c r="L27" s="4"/>
      <c r="M27" s="4"/>
      <c r="N27" s="95"/>
      <c r="O27" s="4"/>
      <c r="P27" s="4"/>
      <c r="Q27" s="4"/>
      <c r="R27" s="91"/>
      <c r="S27" s="91"/>
      <c r="T27" s="91"/>
      <c r="U27" s="51"/>
      <c r="V27" s="4"/>
      <c r="W27" s="4"/>
      <c r="X27" s="4"/>
      <c r="Y27" s="4"/>
      <c r="Z27" s="4"/>
    </row>
    <row r="28" ht="13.5" customHeight="1">
      <c r="A28" s="49"/>
      <c r="B28" s="51"/>
      <c r="C28" s="51"/>
      <c r="D28" s="51"/>
      <c r="E28" s="51"/>
      <c r="F28" s="51"/>
      <c r="G28" s="96" t="s">
        <v>41</v>
      </c>
      <c r="H28" s="14"/>
      <c r="I28" s="15"/>
      <c r="J28" s="4"/>
      <c r="K28" s="97" t="s">
        <v>42</v>
      </c>
      <c r="L28" s="18"/>
      <c r="M28" s="19"/>
      <c r="N28" s="51"/>
      <c r="O28" s="4"/>
      <c r="P28" s="4"/>
      <c r="Q28" s="4"/>
      <c r="R28" s="91"/>
      <c r="S28" s="91"/>
      <c r="T28" s="91"/>
      <c r="U28" s="51"/>
      <c r="V28" s="4"/>
      <c r="W28" s="4"/>
      <c r="X28" s="4"/>
      <c r="Y28" s="4"/>
      <c r="Z28" s="4"/>
    </row>
    <row r="29" ht="13.5" customHeight="1">
      <c r="A29" s="49"/>
      <c r="B29" s="96" t="s">
        <v>43</v>
      </c>
      <c r="C29" s="14"/>
      <c r="D29" s="15"/>
      <c r="E29" s="4"/>
      <c r="F29" s="4"/>
      <c r="G29" s="98" t="s">
        <v>44</v>
      </c>
      <c r="H29" s="81">
        <f>(MAX(I21,L21)-(E13/100*MIN(C37:D37)))*1.4</f>
        <v>1.57136</v>
      </c>
      <c r="I29" s="32"/>
      <c r="J29" s="4"/>
      <c r="K29" s="98" t="s">
        <v>45</v>
      </c>
      <c r="L29" s="99">
        <f>B10*B11^3/12</f>
        <v>45000</v>
      </c>
      <c r="M29" s="32"/>
      <c r="N29" s="51"/>
      <c r="O29" s="4"/>
      <c r="P29" s="4"/>
      <c r="Q29" s="4"/>
      <c r="R29" s="91"/>
      <c r="S29" s="91"/>
      <c r="T29" s="91"/>
      <c r="U29" s="51"/>
      <c r="V29" s="4"/>
      <c r="W29" s="4"/>
      <c r="X29" s="4"/>
      <c r="Y29" s="4"/>
      <c r="Z29" s="4"/>
    </row>
    <row r="30" ht="13.5" customHeight="1">
      <c r="A30" s="49"/>
      <c r="B30" s="98" t="s">
        <v>46</v>
      </c>
      <c r="C30" s="100">
        <f>(B12+MIN(B13*0.5,B11*0.3)+MIN(B14*0.5,B11*0.3))/100</f>
        <v>6.14</v>
      </c>
      <c r="D30" s="32"/>
      <c r="E30" s="4"/>
      <c r="F30" s="4"/>
      <c r="G30" s="98" t="s">
        <v>47</v>
      </c>
      <c r="H30" s="101">
        <f>0.27*C37*B10*C31</f>
        <v>21.63857143</v>
      </c>
      <c r="I30" s="32"/>
      <c r="J30" s="4"/>
      <c r="K30" s="98" t="s">
        <v>48</v>
      </c>
      <c r="L30" s="99">
        <f>(0.8+E10/80*0.2)*5600*E10^(1/2)/100</f>
        <v>241.5</v>
      </c>
      <c r="M30" s="32"/>
      <c r="N30" s="51"/>
      <c r="O30" s="4"/>
      <c r="P30" s="4"/>
      <c r="Q30" s="4"/>
      <c r="R30" s="91"/>
      <c r="S30" s="91"/>
      <c r="T30" s="91"/>
      <c r="U30" s="51"/>
      <c r="V30" s="4"/>
      <c r="W30" s="4"/>
      <c r="X30" s="4"/>
      <c r="Y30" s="4"/>
      <c r="Z30" s="4"/>
    </row>
    <row r="31" ht="13.5" customHeight="1">
      <c r="A31" s="49"/>
      <c r="B31" s="98" t="s">
        <v>49</v>
      </c>
      <c r="C31" s="100">
        <f>E10/1.4/100*0.85</f>
        <v>0.1517857143</v>
      </c>
      <c r="D31" s="32"/>
      <c r="E31" s="4"/>
      <c r="F31" s="4"/>
      <c r="G31" s="98" t="s">
        <v>50</v>
      </c>
      <c r="H31" s="81">
        <f>0.21*E10^(2/3)/1.4/100</f>
        <v>0.0128248196</v>
      </c>
      <c r="I31" s="32"/>
      <c r="J31" s="4"/>
      <c r="K31" s="98" t="s">
        <v>51</v>
      </c>
      <c r="L31" s="81">
        <f>(E13/100)*(C30*100)^4/L30/L29/VLOOKUP(A16,H11:M13,4,FALSE)</f>
        <v>0.6811497585</v>
      </c>
      <c r="M31" s="32"/>
      <c r="N31" s="51"/>
      <c r="O31" s="51"/>
      <c r="P31" s="51"/>
      <c r="Q31" s="91"/>
      <c r="R31" s="91"/>
      <c r="S31" s="91"/>
      <c r="T31" s="91"/>
      <c r="U31" s="51"/>
      <c r="V31" s="4"/>
      <c r="W31" s="4"/>
      <c r="X31" s="4"/>
      <c r="Y31" s="4"/>
      <c r="Z31" s="4"/>
    </row>
    <row r="32" ht="13.5" customHeight="1">
      <c r="A32" s="49"/>
      <c r="B32" s="102" t="s">
        <v>52</v>
      </c>
      <c r="C32" s="103">
        <f>E11/1.15/100</f>
        <v>4.347826087</v>
      </c>
      <c r="D32" s="44"/>
      <c r="E32" s="4"/>
      <c r="F32" s="4"/>
      <c r="G32" s="98" t="s">
        <v>53</v>
      </c>
      <c r="H32" s="101">
        <f>MIN(H31*0.6*C37*B10,H29-0.001)</f>
        <v>1.57036</v>
      </c>
      <c r="I32" s="32"/>
      <c r="J32" s="4"/>
      <c r="K32" s="98" t="s">
        <v>54</v>
      </c>
      <c r="L32" s="104">
        <v>2.0</v>
      </c>
      <c r="M32" s="32"/>
      <c r="N32" s="91"/>
      <c r="O32" s="51"/>
      <c r="P32" s="51"/>
      <c r="Q32" s="4"/>
      <c r="R32" s="4"/>
      <c r="S32" s="91"/>
      <c r="T32" s="105"/>
      <c r="U32" s="51"/>
      <c r="V32" s="4"/>
      <c r="W32" s="4"/>
      <c r="X32" s="4"/>
      <c r="Y32" s="4"/>
      <c r="Z32" s="4"/>
    </row>
    <row r="33" ht="13.5" customHeight="1">
      <c r="A33" s="49"/>
      <c r="B33" s="51"/>
      <c r="C33" s="51"/>
      <c r="D33" s="4"/>
      <c r="E33" s="4"/>
      <c r="F33" s="4"/>
      <c r="G33" s="98" t="s">
        <v>55</v>
      </c>
      <c r="H33" s="100">
        <f>H29-H32</f>
        <v>0.001</v>
      </c>
      <c r="I33" s="32"/>
      <c r="J33" s="4"/>
      <c r="K33" s="98" t="s">
        <v>56</v>
      </c>
      <c r="L33" s="81">
        <f>L31*(1+L32)</f>
        <v>2.043449276</v>
      </c>
      <c r="M33" s="32"/>
      <c r="N33" s="91"/>
      <c r="O33" s="51"/>
      <c r="P33" s="51"/>
      <c r="Q33" s="4"/>
      <c r="R33" s="4"/>
      <c r="S33" s="91"/>
      <c r="T33" s="91"/>
      <c r="U33" s="51"/>
      <c r="V33" s="4"/>
      <c r="W33" s="4"/>
      <c r="X33" s="4"/>
      <c r="Y33" s="4"/>
      <c r="Z33" s="4"/>
    </row>
    <row r="34" ht="13.5" customHeight="1">
      <c r="A34" s="49"/>
      <c r="B34" s="96" t="s">
        <v>57</v>
      </c>
      <c r="C34" s="14"/>
      <c r="D34" s="15"/>
      <c r="E34" s="4"/>
      <c r="F34" s="4"/>
      <c r="G34" s="98" t="s">
        <v>58</v>
      </c>
      <c r="H34" s="101">
        <f>MAX(H33/0.9/C37/C32*100/(COS(RADIANS(I16))+SIN(RADIANS(I16))),0.2*(H31*0.3/0.21*1.4)/(E11/100)*100*B10)</f>
        <v>2.051971136</v>
      </c>
      <c r="I34" s="32"/>
      <c r="J34" s="4"/>
      <c r="K34" s="98" t="s">
        <v>59</v>
      </c>
      <c r="L34" s="81">
        <f>C30*100/250</f>
        <v>2.456</v>
      </c>
      <c r="M34" s="32"/>
      <c r="N34" s="91"/>
      <c r="O34" s="51"/>
      <c r="P34" s="51"/>
      <c r="Q34" s="4"/>
      <c r="R34" s="4"/>
      <c r="S34" s="91"/>
      <c r="T34" s="91"/>
      <c r="U34" s="51"/>
      <c r="V34" s="4"/>
      <c r="W34" s="4"/>
      <c r="X34" s="4"/>
      <c r="Y34" s="4"/>
      <c r="Z34" s="4"/>
    </row>
    <row r="35" ht="15.0" customHeight="1">
      <c r="A35" s="4"/>
      <c r="B35" s="106"/>
      <c r="C35" s="107" t="s">
        <v>60</v>
      </c>
      <c r="D35" s="108" t="s">
        <v>61</v>
      </c>
      <c r="E35" s="4"/>
      <c r="F35" s="4"/>
      <c r="G35" s="98" t="s">
        <v>62</v>
      </c>
      <c r="H35" s="101">
        <f>(I17/10)^2*3.141592/4*2*L16</f>
        <v>0.785398</v>
      </c>
      <c r="I35" s="32"/>
      <c r="J35" s="4"/>
      <c r="K35" s="109" t="s">
        <v>63</v>
      </c>
      <c r="L35" s="110">
        <f>B12/L33</f>
        <v>293.6211861</v>
      </c>
      <c r="M35" s="44"/>
      <c r="N35" s="4"/>
      <c r="O35" s="91"/>
      <c r="P35" s="4"/>
      <c r="Q35" s="4"/>
      <c r="R35" s="4"/>
      <c r="S35" s="91"/>
      <c r="T35" s="91"/>
      <c r="U35" s="51"/>
      <c r="V35" s="4"/>
      <c r="W35" s="4"/>
      <c r="X35" s="4"/>
      <c r="Y35" s="4"/>
      <c r="Z35" s="4"/>
    </row>
    <row r="36" ht="15.0" customHeight="1">
      <c r="A36" s="4"/>
      <c r="B36" s="98" t="s">
        <v>64</v>
      </c>
      <c r="C36" s="111">
        <f>E13*C30^2/VLOOKUP(A16,H11:M13,2,FALSE)*100*1.4</f>
        <v>263.8972</v>
      </c>
      <c r="D36" s="112">
        <f>E13*C30^2/VLOOKUP(A16,H11:M13,3,FALSE)*1.4*100</f>
        <v>0.02111198712</v>
      </c>
      <c r="E36" s="4"/>
      <c r="F36" s="4"/>
      <c r="G36" s="113" t="s">
        <v>65</v>
      </c>
      <c r="H36" s="114">
        <f>(COS(RADIANS(I16))+SIN(RADIANS(I16)))</f>
        <v>1</v>
      </c>
      <c r="I36" s="44"/>
      <c r="J36" s="4"/>
      <c r="K36" s="4"/>
      <c r="L36" s="4"/>
      <c r="M36" s="4"/>
      <c r="N36" s="4"/>
      <c r="O36" s="91"/>
      <c r="P36" s="4"/>
      <c r="Q36" s="4"/>
      <c r="R36" s="4"/>
      <c r="S36" s="91"/>
      <c r="T36" s="91"/>
      <c r="U36" s="51"/>
      <c r="V36" s="4"/>
      <c r="W36" s="4"/>
      <c r="X36" s="4"/>
      <c r="Y36" s="4"/>
      <c r="Z36" s="4"/>
    </row>
    <row r="37" ht="15.0" customHeight="1">
      <c r="A37" s="4"/>
      <c r="B37" s="98" t="s">
        <v>66</v>
      </c>
      <c r="C37" s="115">
        <f>B11-E12-I17/10-I20/20</f>
        <v>26.4</v>
      </c>
      <c r="D37" s="116">
        <f>B11-E12-I17/10-I18/20</f>
        <v>26.685</v>
      </c>
      <c r="E37" s="4"/>
      <c r="F37" s="4"/>
      <c r="G37" s="4"/>
      <c r="H37" s="4"/>
      <c r="I37" s="4"/>
      <c r="J37" s="4"/>
      <c r="K37" s="117" t="s">
        <v>39</v>
      </c>
      <c r="L37" s="118">
        <f>(K18*D41+K20*C41+I19^2*3.141592/400*K19)/B10/B11</f>
        <v>0.006693947154</v>
      </c>
      <c r="M37" s="1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4"/>
      <c r="B38" s="98" t="s">
        <v>67</v>
      </c>
      <c r="C38" s="119">
        <f t="shared" ref="C38:D38" si="1">C36/C37^2/$B$10/$C$31</f>
        <v>0.1247285961</v>
      </c>
      <c r="D38" s="120">
        <f t="shared" si="1"/>
        <v>0.000009766384169</v>
      </c>
      <c r="E38" s="4"/>
      <c r="F38" s="4"/>
      <c r="G38" s="97" t="s">
        <v>68</v>
      </c>
      <c r="H38" s="18"/>
      <c r="I38" s="1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4"/>
      <c r="B39" s="98" t="s">
        <v>69</v>
      </c>
      <c r="C39" s="119">
        <f>1-(1-(2*C38))^0.5</f>
        <v>0.1336612627</v>
      </c>
      <c r="D39" s="120">
        <f>1-(1-2*D38)^0.5</f>
        <v>0.00000976643186</v>
      </c>
      <c r="E39" s="4"/>
      <c r="F39" s="4"/>
      <c r="G39" s="98" t="s">
        <v>70</v>
      </c>
      <c r="H39" s="101">
        <f>B10*B11*0.001*IF(B11&gt;60,"1","0")</f>
        <v>0</v>
      </c>
      <c r="I39" s="3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4"/>
      <c r="B40" s="98" t="s">
        <v>71</v>
      </c>
      <c r="C40" s="119">
        <f t="shared" ref="C40:D40" si="2">C39*C37*$B$10*$C$31/$C$32</f>
        <v>2.463758961</v>
      </c>
      <c r="D40" s="120">
        <f t="shared" si="2"/>
        <v>0.000181966676</v>
      </c>
      <c r="E40" s="4"/>
      <c r="F40" s="4"/>
      <c r="G40" s="98" t="s">
        <v>72</v>
      </c>
      <c r="H40" s="104">
        <f>ROUNDUP((B11-E12*2-I17/10*2-I18/10-I20/10)/20-1,0)</f>
        <v>1</v>
      </c>
      <c r="I40" s="3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4"/>
      <c r="B41" s="102" t="s">
        <v>73</v>
      </c>
      <c r="C41" s="121">
        <f>I20^2*3.141592/400</f>
        <v>1.13097312</v>
      </c>
      <c r="D41" s="122">
        <f>I18^2*3.141592/400</f>
        <v>0.3117244662</v>
      </c>
      <c r="E41" s="4"/>
      <c r="F41" s="4"/>
      <c r="G41" s="102" t="s">
        <v>74</v>
      </c>
      <c r="H41" s="123">
        <f>(H39/H40*4/3.141592)^0.5*10</f>
        <v>0</v>
      </c>
      <c r="I41" s="4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4"/>
      <c r="B42" s="4"/>
      <c r="C42" s="4"/>
      <c r="D42" s="4"/>
      <c r="E42" s="4"/>
      <c r="F42" s="4"/>
      <c r="G42" s="61"/>
      <c r="H42" s="6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4"/>
      <c r="B53" s="4"/>
      <c r="C53" s="4"/>
      <c r="D53" s="4"/>
      <c r="E53" s="61"/>
      <c r="F53" s="6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4"/>
      <c r="B54" s="4"/>
      <c r="C54" s="4"/>
      <c r="D54" s="4"/>
      <c r="E54" s="66"/>
      <c r="F54" s="12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4"/>
      <c r="B55" s="4"/>
      <c r="C55" s="4"/>
      <c r="D55" s="4"/>
      <c r="E55" s="49"/>
      <c r="F55" s="12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4"/>
      <c r="B56" s="4"/>
      <c r="C56" s="4"/>
      <c r="D56" s="4"/>
      <c r="E56" s="49"/>
      <c r="F56" s="12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4"/>
      <c r="B57" s="4"/>
      <c r="C57" s="4"/>
      <c r="D57" s="4"/>
      <c r="E57" s="51"/>
      <c r="F57" s="5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4"/>
      <c r="B58" s="4"/>
      <c r="C58" s="4"/>
      <c r="D58" s="4"/>
      <c r="E58" s="51"/>
      <c r="F58" s="5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4"/>
      <c r="B59" s="4"/>
      <c r="C59" s="4"/>
      <c r="D59" s="4"/>
      <c r="E59" s="51"/>
      <c r="F59" s="5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4"/>
      <c r="B60" s="4"/>
      <c r="C60" s="4"/>
      <c r="D60" s="4"/>
      <c r="E60" s="91"/>
      <c r="F60" s="9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4"/>
      <c r="B61" s="4"/>
      <c r="C61" s="4"/>
      <c r="D61" s="4"/>
      <c r="E61" s="91"/>
      <c r="F61" s="9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4"/>
      <c r="B62" s="4"/>
      <c r="C62" s="4"/>
      <c r="D62" s="4"/>
      <c r="E62" s="91"/>
      <c r="F62" s="9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4"/>
      <c r="B63" s="4"/>
      <c r="C63" s="4"/>
      <c r="D63" s="4"/>
      <c r="E63" s="91"/>
      <c r="F63" s="9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H36:I36"/>
    <mergeCell ref="G38:I38"/>
    <mergeCell ref="H39:I39"/>
    <mergeCell ref="H40:I40"/>
    <mergeCell ref="H41:I41"/>
    <mergeCell ref="H29:I29"/>
    <mergeCell ref="H30:I30"/>
    <mergeCell ref="H31:I31"/>
    <mergeCell ref="H32:I32"/>
    <mergeCell ref="H33:I33"/>
    <mergeCell ref="H34:I34"/>
    <mergeCell ref="H35:I35"/>
    <mergeCell ref="A1:N2"/>
    <mergeCell ref="A4:N5"/>
    <mergeCell ref="A7:F7"/>
    <mergeCell ref="H7:N7"/>
    <mergeCell ref="A9:F9"/>
    <mergeCell ref="B10:C10"/>
    <mergeCell ref="B11:C11"/>
    <mergeCell ref="E10:F10"/>
    <mergeCell ref="E11:F11"/>
    <mergeCell ref="B12:C12"/>
    <mergeCell ref="E12:F12"/>
    <mergeCell ref="B13:C13"/>
    <mergeCell ref="E13:F13"/>
    <mergeCell ref="H14:N14"/>
    <mergeCell ref="A18:C19"/>
    <mergeCell ref="B20:C20"/>
    <mergeCell ref="B21:C21"/>
    <mergeCell ref="B22:C22"/>
    <mergeCell ref="B23:C23"/>
    <mergeCell ref="B14:C14"/>
    <mergeCell ref="A15:C15"/>
    <mergeCell ref="A16:C16"/>
    <mergeCell ref="I16:J16"/>
    <mergeCell ref="L16:M16"/>
    <mergeCell ref="L17:M17"/>
    <mergeCell ref="L18:M19"/>
    <mergeCell ref="K28:M28"/>
    <mergeCell ref="L29:M29"/>
    <mergeCell ref="L31:M31"/>
    <mergeCell ref="L32:M32"/>
    <mergeCell ref="L33:M33"/>
    <mergeCell ref="L34:M34"/>
    <mergeCell ref="L35:M35"/>
    <mergeCell ref="L37:M37"/>
    <mergeCell ref="C30:D30"/>
    <mergeCell ref="C31:D31"/>
    <mergeCell ref="C32:D32"/>
    <mergeCell ref="B34:D34"/>
    <mergeCell ref="L20:M20"/>
    <mergeCell ref="I21:J21"/>
    <mergeCell ref="L21:M21"/>
    <mergeCell ref="A26:N26"/>
    <mergeCell ref="G28:I28"/>
    <mergeCell ref="B29:D29"/>
    <mergeCell ref="L30:M30"/>
  </mergeCells>
  <dataValidations>
    <dataValidation type="list" allowBlank="1" showErrorMessage="1" sqref="I17 I19:I20">
      <formula1>"5,6,3,8,10,12,5,16,20,25"</formula1>
    </dataValidation>
    <dataValidation type="list" allowBlank="1" showInputMessage="1" showErrorMessage="1" prompt=" - " sqref="A16">
      <formula1>$H$11:$H$12</formula1>
    </dataValidation>
    <dataValidation type="list" allowBlank="1" showErrorMessage="1" sqref="I18">
      <formula1>"5.0,6,3,8,10,12,5,16,20,25"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2024-03-21T20:21:18Z</dcterms:created>
  <dc:creator>Jonathan Simões</dc:creator>
</cp:coreProperties>
</file>