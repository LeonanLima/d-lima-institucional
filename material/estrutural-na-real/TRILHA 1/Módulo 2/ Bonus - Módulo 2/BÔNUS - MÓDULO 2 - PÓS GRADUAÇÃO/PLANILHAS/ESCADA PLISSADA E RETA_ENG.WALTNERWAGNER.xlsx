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B6968327-3D81-4ABB-8468-2630DE987362}" xr6:coauthVersionLast="47" xr6:coauthVersionMax="47" xr10:uidLastSave="{00000000-0000-0000-0000-000000000000}"/>
  <bookViews>
    <workbookView xWindow="20370" yWindow="-120" windowWidth="29040" windowHeight="15840" activeTab="2" xr2:uid="{00000000-000D-0000-FFFF-FFFF00000000}"/>
  </bookViews>
  <sheets>
    <sheet name="INÍCIO" sheetId="1" r:id="rId1"/>
    <sheet name="ESCADA RETA" sheetId="2" r:id="rId2"/>
    <sheet name="ESCADA PLISSADA" sheetId="3" r:id="rId3"/>
    <sheet name="DET. ESCADA PLISSADA" sheetId="4" r:id="rId4"/>
  </sheets>
  <definedNames>
    <definedName name="Fck">#REF!</definedName>
    <definedName name="fyk">#REF!</definedName>
  </definedNames>
  <calcPr calcId="191029"/>
  <extLst>
    <ext uri="GoogleSheetsCustomDataVersion1">
      <go:sheetsCustomData xmlns:go="http://customooxmlschemas.google.com/" r:id="rId8" roundtripDataSignature="AMtx7mg+juquJCVUUnD30FrdYbsqytfxsw=="/>
    </ext>
  </extLst>
</workbook>
</file>

<file path=xl/calcChain.xml><?xml version="1.0" encoding="utf-8"?>
<calcChain xmlns="http://schemas.openxmlformats.org/spreadsheetml/2006/main">
  <c r="N15" i="3" l="1"/>
  <c r="N16" i="3"/>
  <c r="J16" i="3"/>
  <c r="N26" i="3"/>
  <c r="J26" i="3"/>
  <c r="N24" i="3"/>
  <c r="J24" i="3"/>
  <c r="J23" i="3"/>
  <c r="F18" i="3"/>
  <c r="F19" i="3" s="1"/>
  <c r="F20" i="3" s="1"/>
  <c r="J17" i="3"/>
  <c r="F17" i="3"/>
  <c r="F16" i="3"/>
  <c r="J15" i="3"/>
  <c r="J11" i="3"/>
  <c r="J26" i="2"/>
  <c r="N24" i="2"/>
  <c r="J24" i="2"/>
  <c r="J23" i="2"/>
  <c r="F18" i="2"/>
  <c r="F19" i="2" s="1"/>
  <c r="F20" i="2" s="1"/>
  <c r="J17" i="2"/>
  <c r="F17" i="2"/>
  <c r="F16" i="2"/>
  <c r="J15" i="2"/>
  <c r="J11" i="2"/>
  <c r="N26" i="2" s="1"/>
  <c r="J25" i="2" l="1"/>
  <c r="J27" i="2" s="1"/>
  <c r="N23" i="2"/>
  <c r="J10" i="2"/>
  <c r="J12" i="2" s="1"/>
  <c r="J13" i="2" s="1"/>
  <c r="J14" i="2" s="1"/>
  <c r="J16" i="2" s="1"/>
  <c r="N16" i="2" s="1"/>
  <c r="N15" i="2" s="1"/>
  <c r="N23" i="3"/>
  <c r="J10" i="3"/>
  <c r="J12" i="3" s="1"/>
  <c r="J13" i="3" s="1"/>
  <c r="J14" i="3" s="1"/>
  <c r="J25" i="3"/>
  <c r="J27" i="3" s="1"/>
  <c r="N12" i="3" l="1"/>
  <c r="N12" i="2"/>
  <c r="N13" i="2" s="1"/>
  <c r="N13" i="3" l="1"/>
  <c r="N25" i="3"/>
  <c r="N27" i="3" s="1"/>
  <c r="N28" i="3" s="1"/>
  <c r="N25" i="2"/>
  <c r="N27" i="2" s="1"/>
  <c r="N28" i="2" s="1"/>
</calcChain>
</file>

<file path=xl/sharedStrings.xml><?xml version="1.0" encoding="utf-8"?>
<sst xmlns="http://schemas.openxmlformats.org/spreadsheetml/2006/main" count="114" uniqueCount="73">
  <si>
    <t xml:space="preserve">  Bem-vindo à Planilha de Cálculo de escadas do engenheiro Waltner Wagner. </t>
  </si>
  <si>
    <t xml:space="preserve">  Esse modelo de planilha permite dimensionar escadas BI-APOIADAS retas e plissadas em concreto armado, bem como, apresenta um exemplo de detalhamento.</t>
  </si>
  <si>
    <t>Navegue usando os botões do menu abaixo:</t>
  </si>
  <si>
    <t>DIMENSIONAMENTO ESCADA RETA EM CONCRETO ARMADO</t>
  </si>
  <si>
    <t>Preencha apenas as células com essa cor de fundo!</t>
  </si>
  <si>
    <r>
      <rPr>
        <b/>
        <sz val="11"/>
        <color theme="1"/>
        <rFont val="Calibri"/>
      </rPr>
      <t xml:space="preserve">!ATENÇÃO! </t>
    </r>
    <r>
      <rPr>
        <b/>
        <sz val="11"/>
        <color theme="1"/>
        <rFont val="Calibri"/>
      </rPr>
      <t xml:space="preserve">                                                PLANILHA APENAS PARA ESCADA BI-APOIADA</t>
    </r>
  </si>
  <si>
    <t>Dados iniciais:</t>
  </si>
  <si>
    <t>MOMENTO FLETOR</t>
  </si>
  <si>
    <t>Cálculo armadura de Flexão</t>
  </si>
  <si>
    <t xml:space="preserve"> Geometria escada</t>
  </si>
  <si>
    <t>Carregamento</t>
  </si>
  <si>
    <r>
      <rPr>
        <b/>
        <sz val="11"/>
        <color theme="1"/>
        <rFont val="Calibri"/>
      </rPr>
      <t>M</t>
    </r>
    <r>
      <rPr>
        <b/>
        <sz val="9"/>
        <color theme="1"/>
        <rFont val="Calibri"/>
      </rPr>
      <t>k(tf.m)</t>
    </r>
  </si>
  <si>
    <t>Armadura a ser utilizada:</t>
  </si>
  <si>
    <r>
      <rPr>
        <b/>
        <sz val="11"/>
        <color theme="1"/>
        <rFont val="Calibri"/>
      </rPr>
      <t>L</t>
    </r>
    <r>
      <rPr>
        <b/>
        <sz val="8"/>
        <color theme="1"/>
        <rFont val="Calibri"/>
      </rPr>
      <t>esc</t>
    </r>
    <r>
      <rPr>
        <b/>
        <sz val="11"/>
        <color theme="1"/>
        <rFont val="Calibri"/>
      </rPr>
      <t>(m)</t>
    </r>
  </si>
  <si>
    <t>Qsobrecarga(tf/m²)</t>
  </si>
  <si>
    <t>d(cm)</t>
  </si>
  <si>
    <r>
      <rPr>
        <b/>
        <sz val="11"/>
        <color theme="1"/>
        <rFont val="GreekS"/>
      </rPr>
      <t>Φ</t>
    </r>
    <r>
      <rPr>
        <b/>
        <sz val="11"/>
        <color theme="1"/>
        <rFont val="Calibri"/>
      </rPr>
      <t>Principal(mm)</t>
    </r>
  </si>
  <si>
    <r>
      <rPr>
        <b/>
        <sz val="11"/>
        <color theme="1"/>
        <rFont val="Calibri"/>
      </rPr>
      <t>H</t>
    </r>
    <r>
      <rPr>
        <b/>
        <sz val="8"/>
        <color theme="1"/>
        <rFont val="Calibri"/>
      </rPr>
      <t>esc</t>
    </r>
    <r>
      <rPr>
        <b/>
        <sz val="11"/>
        <color theme="1"/>
        <rFont val="Calibri"/>
      </rPr>
      <t>(m)</t>
    </r>
  </si>
  <si>
    <t>Gpermanente (tf/m²)</t>
  </si>
  <si>
    <t>μ</t>
  </si>
  <si>
    <t>Nº de Barras</t>
  </si>
  <si>
    <t>Espessura(cm)</t>
  </si>
  <si>
    <t>ε</t>
  </si>
  <si>
    <t>Espelho(cm)</t>
  </si>
  <si>
    <t>Asp(cm²)</t>
  </si>
  <si>
    <t>ΦSec(mm)</t>
  </si>
  <si>
    <t>Largura escada(m)</t>
  </si>
  <si>
    <t>Parâmetros de cálculo:</t>
  </si>
  <si>
    <t>As Φp(cm²)</t>
  </si>
  <si>
    <t>Qt. Barras</t>
  </si>
  <si>
    <r>
      <rPr>
        <b/>
        <sz val="11"/>
        <color theme="1"/>
        <rFont val="GreekC"/>
      </rPr>
      <t>σ</t>
    </r>
    <r>
      <rPr>
        <b/>
        <sz val="11"/>
        <color theme="1"/>
        <rFont val="Calibri"/>
      </rPr>
      <t>cd(tf/cm²)</t>
    </r>
  </si>
  <si>
    <t>As secund(cm²)</t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</si>
  <si>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yd(tf/cm²)</t>
    </r>
  </si>
  <si>
    <t>As Φsec(cm²)</t>
  </si>
  <si>
    <t xml:space="preserve">Resistência dos Materiais </t>
  </si>
  <si>
    <t>Esp. Real(cm)</t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</si>
  <si>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ck</t>
    </r>
    <r>
      <rPr>
        <b/>
        <sz val="11"/>
        <color theme="1"/>
        <rFont val="Calibri"/>
      </rPr>
      <t>(Mpa)</t>
    </r>
  </si>
  <si>
    <t>Peso Próprio(tf/cm²)</t>
  </si>
  <si>
    <t>VERIFICAÇÕES:</t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</si>
  <si>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yk</t>
    </r>
    <r>
      <rPr>
        <b/>
        <sz val="11"/>
        <color theme="1"/>
        <rFont val="Calibri"/>
      </rPr>
      <t>(Mpa)</t>
    </r>
  </si>
  <si>
    <t>Qtotal(tf/cm²)</t>
  </si>
  <si>
    <t>FLECHA</t>
  </si>
  <si>
    <t>ESFORÇO CORTANTE</t>
  </si>
  <si>
    <t>Outros parâmetros</t>
  </si>
  <si>
    <t>E(tf/cm²)</t>
  </si>
  <si>
    <r>
      <rPr>
        <b/>
        <sz val="11"/>
        <color theme="1"/>
        <rFont val="Calibri"/>
      </rPr>
      <t>V</t>
    </r>
    <r>
      <rPr>
        <u/>
        <sz val="11"/>
        <color theme="1"/>
        <rFont val="Calibri"/>
      </rPr>
      <t>s</t>
    </r>
    <r>
      <rPr>
        <b/>
        <sz val="9"/>
        <color theme="1"/>
        <rFont val="Calibri"/>
      </rPr>
      <t>d(tf)</t>
    </r>
  </si>
  <si>
    <t>Cobrimento(cm)</t>
  </si>
  <si>
    <t>I(cm^4)</t>
  </si>
  <si>
    <r>
      <rPr>
        <b/>
        <sz val="11"/>
        <color theme="1"/>
        <rFont val="GreekC"/>
      </rPr>
      <t>τ</t>
    </r>
    <r>
      <rPr>
        <b/>
        <sz val="11"/>
        <color theme="1"/>
        <rFont val="Calibri"/>
      </rPr>
      <t>rd(tf/cm²)</t>
    </r>
  </si>
  <si>
    <r>
      <rPr>
        <b/>
        <sz val="11"/>
        <color theme="1"/>
        <rFont val="GreekC"/>
      </rPr>
      <t>δ</t>
    </r>
    <r>
      <rPr>
        <b/>
        <sz val="11"/>
        <color theme="1"/>
        <rFont val="Calibri"/>
      </rPr>
      <t>(cm)</t>
    </r>
  </si>
  <si>
    <t>p</t>
  </si>
  <si>
    <r>
      <rPr>
        <b/>
        <sz val="11"/>
        <color theme="1"/>
        <rFont val="GreekC"/>
      </rPr>
      <t>δ</t>
    </r>
    <r>
      <rPr>
        <b/>
        <sz val="11"/>
        <color theme="1"/>
        <rFont val="Calibri"/>
      </rPr>
      <t>lim(cm)</t>
    </r>
  </si>
  <si>
    <t>k</t>
  </si>
  <si>
    <t>Aprovado?</t>
  </si>
  <si>
    <t>Vrd(tf)</t>
  </si>
  <si>
    <t>DIMENSIONAMENTO ESCADA PLISSADA EM CONCRETO ARMADO</t>
  </si>
  <si>
    <r>
      <rPr>
        <b/>
        <sz val="11"/>
        <color theme="1"/>
        <rFont val="Calibri"/>
      </rPr>
      <t xml:space="preserve">!ATENÇÃO! </t>
    </r>
    <r>
      <rPr>
        <b/>
        <sz val="11"/>
        <color theme="1"/>
        <rFont val="Calibri"/>
      </rPr>
      <t xml:space="preserve">                                                PLANILHA APENAS PARA ESCADA BI-APOIADA</t>
    </r>
  </si>
  <si>
    <r>
      <rPr>
        <b/>
        <sz val="11"/>
        <color theme="1"/>
        <rFont val="Calibri"/>
      </rPr>
      <t>M</t>
    </r>
    <r>
      <rPr>
        <b/>
        <sz val="9"/>
        <color theme="1"/>
        <rFont val="Calibri"/>
      </rPr>
      <t>k(tf.m)</t>
    </r>
  </si>
  <si>
    <r>
      <rPr>
        <b/>
        <sz val="11"/>
        <color theme="1"/>
        <rFont val="Calibri"/>
      </rPr>
      <t>L</t>
    </r>
    <r>
      <rPr>
        <b/>
        <sz val="8"/>
        <color theme="1"/>
        <rFont val="Calibri"/>
      </rPr>
      <t>esc</t>
    </r>
    <r>
      <rPr>
        <b/>
        <sz val="11"/>
        <color theme="1"/>
        <rFont val="Calibri"/>
      </rPr>
      <t>(m)</t>
    </r>
  </si>
  <si>
    <r>
      <rPr>
        <b/>
        <sz val="11"/>
        <color theme="1"/>
        <rFont val="GreekS"/>
      </rPr>
      <t>Φ</t>
    </r>
    <r>
      <rPr>
        <b/>
        <sz val="11"/>
        <color theme="1"/>
        <rFont val="Calibri"/>
      </rPr>
      <t>Principal(mm)</t>
    </r>
  </si>
  <si>
    <r>
      <rPr>
        <b/>
        <sz val="11"/>
        <color theme="1"/>
        <rFont val="Calibri"/>
      </rPr>
      <t>H</t>
    </r>
    <r>
      <rPr>
        <b/>
        <sz val="8"/>
        <color theme="1"/>
        <rFont val="Calibri"/>
      </rPr>
      <t>esc</t>
    </r>
    <r>
      <rPr>
        <b/>
        <sz val="11"/>
        <color theme="1"/>
        <rFont val="Calibri"/>
      </rPr>
      <t>(m)</t>
    </r>
  </si>
  <si>
    <r>
      <rPr>
        <b/>
        <sz val="11"/>
        <color theme="1"/>
        <rFont val="GreekC"/>
      </rPr>
      <t>σ</t>
    </r>
    <r>
      <rPr>
        <b/>
        <sz val="11"/>
        <color theme="1"/>
        <rFont val="Calibri"/>
      </rPr>
      <t>cd(tf/cm²)</t>
    </r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</si>
  <si>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yd(tf/cm²)</t>
    </r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</si>
  <si>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ck</t>
    </r>
    <r>
      <rPr>
        <b/>
        <sz val="11"/>
        <color theme="1"/>
        <rFont val="Calibri"/>
      </rPr>
      <t>(Mpa)</t>
    </r>
  </si>
  <si>
    <r>
      <rPr>
        <b/>
        <sz val="11"/>
        <color theme="1"/>
        <rFont val="Calibri"/>
      </rPr>
      <t>F</t>
    </r>
    <r>
      <rPr>
        <b/>
        <sz val="9"/>
        <color theme="1"/>
        <rFont val="Calibri"/>
      </rPr>
      <t>yk</t>
    </r>
    <r>
      <rPr>
        <b/>
        <sz val="11"/>
        <color theme="1"/>
        <rFont val="Calibri"/>
      </rPr>
      <t>(Mpa)</t>
    </r>
  </si>
  <si>
    <t>Qtotal(tf/m²)</t>
  </si>
  <si>
    <r>
      <rPr>
        <b/>
        <sz val="11"/>
        <color theme="1"/>
        <rFont val="Calibri"/>
      </rPr>
      <t>V</t>
    </r>
    <r>
      <rPr>
        <u/>
        <sz val="11"/>
        <color theme="1"/>
        <rFont val="Calibri"/>
      </rPr>
      <t>s</t>
    </r>
    <r>
      <rPr>
        <b/>
        <sz val="9"/>
        <color theme="1"/>
        <rFont val="Calibri"/>
      </rPr>
      <t>d(tf)</t>
    </r>
  </si>
  <si>
    <r>
      <rPr>
        <b/>
        <sz val="11"/>
        <color theme="1"/>
        <rFont val="GreekC"/>
      </rPr>
      <t>τ</t>
    </r>
    <r>
      <rPr>
        <b/>
        <sz val="11"/>
        <color theme="1"/>
        <rFont val="Calibri"/>
      </rPr>
      <t>rd(tf/cm²)</t>
    </r>
  </si>
  <si>
    <r>
      <rPr>
        <b/>
        <sz val="11"/>
        <color theme="1"/>
        <rFont val="GreekC"/>
      </rPr>
      <t>δ</t>
    </r>
    <r>
      <rPr>
        <b/>
        <sz val="11"/>
        <color theme="1"/>
        <rFont val="Calibri"/>
      </rPr>
      <t>(cm)</t>
    </r>
  </si>
  <si>
    <r>
      <rPr>
        <b/>
        <sz val="11"/>
        <color theme="1"/>
        <rFont val="GreekC"/>
      </rPr>
      <t>δ</t>
    </r>
    <r>
      <rPr>
        <b/>
        <sz val="11"/>
        <color theme="1"/>
        <rFont val="Calibri"/>
      </rPr>
      <t>lim(cm)</t>
    </r>
  </si>
  <si>
    <t>NOTA: PERCEBA QUE EU ARREDONDEI PARA BAIXO OS ESPAÇAMENTOS PARA FICAR MAIS SIMPLES A EXECUÇÃO!</t>
  </si>
  <si>
    <t>Espaç. secundário (cm)</t>
  </si>
  <si>
    <t>Espaç. Principal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</si>
</sst>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0.000"/>
    <numFmt numFmtId="166" formatCode="0.0000"/>
    <numFmt numFmtId="167" formatCode="0.0"/>
  </numFmts>
  <fonts count="22">
    <font>
      <sz val="11"/>
      <color theme="1"/>
      <name val="Calibri"/>
      <scheme val="minor"/>
    </font>
    <font>
      <b/>
      <sz val="18"/>
      <color theme="0"/>
      <name val="Calibri"/>
    </font>
    <font>
      <sz val="11"/>
      <name val="Calibri"/>
    </font>
    <font>
      <b/>
      <sz val="18"/>
      <color rgb="FFFFFF00"/>
      <name val="Calibri"/>
    </font>
    <font>
      <sz val="11"/>
      <color rgb="FF17365D"/>
      <name val="Calibri"/>
    </font>
    <font>
      <sz val="10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5F497A"/>
      <name val="Calibri"/>
      <scheme val="minor"/>
    </font>
    <font>
      <b/>
      <sz val="11"/>
      <color rgb="FFFF0000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b/>
      <sz val="11"/>
      <color theme="1"/>
      <name val="GreekS"/>
    </font>
    <font>
      <b/>
      <sz val="11"/>
      <color theme="1"/>
      <name val="GreekC"/>
    </font>
    <font>
      <u/>
      <sz val="11"/>
      <color theme="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776D"/>
        <bgColor rgb="FFFF776D"/>
      </patternFill>
    </fill>
    <fill>
      <patternFill patternType="solid">
        <fgColor rgb="FF0C0C0C"/>
        <bgColor rgb="FF0C0C0C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0" fillId="3" borderId="7" xfId="0" applyFill="1" applyBorder="1"/>
    <xf numFmtId="0" fontId="4" fillId="3" borderId="7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applyFont="1" applyFill="1" applyBorder="1"/>
    <xf numFmtId="0" fontId="5" fillId="3" borderId="7" xfId="0" applyFont="1" applyFill="1" applyBorder="1"/>
    <xf numFmtId="0" fontId="6" fillId="3" borderId="7" xfId="0" applyFont="1" applyFill="1" applyBorder="1"/>
    <xf numFmtId="0" fontId="8" fillId="3" borderId="7" xfId="0" applyFont="1" applyFill="1" applyBorder="1"/>
    <xf numFmtId="0" fontId="9" fillId="3" borderId="7" xfId="0" applyFont="1" applyFill="1" applyBorder="1"/>
    <xf numFmtId="0" fontId="3" fillId="3" borderId="7" xfId="0" applyFont="1" applyFill="1" applyBorder="1" applyAlignment="1">
      <alignment vertical="center"/>
    </xf>
    <xf numFmtId="49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11" fillId="0" borderId="0" xfId="0" applyNumberFormat="1" applyFont="1" applyAlignment="1">
      <alignment horizontal="center" vertical="center" wrapText="1"/>
    </xf>
    <xf numFmtId="164" fontId="11" fillId="0" borderId="24" xfId="0" applyNumberFormat="1" applyFont="1" applyBorder="1" applyAlignment="1">
      <alignment horizontal="center" vertical="center" wrapText="1"/>
    </xf>
    <xf numFmtId="165" fontId="0" fillId="0" borderId="25" xfId="0" applyNumberFormat="1" applyBorder="1" applyAlignment="1">
      <alignment horizontal="center" vertical="center" wrapText="1"/>
    </xf>
    <xf numFmtId="164" fontId="11" fillId="0" borderId="26" xfId="0" applyNumberFormat="1" applyFont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/>
    </xf>
    <xf numFmtId="164" fontId="11" fillId="0" borderId="28" xfId="0" applyNumberFormat="1" applyFont="1" applyBorder="1" applyAlignment="1">
      <alignment horizontal="center" vertical="center" wrapText="1"/>
    </xf>
    <xf numFmtId="2" fontId="0" fillId="3" borderId="29" xfId="0" applyNumberForma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25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4" fontId="11" fillId="0" borderId="31" xfId="0" applyNumberFormat="1" applyFont="1" applyBorder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166" fontId="0" fillId="0" borderId="25" xfId="0" applyNumberFormat="1" applyBorder="1" applyAlignment="1">
      <alignment horizontal="center"/>
    </xf>
    <xf numFmtId="9" fontId="0" fillId="0" borderId="25" xfId="0" applyNumberFormat="1" applyBorder="1" applyAlignment="1">
      <alignment horizontal="center" vertical="center" wrapText="1"/>
    </xf>
    <xf numFmtId="164" fontId="11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3" xfId="0" applyNumberForma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0" fillId="0" borderId="0" xfId="0"/>
    <xf numFmtId="0" fontId="2" fillId="0" borderId="12" xfId="0" applyFont="1" applyBorder="1"/>
    <xf numFmtId="0" fontId="5" fillId="3" borderId="8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10" fillId="4" borderId="13" xfId="0" applyFont="1" applyFill="1" applyBorder="1" applyAlignment="1">
      <alignment horizontal="center" vertical="center"/>
    </xf>
    <xf numFmtId="0" fontId="2" fillId="0" borderId="14" xfId="0" applyFont="1" applyBorder="1"/>
    <xf numFmtId="49" fontId="11" fillId="3" borderId="15" xfId="0" applyNumberFormat="1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49" fontId="13" fillId="2" borderId="8" xfId="0" applyNumberFormat="1" applyFont="1" applyFill="1" applyBorder="1" applyAlignment="1">
      <alignment horizontal="center" vertical="center" wrapText="1"/>
    </xf>
    <xf numFmtId="49" fontId="13" fillId="4" borderId="8" xfId="0" applyNumberFormat="1" applyFont="1" applyFill="1" applyBorder="1" applyAlignment="1">
      <alignment horizontal="center" vertical="center" wrapText="1"/>
    </xf>
    <xf numFmtId="164" fontId="11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164" fontId="11" fillId="0" borderId="28" xfId="0" applyNumberFormat="1" applyFont="1" applyBorder="1" applyAlignment="1">
      <alignment horizontal="center" vertical="center" wrapText="1"/>
    </xf>
    <xf numFmtId="0" fontId="2" fillId="0" borderId="30" xfId="0" applyFont="1" applyBorder="1"/>
    <xf numFmtId="49" fontId="11" fillId="0" borderId="21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2" fillId="0" borderId="35" xfId="0" applyFont="1" applyBorder="1"/>
    <xf numFmtId="0" fontId="11" fillId="0" borderId="36" xfId="0" applyFont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11" fillId="0" borderId="39" xfId="0" applyNumberFormat="1" applyFont="1" applyBorder="1" applyAlignment="1">
      <alignment horizontal="center" vertical="center" wrapText="1"/>
    </xf>
    <xf numFmtId="2" fontId="0" fillId="3" borderId="40" xfId="0" applyNumberForma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164" fontId="11" fillId="0" borderId="39" xfId="0" applyNumberFormat="1" applyFont="1" applyBorder="1" applyAlignment="1">
      <alignment horizontal="center" vertical="center"/>
    </xf>
    <xf numFmtId="164" fontId="11" fillId="0" borderId="41" xfId="0" applyNumberFormat="1" applyFont="1" applyBorder="1" applyAlignment="1">
      <alignment horizontal="center" vertical="center" wrapText="1"/>
    </xf>
    <xf numFmtId="0" fontId="2" fillId="0" borderId="42" xfId="0" applyFont="1" applyBorder="1"/>
    <xf numFmtId="0" fontId="0" fillId="0" borderId="43" xfId="0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167" fontId="0" fillId="3" borderId="4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ET.%20ESCADA%20PLISSADA'!A1"/><Relationship Id="rId2" Type="http://schemas.openxmlformats.org/officeDocument/2006/relationships/hyperlink" Target="#'ESCADA%20PLISSADA'!A1"/><Relationship Id="rId1" Type="http://schemas.openxmlformats.org/officeDocument/2006/relationships/hyperlink" Target="#'ESCADA%20RETA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9</xdr:row>
      <xdr:rowOff>114300</xdr:rowOff>
    </xdr:from>
    <xdr:ext cx="1590675" cy="523875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64950" y="3527588"/>
          <a:ext cx="1562100" cy="50482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Dimensionamento </a:t>
          </a: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ESCADA RETA</a:t>
          </a:r>
          <a:endParaRPr sz="1400"/>
        </a:p>
      </xdr:txBody>
    </xdr:sp>
    <xdr:clientData fLocksWithSheet="0"/>
  </xdr:oneCellAnchor>
  <xdr:oneCellAnchor>
    <xdr:from>
      <xdr:col>3</xdr:col>
      <xdr:colOff>123825</xdr:colOff>
      <xdr:row>9</xdr:row>
      <xdr:rowOff>123825</xdr:rowOff>
    </xdr:from>
    <xdr:ext cx="2162175" cy="52387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79200" y="3532350"/>
          <a:ext cx="2133600" cy="49530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Dimensionamento </a:t>
          </a: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ESCADA PLISSADA</a:t>
          </a:r>
          <a:endParaRPr sz="1400"/>
        </a:p>
      </xdr:txBody>
    </xdr:sp>
    <xdr:clientData fLocksWithSheet="0"/>
  </xdr:oneCellAnchor>
  <xdr:oneCellAnchor>
    <xdr:from>
      <xdr:col>7</xdr:col>
      <xdr:colOff>95250</xdr:colOff>
      <xdr:row>9</xdr:row>
      <xdr:rowOff>123825</xdr:rowOff>
    </xdr:from>
    <xdr:ext cx="1343025" cy="523875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88775" y="3527588"/>
          <a:ext cx="1314450" cy="50482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Ex. Detalhamento </a:t>
          </a: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ESCADA PLISSADA</a:t>
          </a:r>
          <a:endParaRPr sz="10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76200</xdr:rowOff>
    </xdr:from>
    <xdr:ext cx="5238750" cy="58959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31</xdr:row>
      <xdr:rowOff>76200</xdr:rowOff>
    </xdr:from>
    <xdr:ext cx="10334625" cy="57531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85725</xdr:rowOff>
    </xdr:from>
    <xdr:ext cx="6867525" cy="60293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0</xdr:row>
      <xdr:rowOff>0</xdr:rowOff>
    </xdr:from>
    <xdr:ext cx="4648200" cy="64198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workbookViewId="0"/>
  </sheetViews>
  <sheetFormatPr defaultColWidth="14.42578125" defaultRowHeight="15" customHeight="1"/>
  <cols>
    <col min="1" max="1" width="7" customWidth="1"/>
    <col min="2" max="2" width="14.42578125" customWidth="1"/>
    <col min="3" max="3" width="8.7109375" customWidth="1"/>
    <col min="4" max="4" width="8.5703125" customWidth="1"/>
    <col min="5" max="5" width="8.7109375" customWidth="1"/>
    <col min="6" max="6" width="14" customWidth="1"/>
    <col min="7" max="7" width="10.7109375" customWidth="1"/>
    <col min="8" max="8" width="8.7109375" customWidth="1"/>
    <col min="9" max="9" width="9.85546875" customWidth="1"/>
    <col min="10" max="26" width="8.7109375" customWidth="1"/>
  </cols>
  <sheetData>
    <row r="1" spans="1:20" ht="15" customHeigh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  <c r="S1" s="1"/>
      <c r="T1" s="1"/>
    </row>
    <row r="2" spans="1:20" ht="1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 s="1"/>
      <c r="T2" s="1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0">
      <c r="A4" s="2"/>
      <c r="B4" s="51" t="s">
        <v>0</v>
      </c>
      <c r="C4" s="52"/>
      <c r="D4" s="52"/>
      <c r="E4" s="52"/>
      <c r="F4" s="52"/>
      <c r="G4" s="52"/>
      <c r="H4" s="52"/>
      <c r="I4" s="53"/>
      <c r="J4" s="3"/>
      <c r="K4" s="3"/>
      <c r="L4" s="2"/>
      <c r="M4" s="2"/>
      <c r="N4" s="2"/>
      <c r="O4" s="2"/>
      <c r="P4" s="2"/>
      <c r="Q4" s="2"/>
      <c r="R4" s="2"/>
    </row>
    <row r="5" spans="1:20" ht="18" customHeight="1">
      <c r="A5" s="2"/>
      <c r="B5" s="54" t="s">
        <v>1</v>
      </c>
      <c r="C5" s="46"/>
      <c r="D5" s="46"/>
      <c r="E5" s="46"/>
      <c r="F5" s="46"/>
      <c r="G5" s="46"/>
      <c r="H5" s="46"/>
      <c r="I5" s="47"/>
      <c r="J5" s="4"/>
      <c r="K5" s="4"/>
      <c r="L5" s="5"/>
      <c r="M5" s="5"/>
      <c r="N5" s="5"/>
      <c r="O5" s="6"/>
      <c r="P5" s="2"/>
      <c r="Q5" s="2"/>
      <c r="R5" s="2"/>
    </row>
    <row r="6" spans="1:20">
      <c r="A6" s="2"/>
      <c r="B6" s="55"/>
      <c r="C6" s="56"/>
      <c r="D6" s="56"/>
      <c r="E6" s="56"/>
      <c r="F6" s="56"/>
      <c r="G6" s="56"/>
      <c r="H6" s="56"/>
      <c r="I6" s="57"/>
      <c r="J6" s="4"/>
      <c r="K6" s="4"/>
      <c r="L6" s="5"/>
      <c r="M6" s="5"/>
      <c r="N6" s="5"/>
      <c r="O6" s="2"/>
      <c r="P6" s="2"/>
      <c r="Q6" s="2"/>
      <c r="R6" s="2"/>
    </row>
    <row r="7" spans="1:20" ht="15" customHeight="1">
      <c r="A7" s="2"/>
      <c r="B7" s="48"/>
      <c r="C7" s="49"/>
      <c r="D7" s="49"/>
      <c r="E7" s="49"/>
      <c r="F7" s="49"/>
      <c r="G7" s="49"/>
      <c r="H7" s="49"/>
      <c r="I7" s="50"/>
      <c r="J7" s="4"/>
      <c r="K7" s="4"/>
      <c r="L7" s="5"/>
      <c r="M7" s="5"/>
      <c r="N7" s="5"/>
      <c r="O7" s="2"/>
      <c r="P7" s="2"/>
      <c r="Q7" s="2"/>
      <c r="R7" s="2"/>
    </row>
    <row r="8" spans="1:20" ht="15" customHeight="1">
      <c r="A8" s="2"/>
      <c r="B8" s="58" t="s">
        <v>2</v>
      </c>
      <c r="C8" s="52"/>
      <c r="D8" s="52"/>
      <c r="E8" s="52"/>
      <c r="F8" s="52"/>
      <c r="G8" s="52"/>
      <c r="H8" s="52"/>
      <c r="I8" s="53"/>
      <c r="J8" s="7"/>
      <c r="K8" s="7"/>
      <c r="L8" s="7"/>
      <c r="M8" s="5"/>
      <c r="N8" s="5"/>
      <c r="O8" s="2"/>
      <c r="P8" s="2"/>
      <c r="Q8" s="2"/>
      <c r="R8" s="2"/>
    </row>
    <row r="9" spans="1:20">
      <c r="A9" s="2"/>
      <c r="B9" s="2"/>
      <c r="C9" s="8"/>
      <c r="D9" s="8"/>
      <c r="E9" s="8"/>
      <c r="F9" s="8"/>
      <c r="G9" s="8"/>
      <c r="H9" s="8"/>
      <c r="I9" s="8"/>
      <c r="J9" s="8"/>
      <c r="K9" s="8"/>
      <c r="L9" s="8"/>
      <c r="M9" s="2"/>
      <c r="N9" s="2"/>
      <c r="O9" s="2"/>
      <c r="P9" s="2"/>
      <c r="Q9" s="2"/>
      <c r="R9" s="2"/>
    </row>
    <row r="10" spans="1:20" ht="15.75">
      <c r="A10" s="2"/>
      <c r="B10" s="9"/>
      <c r="C10" s="2"/>
      <c r="D10" s="2"/>
      <c r="E10" s="2"/>
      <c r="F10" s="2"/>
      <c r="G10" s="2"/>
      <c r="H10" s="2"/>
      <c r="I10" s="2"/>
      <c r="J10" s="10"/>
      <c r="K10" s="10"/>
      <c r="L10" s="8"/>
      <c r="M10" s="2"/>
      <c r="N10" s="2"/>
      <c r="O10" s="2"/>
      <c r="P10" s="2"/>
      <c r="Q10" s="2"/>
      <c r="R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20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"/>
      <c r="T18" s="1"/>
    </row>
    <row r="19" spans="1:20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"/>
      <c r="T19" s="1"/>
    </row>
    <row r="20" spans="1:20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"/>
      <c r="T20" s="1"/>
    </row>
    <row r="21" spans="1:20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R2"/>
    <mergeCell ref="B4:I4"/>
    <mergeCell ref="B5:I7"/>
    <mergeCell ref="B8:I8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showGridLines="0" workbookViewId="0">
      <selection activeCell="C25" sqref="C25"/>
    </sheetView>
  </sheetViews>
  <sheetFormatPr defaultColWidth="14.42578125" defaultRowHeight="15" customHeight="1"/>
  <cols>
    <col min="1" max="4" width="8.7109375" customWidth="1"/>
    <col min="5" max="5" width="21.42578125" customWidth="1"/>
    <col min="6" max="8" width="8.7109375" customWidth="1"/>
    <col min="9" max="9" width="16.28515625" customWidth="1"/>
    <col min="10" max="10" width="9.140625" customWidth="1"/>
    <col min="11" max="12" width="8.7109375" customWidth="1"/>
    <col min="13" max="13" width="12.140625" customWidth="1"/>
    <col min="14" max="26" width="8.7109375" customWidth="1"/>
  </cols>
  <sheetData>
    <row r="1" spans="1:15" ht="15" customHeight="1">
      <c r="A1" s="62" t="s">
        <v>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5" ht="15" customHeight="1">
      <c r="A2" s="63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4" spans="1:15">
      <c r="B4" s="64" t="s">
        <v>4</v>
      </c>
      <c r="C4" s="65"/>
      <c r="D4" s="65"/>
      <c r="E4" s="66"/>
      <c r="F4" s="64" t="s">
        <v>5</v>
      </c>
      <c r="G4" s="65"/>
      <c r="H4" s="65"/>
      <c r="I4" s="66"/>
    </row>
    <row r="5" spans="1:15">
      <c r="B5" s="67"/>
      <c r="C5" s="68"/>
      <c r="D5" s="68"/>
      <c r="E5" s="69"/>
      <c r="F5" s="67"/>
      <c r="G5" s="68"/>
      <c r="H5" s="68"/>
      <c r="I5" s="69"/>
    </row>
    <row r="6" spans="1:15">
      <c r="A6" s="12"/>
      <c r="B6" s="12"/>
      <c r="C6" s="12"/>
      <c r="D6" s="12"/>
    </row>
    <row r="7" spans="1:15" ht="15" customHeight="1">
      <c r="A7" s="70" t="s">
        <v>6</v>
      </c>
      <c r="B7" s="52"/>
      <c r="C7" s="52"/>
      <c r="D7" s="52"/>
      <c r="E7" s="52"/>
      <c r="F7" s="52"/>
      <c r="G7" s="53"/>
      <c r="H7" s="13"/>
      <c r="I7" s="71" t="s">
        <v>7</v>
      </c>
      <c r="J7" s="52"/>
      <c r="K7" s="52"/>
      <c r="L7" s="52"/>
      <c r="M7" s="52"/>
      <c r="N7" s="52"/>
      <c r="O7" s="53"/>
    </row>
    <row r="8" spans="1:15">
      <c r="A8" s="14"/>
      <c r="B8" s="14"/>
      <c r="C8" s="12"/>
      <c r="D8" s="12"/>
      <c r="E8" s="13"/>
      <c r="F8" s="13"/>
      <c r="G8" s="13"/>
      <c r="H8" s="13"/>
      <c r="K8" s="13"/>
      <c r="L8" s="13"/>
      <c r="M8" s="13"/>
      <c r="N8" s="13"/>
      <c r="O8" s="13"/>
    </row>
    <row r="9" spans="1:15" ht="15.75" thickBot="1">
      <c r="A9" s="13"/>
      <c r="B9" s="13"/>
      <c r="C9" s="12"/>
      <c r="D9" s="12"/>
      <c r="E9" s="13"/>
      <c r="F9" s="13"/>
      <c r="G9" s="12"/>
      <c r="H9" s="13"/>
      <c r="I9" s="59" t="s">
        <v>8</v>
      </c>
      <c r="J9" s="60"/>
      <c r="K9" s="13"/>
      <c r="L9" s="13"/>
      <c r="M9" s="13"/>
      <c r="N9" s="13"/>
      <c r="O9" s="13"/>
    </row>
    <row r="10" spans="1:15">
      <c r="A10" s="59" t="s">
        <v>9</v>
      </c>
      <c r="B10" s="61"/>
      <c r="C10" s="60"/>
      <c r="D10" s="13"/>
      <c r="E10" s="59" t="s">
        <v>10</v>
      </c>
      <c r="F10" s="60"/>
      <c r="G10" s="13"/>
      <c r="H10" s="13"/>
      <c r="I10" s="15" t="s">
        <v>11</v>
      </c>
      <c r="J10" s="16">
        <f>F20*C11^2/8</f>
        <v>1.1223101908715556</v>
      </c>
      <c r="K10" s="13"/>
      <c r="L10" s="79" t="s">
        <v>12</v>
      </c>
      <c r="M10" s="80"/>
      <c r="N10" s="81"/>
      <c r="O10" s="13"/>
    </row>
    <row r="11" spans="1:15" ht="15" customHeight="1">
      <c r="A11" s="72" t="s">
        <v>13</v>
      </c>
      <c r="B11" s="73"/>
      <c r="C11" s="18">
        <v>3.15</v>
      </c>
      <c r="D11" s="13"/>
      <c r="E11" s="15" t="s">
        <v>14</v>
      </c>
      <c r="F11" s="19">
        <v>0.25</v>
      </c>
      <c r="G11" s="13"/>
      <c r="H11" s="13"/>
      <c r="I11" s="15" t="s">
        <v>15</v>
      </c>
      <c r="J11" s="16">
        <f>C13-C24-N11/10/2</f>
        <v>9.6</v>
      </c>
      <c r="K11" s="13"/>
      <c r="L11" s="82" t="s">
        <v>16</v>
      </c>
      <c r="M11" s="78"/>
      <c r="N11" s="91">
        <v>8</v>
      </c>
    </row>
    <row r="12" spans="1:15" ht="15" customHeight="1" thickBot="1">
      <c r="A12" s="72" t="s">
        <v>17</v>
      </c>
      <c r="B12" s="73"/>
      <c r="C12" s="20">
        <v>1.44</v>
      </c>
      <c r="D12" s="13"/>
      <c r="E12" s="21" t="s">
        <v>18</v>
      </c>
      <c r="F12" s="22">
        <v>0.1</v>
      </c>
      <c r="G12" s="13"/>
      <c r="H12" s="13"/>
      <c r="I12" s="15" t="s">
        <v>19</v>
      </c>
      <c r="J12" s="16">
        <f>J10*1.4/J11^2/F16</f>
        <v>0.1404033888702671</v>
      </c>
      <c r="K12" s="13"/>
      <c r="L12" s="82" t="s">
        <v>20</v>
      </c>
      <c r="M12" s="78"/>
      <c r="N12" s="84">
        <f>ROUNDUP(J14/J15,0)</f>
        <v>8</v>
      </c>
    </row>
    <row r="13" spans="1:15" ht="15" customHeight="1">
      <c r="A13" s="72" t="s">
        <v>21</v>
      </c>
      <c r="B13" s="73"/>
      <c r="C13" s="20">
        <v>12</v>
      </c>
      <c r="D13" s="13"/>
      <c r="E13" s="13"/>
      <c r="F13" s="13"/>
      <c r="G13" s="13"/>
      <c r="H13" s="13"/>
      <c r="I13" s="15" t="s">
        <v>22</v>
      </c>
      <c r="J13" s="16">
        <f>1-(1-2*J12)^0.5</f>
        <v>0.15194739416739844</v>
      </c>
      <c r="K13" s="13"/>
      <c r="L13" s="82" t="s">
        <v>72</v>
      </c>
      <c r="M13" s="78"/>
      <c r="N13" s="84">
        <f>ROUNDDOWN(C15*100/N12,0)</f>
        <v>11</v>
      </c>
    </row>
    <row r="14" spans="1:15" ht="15" customHeight="1" thickBot="1">
      <c r="A14" s="72" t="s">
        <v>23</v>
      </c>
      <c r="B14" s="73"/>
      <c r="C14" s="20">
        <v>18</v>
      </c>
      <c r="D14" s="13"/>
      <c r="E14" s="13"/>
      <c r="F14" s="24"/>
      <c r="G14" s="24"/>
      <c r="H14" s="13"/>
      <c r="I14" s="15" t="s">
        <v>24</v>
      </c>
      <c r="J14" s="16">
        <f>MAX(J13*J11*C15*100*F16/F17,C13*C15*100*0.0015)</f>
        <v>3.6665340348005158</v>
      </c>
      <c r="K14" s="13"/>
      <c r="L14" s="85" t="s">
        <v>25</v>
      </c>
      <c r="M14" s="78"/>
      <c r="N14" s="83">
        <v>8</v>
      </c>
    </row>
    <row r="15" spans="1:15" ht="15" customHeight="1" thickBot="1">
      <c r="A15" s="74" t="s">
        <v>26</v>
      </c>
      <c r="B15" s="75"/>
      <c r="C15" s="25">
        <v>0.9</v>
      </c>
      <c r="D15" s="13"/>
      <c r="E15" s="59" t="s">
        <v>27</v>
      </c>
      <c r="F15" s="60"/>
      <c r="G15" s="13"/>
      <c r="H15" s="13"/>
      <c r="I15" s="15" t="s">
        <v>28</v>
      </c>
      <c r="J15" s="16">
        <f>N11^2*PI()/4/100</f>
        <v>0.50265482457436694</v>
      </c>
      <c r="K15" s="13"/>
      <c r="L15" s="82" t="s">
        <v>29</v>
      </c>
      <c r="M15" s="78"/>
      <c r="N15" s="84">
        <f>ROUNDUP(((C11^2+C12^2)^0.5)*100/N16,0)</f>
        <v>12</v>
      </c>
    </row>
    <row r="16" spans="1:15" ht="15.75" thickBot="1">
      <c r="A16" s="13"/>
      <c r="B16" s="13"/>
      <c r="C16" s="13"/>
      <c r="D16" s="13"/>
      <c r="E16" s="15" t="s">
        <v>30</v>
      </c>
      <c r="F16" s="27">
        <f>C19*0.85/1.4/100</f>
        <v>0.12142857142857144</v>
      </c>
      <c r="G16" s="13"/>
      <c r="H16" s="13"/>
      <c r="I16" s="15" t="s">
        <v>31</v>
      </c>
      <c r="J16" s="28">
        <f>MAX(J14/5,0.9,0.5*0.15*C13)</f>
        <v>0.9</v>
      </c>
      <c r="K16" s="13"/>
      <c r="L16" s="89" t="s">
        <v>71</v>
      </c>
      <c r="M16" s="90"/>
      <c r="N16" s="88">
        <f>ROUNDDOWN(MIN(N14^2*PI()/400/J16*100,30),0)</f>
        <v>30</v>
      </c>
      <c r="O16" s="13"/>
    </row>
    <row r="17" spans="1:15" ht="15.75" thickBot="1">
      <c r="A17" s="13"/>
      <c r="B17" s="13"/>
      <c r="C17" s="13"/>
      <c r="D17" s="13"/>
      <c r="E17" s="17" t="s">
        <v>32</v>
      </c>
      <c r="F17" s="27">
        <f>C20/1.15/100</f>
        <v>4.3478260869565215</v>
      </c>
      <c r="G17" s="13"/>
      <c r="H17" s="13"/>
      <c r="I17" s="29" t="s">
        <v>33</v>
      </c>
      <c r="J17" s="30">
        <f>N14^2*PI()/4/100</f>
        <v>0.50265482457436694</v>
      </c>
      <c r="K17" s="13"/>
      <c r="L17" s="13"/>
      <c r="M17" s="13"/>
      <c r="N17" s="13"/>
      <c r="O17" s="13"/>
    </row>
    <row r="18" spans="1:15">
      <c r="A18" s="59" t="s">
        <v>34</v>
      </c>
      <c r="B18" s="61"/>
      <c r="C18" s="60"/>
      <c r="D18" s="13"/>
      <c r="E18" s="15" t="s">
        <v>35</v>
      </c>
      <c r="F18" s="27">
        <f>C13*(C11^2+C12^2)^0.5/C11+C14/2</f>
        <v>22.194432963355787</v>
      </c>
      <c r="G18" s="13"/>
      <c r="H18" s="13"/>
      <c r="I18" s="13"/>
      <c r="J18" s="13"/>
      <c r="K18" s="13"/>
      <c r="L18" s="31"/>
      <c r="M18" s="31"/>
      <c r="N18" s="31"/>
      <c r="O18" s="13"/>
    </row>
    <row r="19" spans="1:15" ht="15" customHeight="1">
      <c r="A19" s="72" t="s">
        <v>36</v>
      </c>
      <c r="B19" s="73"/>
      <c r="C19" s="32">
        <v>20</v>
      </c>
      <c r="D19" s="13"/>
      <c r="E19" s="15" t="s">
        <v>37</v>
      </c>
      <c r="F19" s="27">
        <f>F18/100*2.5</f>
        <v>0.5548608240838947</v>
      </c>
      <c r="G19" s="13"/>
      <c r="H19" s="13"/>
      <c r="I19" s="71" t="s">
        <v>38</v>
      </c>
      <c r="J19" s="52"/>
      <c r="K19" s="52"/>
      <c r="L19" s="52"/>
      <c r="M19" s="52"/>
      <c r="N19" s="52"/>
      <c r="O19" s="53"/>
    </row>
    <row r="20" spans="1:15">
      <c r="A20" s="74" t="s">
        <v>39</v>
      </c>
      <c r="B20" s="75"/>
      <c r="C20" s="33">
        <v>500</v>
      </c>
      <c r="D20" s="13"/>
      <c r="E20" s="29" t="s">
        <v>40</v>
      </c>
      <c r="F20" s="34">
        <f>F19+F12+F11</f>
        <v>0.90486082408389468</v>
      </c>
      <c r="G20" s="13"/>
      <c r="H20" s="13"/>
      <c r="I20" s="13"/>
      <c r="J20" s="13"/>
      <c r="K20" s="13"/>
      <c r="L20" s="13"/>
      <c r="M20" s="13"/>
      <c r="N20" s="13"/>
      <c r="O20" s="13"/>
    </row>
    <row r="21" spans="1:15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5.75" customHeight="1">
      <c r="A22" s="13"/>
      <c r="B22" s="13"/>
      <c r="C22" s="13"/>
      <c r="D22" s="13"/>
      <c r="E22" s="13"/>
      <c r="F22" s="13"/>
      <c r="G22" s="13"/>
      <c r="H22" s="13"/>
      <c r="I22" s="76" t="s">
        <v>41</v>
      </c>
      <c r="J22" s="60"/>
      <c r="K22" s="35"/>
      <c r="L22" s="13"/>
      <c r="M22" s="76" t="s">
        <v>42</v>
      </c>
      <c r="N22" s="60"/>
      <c r="O22" s="13"/>
    </row>
    <row r="23" spans="1:15" ht="15.75" customHeight="1">
      <c r="A23" s="59" t="s">
        <v>43</v>
      </c>
      <c r="B23" s="61"/>
      <c r="C23" s="60"/>
      <c r="D23" s="13"/>
      <c r="E23" s="13"/>
      <c r="F23" s="13"/>
      <c r="G23" s="13"/>
      <c r="H23" s="13"/>
      <c r="I23" s="15" t="s">
        <v>44</v>
      </c>
      <c r="J23" s="16">
        <f>0.85*5600*(C19^0.5)/100</f>
        <v>212.87367145797998</v>
      </c>
      <c r="K23" s="13"/>
      <c r="L23" s="13"/>
      <c r="M23" s="15" t="s">
        <v>45</v>
      </c>
      <c r="N23" s="16">
        <f>1.4*F20*C15*C11/2</f>
        <v>1.795696305394489</v>
      </c>
      <c r="O23" s="13"/>
    </row>
    <row r="24" spans="1:15" ht="15.75" customHeight="1">
      <c r="A24" s="74" t="s">
        <v>46</v>
      </c>
      <c r="B24" s="75"/>
      <c r="C24" s="33">
        <v>2</v>
      </c>
      <c r="E24" s="13"/>
      <c r="F24" s="13"/>
      <c r="G24" s="13"/>
      <c r="H24" s="13"/>
      <c r="I24" s="15" t="s">
        <v>47</v>
      </c>
      <c r="J24" s="23">
        <f>C13^3*(C15*100)/12</f>
        <v>12960</v>
      </c>
      <c r="K24" s="13"/>
      <c r="L24" s="13"/>
      <c r="M24" s="15" t="s">
        <v>48</v>
      </c>
      <c r="N24" s="36">
        <f>0.0375*C19^(2/3)/100</f>
        <v>2.7630236239802892E-3</v>
      </c>
      <c r="O24" s="13"/>
    </row>
    <row r="25" spans="1:15" ht="15.75" customHeight="1">
      <c r="A25" s="13"/>
      <c r="B25" s="13"/>
      <c r="C25" s="13"/>
      <c r="D25" s="13"/>
      <c r="E25" s="13"/>
      <c r="F25" s="13"/>
      <c r="G25" s="13"/>
      <c r="H25" s="13"/>
      <c r="I25" s="15" t="s">
        <v>49</v>
      </c>
      <c r="J25" s="16">
        <f>F20*C15/100*(C11*100)^4/J23/J24*5/384*3.5</f>
        <v>1.3244829825315432</v>
      </c>
      <c r="K25" s="13"/>
      <c r="L25" s="13"/>
      <c r="M25" s="15" t="s">
        <v>50</v>
      </c>
      <c r="N25" s="37">
        <f>1.2+40*(J15*N12)/(C13*C15*100)</f>
        <v>1.3489347628368493</v>
      </c>
      <c r="O25" s="13"/>
    </row>
    <row r="26" spans="1:15" ht="15.75" customHeight="1">
      <c r="A26" s="13"/>
      <c r="B26" s="13"/>
      <c r="C26" s="13"/>
      <c r="D26" s="13"/>
      <c r="E26" s="13"/>
      <c r="F26" s="13"/>
      <c r="G26" s="13"/>
      <c r="H26" s="13"/>
      <c r="I26" s="38" t="s">
        <v>51</v>
      </c>
      <c r="J26" s="39">
        <f>C11*100/250</f>
        <v>1.26</v>
      </c>
      <c r="K26" s="13"/>
      <c r="L26" s="13"/>
      <c r="M26" s="15" t="s">
        <v>52</v>
      </c>
      <c r="N26" s="37">
        <f>(160-J11)/100</f>
        <v>1.504</v>
      </c>
      <c r="O26" s="13"/>
    </row>
    <row r="27" spans="1:15" ht="15.75" customHeight="1">
      <c r="A27" s="13"/>
      <c r="B27" s="13"/>
      <c r="C27" s="13"/>
      <c r="D27" s="13"/>
      <c r="E27" s="13"/>
      <c r="F27" s="13"/>
      <c r="G27" s="13"/>
      <c r="H27" s="13"/>
      <c r="I27" s="29" t="s">
        <v>53</v>
      </c>
      <c r="J27" s="40" t="str">
        <f>IF(J25&lt;=J26,"Sim","Não")</f>
        <v>Não</v>
      </c>
      <c r="K27" s="13"/>
      <c r="L27" s="13"/>
      <c r="M27" s="38" t="s">
        <v>54</v>
      </c>
      <c r="N27" s="41">
        <f>N24*N25*N26*J11*C15*100</f>
        <v>4.8432526385967938</v>
      </c>
      <c r="O27" s="13"/>
    </row>
    <row r="28" spans="1:15" ht="15.75" customHeight="1">
      <c r="A28" s="13"/>
      <c r="B28" s="13"/>
      <c r="C28" s="13"/>
      <c r="D28" s="13"/>
      <c r="E28" s="13"/>
      <c r="F28" s="13"/>
      <c r="G28" s="13"/>
      <c r="H28" s="13"/>
      <c r="I28" s="42"/>
      <c r="J28" s="13"/>
      <c r="K28" s="13"/>
      <c r="L28" s="13"/>
      <c r="M28" s="29" t="s">
        <v>53</v>
      </c>
      <c r="N28" s="26" t="str">
        <f>IF(N27&gt;=N23,"Sim","Não")</f>
        <v>Sim</v>
      </c>
      <c r="O28" s="13"/>
    </row>
    <row r="29" spans="1:15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77"/>
      <c r="N29" s="56"/>
      <c r="O29" s="13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4:B24"/>
    <mergeCell ref="M29:N29"/>
    <mergeCell ref="A14:B14"/>
    <mergeCell ref="A15:B15"/>
    <mergeCell ref="E15:F15"/>
    <mergeCell ref="A18:C18"/>
    <mergeCell ref="A19:B19"/>
    <mergeCell ref="I19:O19"/>
    <mergeCell ref="A20:B20"/>
    <mergeCell ref="L16:M16"/>
    <mergeCell ref="L14:M14"/>
    <mergeCell ref="L15:M15"/>
    <mergeCell ref="I22:J22"/>
    <mergeCell ref="M22:N22"/>
    <mergeCell ref="A23:C23"/>
    <mergeCell ref="A11:B11"/>
    <mergeCell ref="L11:M11"/>
    <mergeCell ref="A12:B12"/>
    <mergeCell ref="L12:M12"/>
    <mergeCell ref="A13:B13"/>
    <mergeCell ref="L13:M13"/>
    <mergeCell ref="E10:F10"/>
    <mergeCell ref="L10:N10"/>
    <mergeCell ref="A1:O2"/>
    <mergeCell ref="B4:E5"/>
    <mergeCell ref="F4:I5"/>
    <mergeCell ref="A7:G7"/>
    <mergeCell ref="I7:O7"/>
    <mergeCell ref="I9:J9"/>
    <mergeCell ref="A10:C10"/>
  </mergeCells>
  <dataValidations count="2">
    <dataValidation type="list" showInputMessage="1" showErrorMessage="1" sqref="N11" xr:uid="{4FCCCA57-B24E-4C39-B64B-27669466C0BB}">
      <mc:AlternateContent xmlns:x12ac="http://schemas.microsoft.com/office/spreadsheetml/2011/1/ac" xmlns:mc="http://schemas.openxmlformats.org/markup-compatibility/2006">
        <mc:Choice Requires="x12ac">
          <x12ac:list>"5,0","6,3",8,10,"12,5",16</x12ac:list>
        </mc:Choice>
        <mc:Fallback>
          <formula1>"5,0,6,3,8,10,12,5,16"</formula1>
        </mc:Fallback>
      </mc:AlternateContent>
    </dataValidation>
    <dataValidation type="list" allowBlank="1" showInputMessage="1" showErrorMessage="1" sqref="N14" xr:uid="{AEA554D7-1480-456F-83BB-EEA863E820F9}">
      <mc:AlternateContent xmlns:x12ac="http://schemas.microsoft.com/office/spreadsheetml/2011/1/ac" xmlns:mc="http://schemas.openxmlformats.org/markup-compatibility/2006">
        <mc:Choice Requires="x12ac">
          <x12ac:list>"5,0","6,3",8,10,"12,5",16</x12ac:list>
        </mc:Choice>
        <mc:Fallback>
          <formula1>"5,0,6,3,8,10,12,5,16"</formula1>
        </mc:Fallback>
      </mc:AlternateContent>
    </dataValidation>
  </dataValidations>
  <pageMargins left="0.511811024" right="0.511811024" top="0.78740157499999996" bottom="0.78740157499999996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tabSelected="1" workbookViewId="0">
      <selection activeCell="S26" sqref="S26"/>
    </sheetView>
  </sheetViews>
  <sheetFormatPr defaultColWidth="14.42578125" defaultRowHeight="15" customHeight="1"/>
  <cols>
    <col min="1" max="4" width="8.7109375" customWidth="1"/>
    <col min="5" max="5" width="21.42578125" customWidth="1"/>
    <col min="6" max="8" width="8.7109375" customWidth="1"/>
    <col min="9" max="9" width="16.28515625" customWidth="1"/>
    <col min="10" max="10" width="9.140625" customWidth="1"/>
    <col min="11" max="12" width="8.7109375" customWidth="1"/>
    <col min="13" max="13" width="16" customWidth="1"/>
    <col min="14" max="26" width="8.7109375" customWidth="1"/>
  </cols>
  <sheetData>
    <row r="1" spans="1:15" ht="15" customHeight="1">
      <c r="A1" s="62" t="s">
        <v>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5" ht="15" customHeight="1">
      <c r="A2" s="63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4" spans="1:15">
      <c r="B4" s="64" t="s">
        <v>4</v>
      </c>
      <c r="C4" s="65"/>
      <c r="D4" s="65"/>
      <c r="E4" s="66"/>
      <c r="F4" s="64" t="s">
        <v>56</v>
      </c>
      <c r="G4" s="65"/>
      <c r="H4" s="65"/>
      <c r="I4" s="66"/>
    </row>
    <row r="5" spans="1:15">
      <c r="B5" s="67"/>
      <c r="C5" s="68"/>
      <c r="D5" s="68"/>
      <c r="E5" s="69"/>
      <c r="F5" s="67"/>
      <c r="G5" s="68"/>
      <c r="H5" s="68"/>
      <c r="I5" s="69"/>
    </row>
    <row r="6" spans="1:15">
      <c r="A6" s="12"/>
      <c r="B6" s="12"/>
      <c r="C6" s="12"/>
      <c r="D6" s="12"/>
    </row>
    <row r="7" spans="1:15" ht="15" customHeight="1">
      <c r="A7" s="70" t="s">
        <v>6</v>
      </c>
      <c r="B7" s="52"/>
      <c r="C7" s="52"/>
      <c r="D7" s="52"/>
      <c r="E7" s="52"/>
      <c r="F7" s="52"/>
      <c r="G7" s="53"/>
      <c r="H7" s="13"/>
      <c r="I7" s="71" t="s">
        <v>7</v>
      </c>
      <c r="J7" s="52"/>
      <c r="K7" s="52"/>
      <c r="L7" s="52"/>
      <c r="M7" s="52"/>
      <c r="N7" s="52"/>
      <c r="O7" s="53"/>
    </row>
    <row r="8" spans="1:15">
      <c r="A8" s="14"/>
      <c r="B8" s="14"/>
      <c r="C8" s="12"/>
      <c r="D8" s="12"/>
      <c r="E8" s="13"/>
      <c r="F8" s="13"/>
      <c r="G8" s="13"/>
      <c r="H8" s="13"/>
      <c r="K8" s="13"/>
      <c r="L8" s="13"/>
      <c r="M8" s="13"/>
      <c r="N8" s="13"/>
      <c r="O8" s="13"/>
    </row>
    <row r="9" spans="1:15" ht="15.75" thickBot="1">
      <c r="A9" s="13"/>
      <c r="B9" s="13"/>
      <c r="C9" s="12"/>
      <c r="D9" s="12"/>
      <c r="E9" s="13"/>
      <c r="F9" s="13"/>
      <c r="G9" s="12"/>
      <c r="H9" s="13"/>
      <c r="I9" s="59" t="s">
        <v>8</v>
      </c>
      <c r="J9" s="60"/>
      <c r="K9" s="13"/>
      <c r="L9" s="13"/>
      <c r="M9" s="13"/>
      <c r="N9" s="13"/>
      <c r="O9" s="13"/>
    </row>
    <row r="10" spans="1:15">
      <c r="A10" s="59" t="s">
        <v>9</v>
      </c>
      <c r="B10" s="61"/>
      <c r="C10" s="60"/>
      <c r="D10" s="13"/>
      <c r="E10" s="59" t="s">
        <v>10</v>
      </c>
      <c r="F10" s="60"/>
      <c r="G10" s="13"/>
      <c r="H10" s="13"/>
      <c r="I10" s="15" t="s">
        <v>57</v>
      </c>
      <c r="J10" s="16">
        <f>(F20*C11^2)/8</f>
        <v>1.627421875</v>
      </c>
      <c r="K10" s="13"/>
      <c r="L10" s="79" t="s">
        <v>12</v>
      </c>
      <c r="M10" s="80"/>
      <c r="N10" s="81"/>
      <c r="O10" s="13"/>
    </row>
    <row r="11" spans="1:15" ht="15" customHeight="1">
      <c r="A11" s="72" t="s">
        <v>58</v>
      </c>
      <c r="B11" s="73"/>
      <c r="C11" s="18">
        <v>3.7</v>
      </c>
      <c r="D11" s="13"/>
      <c r="E11" s="15" t="s">
        <v>14</v>
      </c>
      <c r="F11" s="19">
        <v>0.25</v>
      </c>
      <c r="G11" s="13"/>
      <c r="H11" s="13"/>
      <c r="I11" s="15" t="s">
        <v>15</v>
      </c>
      <c r="J11" s="16">
        <f>C13-C24-N11/10/2</f>
        <v>12.6</v>
      </c>
      <c r="K11" s="13"/>
      <c r="L11" s="82" t="s">
        <v>59</v>
      </c>
      <c r="M11" s="78"/>
      <c r="N11" s="83">
        <v>8</v>
      </c>
    </row>
    <row r="12" spans="1:15" ht="15" customHeight="1" thickBot="1">
      <c r="A12" s="72" t="s">
        <v>60</v>
      </c>
      <c r="B12" s="73"/>
      <c r="C12" s="20">
        <v>2.23</v>
      </c>
      <c r="D12" s="13"/>
      <c r="E12" s="21" t="s">
        <v>18</v>
      </c>
      <c r="F12" s="22">
        <v>0.1</v>
      </c>
      <c r="G12" s="13"/>
      <c r="H12" s="13"/>
      <c r="I12" s="15" t="s">
        <v>19</v>
      </c>
      <c r="J12" s="16">
        <f>J10*1.4/J11^2/F16</f>
        <v>0.11818604756717499</v>
      </c>
      <c r="K12" s="13"/>
      <c r="L12" s="82" t="s">
        <v>20</v>
      </c>
      <c r="M12" s="78"/>
      <c r="N12" s="84">
        <f>ROUNDUP(J14/J15,0)</f>
        <v>8</v>
      </c>
    </row>
    <row r="13" spans="1:15" ht="15" customHeight="1">
      <c r="A13" s="72" t="s">
        <v>21</v>
      </c>
      <c r="B13" s="73"/>
      <c r="C13" s="20">
        <v>15</v>
      </c>
      <c r="D13" s="13"/>
      <c r="E13" s="13"/>
      <c r="F13" s="13"/>
      <c r="G13" s="13"/>
      <c r="H13" s="13"/>
      <c r="I13" s="15" t="s">
        <v>22</v>
      </c>
      <c r="J13" s="16">
        <f>1-(1-2*J12)^0.5</f>
        <v>0.12614194238100085</v>
      </c>
      <c r="K13" s="13"/>
      <c r="L13" s="82" t="s">
        <v>72</v>
      </c>
      <c r="M13" s="78"/>
      <c r="N13" s="84">
        <f>ROUNDDOWN(C15*100/N12,0)</f>
        <v>10</v>
      </c>
    </row>
    <row r="14" spans="1:15" ht="15" customHeight="1" thickBot="1">
      <c r="A14" s="72" t="s">
        <v>23</v>
      </c>
      <c r="B14" s="73"/>
      <c r="C14" s="20">
        <v>18</v>
      </c>
      <c r="D14" s="13"/>
      <c r="E14" s="13"/>
      <c r="F14" s="24"/>
      <c r="G14" s="24"/>
      <c r="H14" s="13"/>
      <c r="I14" s="15" t="s">
        <v>24</v>
      </c>
      <c r="J14" s="16">
        <f>MAX(J13*J11*C15*100*F16/F17,C13*C15*100*0.0015)</f>
        <v>3.551147961909936</v>
      </c>
      <c r="K14" s="13"/>
      <c r="L14" s="85" t="s">
        <v>25</v>
      </c>
      <c r="M14" s="78"/>
      <c r="N14" s="83">
        <v>6.3</v>
      </c>
    </row>
    <row r="15" spans="1:15" ht="15" customHeight="1" thickBot="1">
      <c r="A15" s="74" t="s">
        <v>26</v>
      </c>
      <c r="B15" s="75"/>
      <c r="C15" s="25">
        <v>0.8</v>
      </c>
      <c r="D15" s="13"/>
      <c r="E15" s="59" t="s">
        <v>27</v>
      </c>
      <c r="F15" s="60"/>
      <c r="G15" s="13"/>
      <c r="H15" s="13"/>
      <c r="I15" s="15" t="s">
        <v>28</v>
      </c>
      <c r="J15" s="16">
        <f>N11^2*PI()/4/100</f>
        <v>0.50265482457436694</v>
      </c>
      <c r="K15" s="13"/>
      <c r="L15" s="82" t="s">
        <v>20</v>
      </c>
      <c r="M15" s="78"/>
      <c r="N15" s="84">
        <f>ROUNDUP(((C11^2+C12^2)^0.5)*100/N16,0)</f>
        <v>17</v>
      </c>
    </row>
    <row r="16" spans="1:15" ht="15.75" thickBot="1">
      <c r="A16" s="13"/>
      <c r="B16" s="13"/>
      <c r="C16" s="13"/>
      <c r="D16" s="13"/>
      <c r="E16" s="15" t="s">
        <v>61</v>
      </c>
      <c r="F16" s="27">
        <f>(C19*0.85)/1.4/100</f>
        <v>0.12142857142857144</v>
      </c>
      <c r="G16" s="13"/>
      <c r="H16" s="13"/>
      <c r="I16" s="15" t="s">
        <v>31</v>
      </c>
      <c r="J16" s="28">
        <f>MAX(J14/5,0.9,0.5*0.15*C13)</f>
        <v>1.125</v>
      </c>
      <c r="K16" s="13"/>
      <c r="L16" s="86" t="s">
        <v>71</v>
      </c>
      <c r="M16" s="87"/>
      <c r="N16" s="88">
        <f>ROUNDDOWN(MIN(N14^2*PI()/400/J16*100,30),0)</f>
        <v>27</v>
      </c>
      <c r="O16" s="13"/>
    </row>
    <row r="17" spans="1:15" ht="15.75" thickBot="1">
      <c r="A17" s="13"/>
      <c r="B17" s="13"/>
      <c r="C17" s="13"/>
      <c r="D17" s="13"/>
      <c r="E17" s="17" t="s">
        <v>62</v>
      </c>
      <c r="F17" s="27">
        <f>C20/1.15/100</f>
        <v>4.3478260869565215</v>
      </c>
      <c r="G17" s="13"/>
      <c r="H17" s="13"/>
      <c r="I17" s="29" t="s">
        <v>33</v>
      </c>
      <c r="J17" s="30">
        <f>N14^2*PI()/4/100</f>
        <v>0.31172453105244718</v>
      </c>
      <c r="K17" s="13"/>
      <c r="L17" s="13"/>
      <c r="M17" s="13"/>
      <c r="N17" s="13"/>
      <c r="O17" s="13"/>
    </row>
    <row r="18" spans="1:15">
      <c r="A18" s="59" t="s">
        <v>34</v>
      </c>
      <c r="B18" s="61"/>
      <c r="C18" s="60"/>
      <c r="D18" s="13"/>
      <c r="E18" s="15" t="s">
        <v>35</v>
      </c>
      <c r="F18" s="27">
        <f>(C11+C12)/C11*C13</f>
        <v>24.040540540540537</v>
      </c>
      <c r="G18" s="13"/>
      <c r="H18" s="13"/>
      <c r="I18" s="13"/>
      <c r="J18" s="13"/>
      <c r="K18" s="13"/>
      <c r="L18" s="31"/>
      <c r="M18" s="31"/>
      <c r="N18" s="31"/>
      <c r="O18" s="13"/>
    </row>
    <row r="19" spans="1:15" ht="15" customHeight="1">
      <c r="A19" s="72" t="s">
        <v>63</v>
      </c>
      <c r="B19" s="73"/>
      <c r="C19" s="32">
        <v>20</v>
      </c>
      <c r="D19" s="13"/>
      <c r="E19" s="15" t="s">
        <v>37</v>
      </c>
      <c r="F19" s="27">
        <f>(2.5*F18)/100</f>
        <v>0.6010135135135134</v>
      </c>
      <c r="G19" s="13"/>
      <c r="H19" s="13"/>
      <c r="I19" s="71" t="s">
        <v>38</v>
      </c>
      <c r="J19" s="52"/>
      <c r="K19" s="52"/>
      <c r="L19" s="52"/>
      <c r="M19" s="52"/>
      <c r="N19" s="52"/>
      <c r="O19" s="53"/>
    </row>
    <row r="20" spans="1:15">
      <c r="A20" s="74" t="s">
        <v>64</v>
      </c>
      <c r="B20" s="75"/>
      <c r="C20" s="33">
        <v>500</v>
      </c>
      <c r="D20" s="13"/>
      <c r="E20" s="29" t="s">
        <v>65</v>
      </c>
      <c r="F20" s="34">
        <f>F19+F12+F11</f>
        <v>0.95101351351351338</v>
      </c>
      <c r="G20" s="13"/>
      <c r="H20" s="13"/>
      <c r="I20" s="13"/>
      <c r="J20" s="13"/>
      <c r="K20" s="13"/>
      <c r="L20" s="13"/>
      <c r="M20" s="13"/>
      <c r="N20" s="13"/>
      <c r="O20" s="13"/>
    </row>
    <row r="21" spans="1:15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5.75" customHeight="1">
      <c r="A22" s="13"/>
      <c r="B22" s="13"/>
      <c r="C22" s="13"/>
      <c r="D22" s="13"/>
      <c r="E22" s="13"/>
      <c r="F22" s="13"/>
      <c r="G22" s="13"/>
      <c r="H22" s="13"/>
      <c r="I22" s="76" t="s">
        <v>41</v>
      </c>
      <c r="J22" s="60"/>
      <c r="K22" s="35"/>
      <c r="L22" s="13"/>
      <c r="M22" s="76" t="s">
        <v>42</v>
      </c>
      <c r="N22" s="60"/>
      <c r="O22" s="13"/>
    </row>
    <row r="23" spans="1:15" ht="15.75" customHeight="1">
      <c r="A23" s="59" t="s">
        <v>43</v>
      </c>
      <c r="B23" s="61"/>
      <c r="C23" s="60"/>
      <c r="D23" s="13"/>
      <c r="E23" s="13"/>
      <c r="F23" s="13"/>
      <c r="G23" s="13"/>
      <c r="H23" s="13"/>
      <c r="I23" s="15" t="s">
        <v>44</v>
      </c>
      <c r="J23" s="16">
        <f>0.85*5600*(C19^0.5)/100</f>
        <v>212.87367145797998</v>
      </c>
      <c r="K23" s="13"/>
      <c r="L23" s="13"/>
      <c r="M23" s="15" t="s">
        <v>66</v>
      </c>
      <c r="N23" s="16">
        <f>1.4*F20*C15*C11/2</f>
        <v>1.9704999999999999</v>
      </c>
      <c r="O23" s="13"/>
    </row>
    <row r="24" spans="1:15" ht="15.75" customHeight="1">
      <c r="A24" s="74" t="s">
        <v>46</v>
      </c>
      <c r="B24" s="75"/>
      <c r="C24" s="33">
        <v>2</v>
      </c>
      <c r="D24" s="43"/>
      <c r="E24" s="13"/>
      <c r="F24" s="13"/>
      <c r="G24" s="13"/>
      <c r="H24" s="13"/>
      <c r="I24" s="15" t="s">
        <v>47</v>
      </c>
      <c r="J24" s="23">
        <f>C13^3*(C15*100)/12</f>
        <v>22500</v>
      </c>
      <c r="K24" s="13"/>
      <c r="L24" s="13"/>
      <c r="M24" s="15" t="s">
        <v>67</v>
      </c>
      <c r="N24" s="36">
        <f>0.0375*C19^(2/3)/100</f>
        <v>2.7630236239802892E-3</v>
      </c>
      <c r="O24" s="13"/>
    </row>
    <row r="25" spans="1:15" ht="15.75" customHeight="1">
      <c r="A25" s="13"/>
      <c r="B25" s="13"/>
      <c r="C25" s="13"/>
      <c r="D25" s="13"/>
      <c r="E25" s="13"/>
      <c r="F25" s="13"/>
      <c r="G25" s="13"/>
      <c r="H25" s="13"/>
      <c r="I25" s="15" t="s">
        <v>68</v>
      </c>
      <c r="J25" s="16">
        <f>F20*C15/100*(C11*100)^4/J23/J24*5/384*3.5</f>
        <v>1.356706566623245</v>
      </c>
      <c r="K25" s="13"/>
      <c r="L25" s="13"/>
      <c r="M25" s="15" t="s">
        <v>50</v>
      </c>
      <c r="N25" s="37">
        <f>1.2+40*(J15*N12)/(C13*C15*100)</f>
        <v>1.3340412865531643</v>
      </c>
      <c r="O25" s="13"/>
    </row>
    <row r="26" spans="1:15" ht="15.75" customHeight="1">
      <c r="A26" s="13"/>
      <c r="B26" s="13"/>
      <c r="C26" s="13"/>
      <c r="D26" s="13"/>
      <c r="E26" s="13"/>
      <c r="F26" s="13"/>
      <c r="G26" s="13"/>
      <c r="H26" s="13"/>
      <c r="I26" s="38" t="s">
        <v>69</v>
      </c>
      <c r="J26" s="39">
        <f>C11*100/250</f>
        <v>1.48</v>
      </c>
      <c r="K26" s="13"/>
      <c r="L26" s="13"/>
      <c r="M26" s="15" t="s">
        <v>52</v>
      </c>
      <c r="N26" s="37">
        <f>(160-J11)/100</f>
        <v>1.474</v>
      </c>
      <c r="O26" s="13"/>
    </row>
    <row r="27" spans="1:15" ht="15.75" customHeight="1">
      <c r="A27" s="13"/>
      <c r="B27" s="13"/>
      <c r="C27" s="13"/>
      <c r="D27" s="13"/>
      <c r="E27" s="13"/>
      <c r="F27" s="13"/>
      <c r="G27" s="13"/>
      <c r="H27" s="13"/>
      <c r="I27" s="29" t="s">
        <v>53</v>
      </c>
      <c r="J27" s="40" t="str">
        <f>IF(J25&lt;=J26,"Sim","Não")</f>
        <v>Sim</v>
      </c>
      <c r="K27" s="13"/>
      <c r="L27" s="13"/>
      <c r="M27" s="38" t="s">
        <v>54</v>
      </c>
      <c r="N27" s="41">
        <f>N24*N25*N26*J11*C15*100</f>
        <v>5.4766108734868739</v>
      </c>
      <c r="O27" s="13"/>
    </row>
    <row r="28" spans="1:15" ht="15.75" customHeight="1">
      <c r="A28" s="13"/>
      <c r="B28" s="13"/>
      <c r="C28" s="13"/>
      <c r="D28" s="13"/>
      <c r="E28" s="13"/>
      <c r="F28" s="13"/>
      <c r="G28" s="13"/>
      <c r="H28" s="13"/>
      <c r="I28" s="42"/>
      <c r="J28" s="13"/>
      <c r="K28" s="13"/>
      <c r="L28" s="13"/>
      <c r="M28" s="29" t="s">
        <v>53</v>
      </c>
      <c r="N28" s="26" t="str">
        <f>IF(N27&gt;=N23,"Sim","Não")</f>
        <v>Sim</v>
      </c>
      <c r="O28" s="13"/>
    </row>
    <row r="29" spans="1:15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77"/>
      <c r="N29" s="56"/>
      <c r="O29" s="13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4:B24"/>
    <mergeCell ref="M29:N29"/>
    <mergeCell ref="A14:B14"/>
    <mergeCell ref="A15:B15"/>
    <mergeCell ref="E15:F15"/>
    <mergeCell ref="A18:C18"/>
    <mergeCell ref="A19:B19"/>
    <mergeCell ref="I19:O19"/>
    <mergeCell ref="A20:B20"/>
    <mergeCell ref="L16:M16"/>
    <mergeCell ref="L14:M14"/>
    <mergeCell ref="L15:M15"/>
    <mergeCell ref="I22:J22"/>
    <mergeCell ref="M22:N22"/>
    <mergeCell ref="A23:C23"/>
    <mergeCell ref="A11:B11"/>
    <mergeCell ref="L11:M11"/>
    <mergeCell ref="A12:B12"/>
    <mergeCell ref="L12:M12"/>
    <mergeCell ref="A13:B13"/>
    <mergeCell ref="L13:M13"/>
    <mergeCell ref="E10:F10"/>
    <mergeCell ref="L10:N10"/>
    <mergeCell ref="A1:O2"/>
    <mergeCell ref="B4:E5"/>
    <mergeCell ref="F4:I5"/>
    <mergeCell ref="A7:G7"/>
    <mergeCell ref="I7:O7"/>
    <mergeCell ref="I9:J9"/>
    <mergeCell ref="A10:C10"/>
  </mergeCells>
  <dataValidations disablePrompts="1" count="1">
    <dataValidation type="list" allowBlank="1" showInputMessage="1" showErrorMessage="1" sqref="N11 N14" xr:uid="{226FB545-438B-4705-8E9C-2715D0407B2C}">
      <mc:AlternateContent xmlns:x12ac="http://schemas.microsoft.com/office/spreadsheetml/2011/1/ac" xmlns:mc="http://schemas.openxmlformats.org/markup-compatibility/2006">
        <mc:Choice Requires="x12ac">
          <x12ac:list>"5,0","6,3",8,10,"12,5",16</x12ac:list>
        </mc:Choice>
        <mc:Fallback>
          <formula1>"5,0,6,3,8,10,12,5,16"</formula1>
        </mc:Fallback>
      </mc:AlternateContent>
    </dataValidation>
  </dataValidations>
  <pageMargins left="0.511811024" right="0.511811024" top="0.78740157499999996" bottom="0.78740157499999996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showGridLines="0" topLeftCell="A34" workbookViewId="0"/>
  </sheetViews>
  <sheetFormatPr defaultColWidth="14.42578125" defaultRowHeight="15" customHeight="1"/>
  <cols>
    <col min="1" max="27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>
      <c r="A62" s="44" t="s">
        <v>70</v>
      </c>
    </row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ESCADA RETA</vt:lpstr>
      <vt:lpstr>ESCADA PLISSADA</vt:lpstr>
      <vt:lpstr>DET. ESCADA PLISSADA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created xsi:type="dcterms:W3CDTF">2006-09-16T00:00:00Z</dcterms:created>
  <dcterms:modified xsi:type="dcterms:W3CDTF">2022-12-23T00:50:10Z</dcterms:modified>
</cp:coreProperties>
</file>