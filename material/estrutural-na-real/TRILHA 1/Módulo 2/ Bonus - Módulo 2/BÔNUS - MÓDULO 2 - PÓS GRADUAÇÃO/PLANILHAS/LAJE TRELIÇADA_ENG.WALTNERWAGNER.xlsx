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DIM. LAJE TRELIÇADA" sheetId="2" r:id="rId5"/>
    <sheet state="visible" name="TABELAS" sheetId="3" r:id="rId6"/>
    <sheet state="visible" name="DET. LAJE TRELIÇADA" sheetId="4" r:id="rId7"/>
  </sheets>
  <definedNames>
    <definedName name="Fck">#REF!</definedName>
    <definedName name="fyk">#REF!</definedName>
  </definedNames>
  <calcPr/>
  <extLst>
    <ext uri="GoogleSheetsCustomDataVersion1">
      <go:sheetsCustomData xmlns:go="http://customooxmlschemas.google.com/" r:id="rId8" roundtripDataSignature="AMtx7mgFjXlHSJ7bQSpo2yjSYBeMmXuQQ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31">
      <text>
        <t xml:space="preserve">======
ID#AAAAKp_H6K4
Autor    (2020-11-16 03:37:47)
Aumento de resistência gerado pela proximidade entre a armadura e o concreto</t>
      </text>
    </comment>
    <comment authorId="0" ref="H30">
      <text>
        <t xml:space="preserve">======
ID#AAAAKp_H6K0
Autor    (2020-11-16 03:37:47)
Aumento de resistência ao cisalhamento gerado pelo concreto estar armado.</t>
      </text>
    </comment>
  </commentList>
  <extLst>
    <ext uri="GoogleSheetsCustomDataVersion1">
      <go:sheetsCustomData xmlns:go="http://customooxmlschemas.google.com/" r:id="rId1" roundtripDataSignature="AMtx7mijni/nTatQyZzdyluTdZ1nU4TSwQ=="/>
    </ext>
  </extLst>
</comments>
</file>

<file path=xl/sharedStrings.xml><?xml version="1.0" encoding="utf-8"?>
<sst xmlns="http://schemas.openxmlformats.org/spreadsheetml/2006/main" count="102" uniqueCount="94">
  <si>
    <t xml:space="preserve">  Bem-vindo à Planilha de Cálculo de lajes treliçadas do engenheiro Waltner Wagner. </t>
  </si>
  <si>
    <t xml:space="preserve">  Esse modelo de planilha permite dimensionar lajes treliçadas unidirecionais, bem como, apresenta um exemplo de detalhamento.</t>
  </si>
  <si>
    <t>Navegue usando os botões do menu abaixo:</t>
  </si>
  <si>
    <t>DIMENSIONAMENTO LAJE TRELIÇADA</t>
  </si>
  <si>
    <t>Preencha apenas as células com essa cor de fundo!</t>
  </si>
  <si>
    <t>DADOS INICIAIS</t>
  </si>
  <si>
    <t>PARÂMETROS DE VINCULAÇÃO</t>
  </si>
  <si>
    <t>Dados da Laje</t>
  </si>
  <si>
    <t>Resistência</t>
  </si>
  <si>
    <t>αx</t>
  </si>
  <si>
    <r>
      <rPr>
        <rFont val="Calibri"/>
        <b/>
        <color theme="1"/>
        <sz val="11.0"/>
      </rPr>
      <t>β</t>
    </r>
    <r>
      <rPr>
        <rFont val="Calibri"/>
        <b/>
        <color theme="1"/>
        <sz val="9.0"/>
      </rPr>
      <t>x</t>
    </r>
  </si>
  <si>
    <t>γ</t>
  </si>
  <si>
    <t>δ</t>
  </si>
  <si>
    <t>Vão Eixo a Eixo (m)</t>
  </si>
  <si>
    <t>Fck (Mpa)</t>
  </si>
  <si>
    <t>Apoio/Apoio</t>
  </si>
  <si>
    <t>Altura da Treliça (cm)</t>
  </si>
  <si>
    <t>Fyk Treliça (Mpa)</t>
  </si>
  <si>
    <t>Apoio/Engaste</t>
  </si>
  <si>
    <t>Largura da Treliça (cm)</t>
  </si>
  <si>
    <t>Fyk Reforço (Mpa)</t>
  </si>
  <si>
    <t>Engaste/Engaste</t>
  </si>
  <si>
    <t>Espaçamento entre Treliças (cm)</t>
  </si>
  <si>
    <t xml:space="preserve">Balanço </t>
  </si>
  <si>
    <t>Altura da capa de concreto (cm)</t>
  </si>
  <si>
    <t>Outros Parâmetros</t>
  </si>
  <si>
    <t>Tipo de Enchimento</t>
  </si>
  <si>
    <t>EPS</t>
  </si>
  <si>
    <t>Cob. Treliça (cm)</t>
  </si>
  <si>
    <t xml:space="preserve">ARMADURAS DA LAJE </t>
  </si>
  <si>
    <t>Tipo de Vinculação</t>
  </si>
  <si>
    <t>Densidade do Enchimento (tf/m³)</t>
  </si>
  <si>
    <t xml:space="preserve">Positiva </t>
  </si>
  <si>
    <t>Negativa</t>
  </si>
  <si>
    <t xml:space="preserve">Carregamento </t>
  </si>
  <si>
    <t>Verificação</t>
  </si>
  <si>
    <t>Φ Inf. Treliça (mm)</t>
  </si>
  <si>
    <t>-</t>
  </si>
  <si>
    <t>Qsobrecarga (tf/m²)</t>
  </si>
  <si>
    <t>Resiste a Flexão/Flecha ?</t>
  </si>
  <si>
    <t>Φ Reforço (mm)</t>
  </si>
  <si>
    <t>Gpermanente (tf/m²)</t>
  </si>
  <si>
    <t>Resiste ao Cisalhamento ?</t>
  </si>
  <si>
    <t>Malha Soldada (cm²/m)</t>
  </si>
  <si>
    <t xml:space="preserve">Tempo Mín. p/ retirada do escoramento (Dias) </t>
  </si>
  <si>
    <t>Positiva</t>
  </si>
  <si>
    <t>Volume de Concreto (m³/m²)</t>
  </si>
  <si>
    <t xml:space="preserve">Qnt. Barras de Reforço </t>
  </si>
  <si>
    <t>CÁLCULOS</t>
  </si>
  <si>
    <t>Parâmetros de Cálculo</t>
  </si>
  <si>
    <t>Flexão</t>
  </si>
  <si>
    <t>Cisalhamento</t>
  </si>
  <si>
    <t>Deformações</t>
  </si>
  <si>
    <r>
      <rPr>
        <rFont val="Calibri"/>
        <b/>
        <color theme="1"/>
        <sz val="11.0"/>
      </rPr>
      <t>σ</t>
    </r>
    <r>
      <rPr>
        <rFont val="Calibri"/>
        <b/>
        <color theme="1"/>
        <sz val="9.0"/>
      </rPr>
      <t>cd (tf/cm²)</t>
    </r>
  </si>
  <si>
    <t>Positivo</t>
  </si>
  <si>
    <t>Negativo</t>
  </si>
  <si>
    <t>Vd (tf/nervura)</t>
  </si>
  <si>
    <t>E  (tf/cm²)</t>
  </si>
  <si>
    <t>Fyd Treliça (tf/cm²)</t>
  </si>
  <si>
    <t>Momento Fletor (Tf*m/m)</t>
  </si>
  <si>
    <t>Trd(tf/cm²)</t>
  </si>
  <si>
    <t>Centroide (cm)</t>
  </si>
  <si>
    <t>Fyd Reforço (tf/cm²)</t>
  </si>
  <si>
    <t>d</t>
  </si>
  <si>
    <t>p</t>
  </si>
  <si>
    <t>I (cm^4/m)</t>
  </si>
  <si>
    <t xml:space="preserve">% Enchimento </t>
  </si>
  <si>
    <t>μ</t>
  </si>
  <si>
    <t>k</t>
  </si>
  <si>
    <t>δ (cm)</t>
  </si>
  <si>
    <t>PP. Laje (tf/m²)</t>
  </si>
  <si>
    <t>ξ</t>
  </si>
  <si>
    <t>Vres (tf/nervura)</t>
  </si>
  <si>
    <t>δ lim. (cm)</t>
  </si>
  <si>
    <t>Carga Total (tf/m²)</t>
  </si>
  <si>
    <t>AS calc.</t>
  </si>
  <si>
    <t>AS Φ base (cm²/m)</t>
  </si>
  <si>
    <t xml:space="preserve">TEMPO DE ESCORAMENTO </t>
  </si>
  <si>
    <r>
      <rPr>
        <rFont val="Calibri"/>
        <b/>
        <color theme="1"/>
        <sz val="11.0"/>
      </rPr>
      <t>β</t>
    </r>
    <r>
      <rPr>
        <rFont val="Calibri"/>
        <b/>
        <color theme="1"/>
        <sz val="9.0"/>
      </rPr>
      <t>x</t>
    </r>
  </si>
  <si>
    <t>AS calc. Reforço (cm²/m)</t>
  </si>
  <si>
    <t xml:space="preserve">Relação δlim/δ </t>
  </si>
  <si>
    <t>AS Φ Reforço</t>
  </si>
  <si>
    <t>Fck Mín. p/ Retirada</t>
  </si>
  <si>
    <t>GERDAU</t>
  </si>
  <si>
    <t>ARCELORMITTAL</t>
  </si>
  <si>
    <t>TRELIÇAS</t>
  </si>
  <si>
    <t>TELAS SOLDADAS</t>
  </si>
  <si>
    <t>DETALHAMENTO LAJE L2</t>
  </si>
  <si>
    <t>DETALHE 1</t>
  </si>
  <si>
    <t>DETALHE 3</t>
  </si>
  <si>
    <t>DETALHE 5</t>
  </si>
  <si>
    <t>DETALHE 2</t>
  </si>
  <si>
    <t>DETALHE 4</t>
  </si>
  <si>
    <t>DETALHE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</si>
</sst>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"/>
    <numFmt numFmtId="166" formatCode="0.0000"/>
  </numFmts>
  <fonts count="20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8.0"/>
      <color rgb="FFFFFF00"/>
      <name val="Calibri"/>
    </font>
    <font>
      <sz val="11.0"/>
      <color rgb="FF17365D"/>
      <name val="Calibri"/>
    </font>
    <font>
      <sz val="10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2.0"/>
      <color theme="1"/>
      <name val="Calibri"/>
      <scheme val="minor"/>
    </font>
    <font>
      <sz val="12.0"/>
      <color theme="1"/>
      <name val="Calibri"/>
    </font>
    <font>
      <b/>
      <sz val="14.0"/>
      <color rgb="FFFF0000"/>
      <name val="Calibri"/>
      <scheme val="minor"/>
    </font>
    <font>
      <b/>
      <sz val="14.0"/>
      <color theme="1"/>
      <name val="Calibri"/>
      <scheme val="minor"/>
    </font>
    <font>
      <b/>
      <sz val="11.0"/>
      <color rgb="FFFF0000"/>
      <name val="Calibri"/>
      <scheme val="minor"/>
    </font>
    <font>
      <b/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C00000"/>
      <name val="Calibri"/>
      <scheme val="minor"/>
    </font>
    <font>
      <b/>
      <sz val="12.0"/>
      <color rgb="FFC00000"/>
      <name val="Calibri"/>
      <scheme val="minor"/>
    </font>
    <font>
      <b/>
      <sz val="12.0"/>
      <color rgb="FF222222"/>
      <name val="Arial"/>
    </font>
    <font>
      <b/>
      <sz val="11.0"/>
      <color rgb="FF202122"/>
      <name val="Arial"/>
    </font>
    <font>
      <b/>
      <sz val="22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07070"/>
        <bgColor rgb="FFF07070"/>
      </patternFill>
    </fill>
    <fill>
      <patternFill patternType="solid">
        <fgColor rgb="FF0C0C0C"/>
        <bgColor rgb="FF0C0C0C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/>
    </border>
    <border>
      <left style="medium">
        <color rgb="FF000000"/>
      </lef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</border>
    <border>
      <left/>
    </border>
    <border>
      <left/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0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0" numFmtId="0" xfId="0" applyBorder="1" applyFill="1" applyFont="1"/>
    <xf borderId="8" fillId="3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shrinkToFit="0" vertical="center" wrapText="1"/>
    </xf>
    <xf borderId="7" fillId="3" fontId="7" numFmtId="0" xfId="0" applyBorder="1" applyFont="1"/>
    <xf borderId="8" fillId="3" fontId="5" numFmtId="0" xfId="0" applyAlignment="1" applyBorder="1" applyFont="1">
      <alignment horizontal="center"/>
    </xf>
    <xf borderId="7" fillId="3" fontId="6" numFmtId="0" xfId="0" applyBorder="1" applyFont="1"/>
    <xf borderId="7" fillId="3" fontId="8" numFmtId="0" xfId="0" applyBorder="1" applyFont="1"/>
    <xf borderId="7" fillId="3" fontId="9" numFmtId="0" xfId="0" applyBorder="1" applyFont="1"/>
    <xf borderId="7" fillId="3" fontId="3" numFmtId="0" xfId="0" applyAlignment="1" applyBorder="1" applyFont="1">
      <alignment vertical="center"/>
    </xf>
    <xf borderId="11" fillId="4" fontId="10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3" fontId="11" numFmtId="49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8" fillId="2" fontId="12" numFmtId="49" xfId="0" applyAlignment="1" applyBorder="1" applyFont="1" applyNumberFormat="1">
      <alignment horizontal="center" shrinkToFit="0" vertical="center" wrapText="1"/>
    </xf>
    <xf borderId="8" fillId="2" fontId="12" numFmtId="0" xfId="0" applyAlignment="1" applyBorder="1" applyFont="1">
      <alignment horizontal="center"/>
    </xf>
    <xf borderId="19" fillId="5" fontId="13" numFmtId="0" xfId="0" applyAlignment="1" applyBorder="1" applyFill="1" applyFont="1">
      <alignment horizontal="center"/>
    </xf>
    <xf borderId="20" fillId="0" fontId="2" numFmtId="0" xfId="0" applyBorder="1" applyFont="1"/>
    <xf borderId="21" fillId="5" fontId="14" numFmtId="0" xfId="0" applyAlignment="1" applyBorder="1" applyFont="1">
      <alignment horizontal="center"/>
    </xf>
    <xf borderId="22" fillId="5" fontId="14" numFmtId="0" xfId="0" applyAlignment="1" applyBorder="1" applyFont="1">
      <alignment horizontal="center"/>
    </xf>
    <xf borderId="23" fillId="5" fontId="13" numFmtId="0" xfId="0" applyAlignment="1" applyBorder="1" applyFont="1">
      <alignment horizontal="center"/>
    </xf>
    <xf borderId="24" fillId="0" fontId="13" numFmtId="0" xfId="0" applyAlignment="1" applyBorder="1" applyFont="1">
      <alignment horizontal="center" vertical="center"/>
    </xf>
    <xf borderId="25" fillId="3" fontId="0" numFmtId="0" xfId="0" applyAlignment="1" applyBorder="1" applyFont="1">
      <alignment horizontal="center" readingOrder="0" vertical="center"/>
    </xf>
    <xf borderId="24" fillId="0" fontId="13" numFmtId="0" xfId="0" applyAlignment="1" applyBorder="1" applyFont="1">
      <alignment horizontal="center" shrinkToFit="0" wrapText="1"/>
    </xf>
    <xf borderId="25" fillId="3" fontId="0" numFmtId="0" xfId="0" applyAlignment="1" applyBorder="1" applyFont="1">
      <alignment horizontal="center"/>
    </xf>
    <xf borderId="26" fillId="5" fontId="13" numFmtId="0" xfId="0" applyAlignment="1" applyBorder="1" applyFont="1">
      <alignment horizontal="center"/>
    </xf>
    <xf borderId="24" fillId="0" fontId="0" numFmtId="2" xfId="0" applyAlignment="1" applyBorder="1" applyFont="1" applyNumberFormat="1">
      <alignment horizontal="center"/>
    </xf>
    <xf borderId="27" fillId="0" fontId="0" numFmtId="2" xfId="0" applyAlignment="1" applyBorder="1" applyFont="1" applyNumberFormat="1">
      <alignment horizontal="center"/>
    </xf>
    <xf borderId="25" fillId="0" fontId="0" numFmtId="2" xfId="0" applyAlignment="1" applyBorder="1" applyFont="1" applyNumberFormat="1">
      <alignment horizontal="center"/>
    </xf>
    <xf borderId="25" fillId="3" fontId="0" numFmtId="0" xfId="0" applyAlignment="1" applyBorder="1" applyFont="1">
      <alignment horizontal="center" vertical="center"/>
    </xf>
    <xf borderId="28" fillId="5" fontId="13" numFmtId="0" xfId="0" applyAlignment="1" applyBorder="1" applyFont="1">
      <alignment horizontal="center"/>
    </xf>
    <xf borderId="29" fillId="0" fontId="13" numFmtId="0" xfId="0" applyAlignment="1" applyBorder="1" applyFont="1">
      <alignment horizontal="center" shrinkToFit="0" vertical="center" wrapText="1"/>
    </xf>
    <xf borderId="30" fillId="3" fontId="0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shrinkToFit="0" vertical="center" wrapText="1"/>
    </xf>
    <xf borderId="31" fillId="5" fontId="13" numFmtId="0" xfId="0" applyAlignment="1" applyBorder="1" applyFont="1">
      <alignment horizontal="center" vertical="center"/>
    </xf>
    <xf borderId="29" fillId="0" fontId="0" numFmtId="2" xfId="0" applyAlignment="1" applyBorder="1" applyFont="1" applyNumberFormat="1">
      <alignment horizontal="center" vertical="center"/>
    </xf>
    <xf borderId="32" fillId="0" fontId="0" numFmtId="2" xfId="0" applyAlignment="1" applyBorder="1" applyFont="1" applyNumberFormat="1">
      <alignment horizontal="center" vertical="center"/>
    </xf>
    <xf borderId="30" fillId="0" fontId="0" numFmtId="2" xfId="0" applyAlignment="1" applyBorder="1" applyFont="1" applyNumberFormat="1">
      <alignment horizontal="center" vertical="center"/>
    </xf>
    <xf borderId="19" fillId="5" fontId="13" numFmtId="0" xfId="0" applyAlignment="1" applyBorder="1" applyFont="1">
      <alignment horizontal="center" vertical="center"/>
    </xf>
    <xf borderId="0" fillId="0" fontId="0" numFmtId="0" xfId="0" applyAlignment="1" applyFont="1">
      <alignment horizontal="center"/>
    </xf>
    <xf borderId="33" fillId="0" fontId="13" numFmtId="0" xfId="0" applyAlignment="1" applyBorder="1" applyFont="1">
      <alignment horizontal="center" vertical="center"/>
    </xf>
    <xf borderId="34" fillId="3" fontId="0" numFmtId="0" xfId="0" applyAlignment="1" applyBorder="1" applyFont="1">
      <alignment horizontal="center" vertical="center"/>
    </xf>
    <xf borderId="8" fillId="2" fontId="15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30" fillId="3" fontId="0" numFmtId="0" xfId="0" applyAlignment="1" applyBorder="1" applyFont="1">
      <alignment horizontal="center" shrinkToFit="0" vertical="center" wrapText="1"/>
    </xf>
    <xf borderId="30" fillId="6" fontId="0" numFmtId="0" xfId="0" applyAlignment="1" applyBorder="1" applyFill="1" applyFont="1">
      <alignment horizontal="center" vertical="center"/>
    </xf>
    <xf borderId="21" fillId="5" fontId="13" numFmtId="0" xfId="0" applyAlignment="1" applyBorder="1" applyFont="1">
      <alignment horizontal="center"/>
    </xf>
    <xf borderId="26" fillId="5" fontId="13" numFmtId="0" xfId="0" applyAlignment="1" applyBorder="1" applyFont="1">
      <alignment horizontal="center" shrinkToFit="0" vertical="center" wrapText="1"/>
    </xf>
    <xf borderId="24" fillId="3" fontId="0" numFmtId="0" xfId="0" applyAlignment="1" applyBorder="1" applyFont="1">
      <alignment horizontal="center" vertical="center"/>
    </xf>
    <xf borderId="25" fillId="0" fontId="0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/>
    </xf>
    <xf borderId="25" fillId="0" fontId="13" numFmtId="0" xfId="0" applyAlignment="1" applyBorder="1" applyFont="1">
      <alignment horizontal="center"/>
    </xf>
    <xf borderId="28" fillId="5" fontId="13" numFmtId="0" xfId="0" applyAlignment="1" applyBorder="1" applyFont="1">
      <alignment horizontal="center" shrinkToFit="0" vertical="center" wrapText="1"/>
    </xf>
    <xf borderId="30" fillId="0" fontId="13" numFmtId="0" xfId="0" applyAlignment="1" applyBorder="1" applyFont="1">
      <alignment horizontal="center" vertical="center"/>
    </xf>
    <xf borderId="31" fillId="5" fontId="13" numFmtId="0" xfId="0" applyAlignment="1" applyBorder="1" applyFont="1">
      <alignment horizontal="center" shrinkToFit="0" vertical="center" wrapText="1"/>
    </xf>
    <xf borderId="29" fillId="0" fontId="0" numFmtId="0" xfId="0" applyAlignment="1" applyBorder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35" fillId="0" fontId="2" numFmtId="0" xfId="0" applyBorder="1" applyFont="1"/>
    <xf borderId="23" fillId="0" fontId="0" numFmtId="0" xfId="0" applyAlignment="1" applyBorder="1" applyFont="1">
      <alignment horizontal="center" vertical="center"/>
    </xf>
    <xf borderId="21" fillId="5" fontId="13" numFmtId="0" xfId="0" applyAlignment="1" applyBorder="1" applyFont="1">
      <alignment horizontal="center" vertical="center"/>
    </xf>
    <xf borderId="23" fillId="5" fontId="13" numFmtId="0" xfId="0" applyAlignment="1" applyBorder="1" applyFont="1">
      <alignment horizontal="center" vertical="center"/>
    </xf>
    <xf borderId="36" fillId="5" fontId="13" numFmtId="0" xfId="0" applyAlignment="1" applyBorder="1" applyFont="1">
      <alignment horizontal="center"/>
    </xf>
    <xf borderId="37" fillId="0" fontId="2" numFmtId="0" xfId="0" applyBorder="1" applyFont="1"/>
    <xf borderId="30" fillId="0" fontId="0" numFmtId="0" xfId="0" applyAlignment="1" applyBorder="1" applyFont="1">
      <alignment horizontal="center" vertical="center"/>
    </xf>
    <xf borderId="38" fillId="5" fontId="13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 vertical="center"/>
    </xf>
    <xf borderId="8" fillId="2" fontId="16" numFmtId="0" xfId="0" applyAlignment="1" applyBorder="1" applyFont="1">
      <alignment horizontal="center" vertical="center"/>
    </xf>
    <xf borderId="39" fillId="0" fontId="2" numFmtId="0" xfId="0" applyBorder="1" applyFont="1"/>
    <xf borderId="24" fillId="0" fontId="14" numFmtId="0" xfId="0" applyAlignment="1" applyBorder="1" applyFont="1">
      <alignment horizontal="center" vertical="center"/>
    </xf>
    <xf borderId="25" fillId="0" fontId="0" numFmtId="164" xfId="0" applyAlignment="1" applyBorder="1" applyFont="1" applyNumberFormat="1">
      <alignment horizontal="center" vertical="center"/>
    </xf>
    <xf borderId="24" fillId="0" fontId="0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 vertical="center"/>
    </xf>
    <xf borderId="25" fillId="0" fontId="13" numFmtId="0" xfId="0" applyAlignment="1" applyBorder="1" applyFont="1">
      <alignment horizontal="center" vertical="center"/>
    </xf>
    <xf borderId="25" fillId="0" fontId="0" numFmtId="2" xfId="0" applyAlignment="1" applyBorder="1" applyFont="1" applyNumberFormat="1">
      <alignment horizontal="center" vertical="center"/>
    </xf>
    <xf borderId="27" fillId="0" fontId="0" numFmtId="164" xfId="0" applyAlignment="1" applyBorder="1" applyFont="1" applyNumberFormat="1">
      <alignment horizontal="center" vertical="center"/>
    </xf>
    <xf borderId="25" fillId="0" fontId="0" numFmtId="165" xfId="0" applyAlignment="1" applyBorder="1" applyFont="1" applyNumberFormat="1">
      <alignment horizontal="center" vertical="center"/>
    </xf>
    <xf borderId="27" fillId="0" fontId="0" numFmtId="0" xfId="0" applyAlignment="1" applyBorder="1" applyFont="1">
      <alignment horizontal="center" vertical="center"/>
    </xf>
    <xf borderId="25" fillId="0" fontId="0" numFmtId="9" xfId="0" applyAlignment="1" applyBorder="1" applyFont="1" applyNumberFormat="1">
      <alignment horizontal="center" vertical="center"/>
    </xf>
    <xf borderId="25" fillId="0" fontId="0" numFmtId="10" xfId="0" applyAlignment="1" applyBorder="1" applyFont="1" applyNumberFormat="1">
      <alignment horizontal="center" vertical="center"/>
    </xf>
    <xf borderId="24" fillId="0" fontId="17" numFmtId="0" xfId="0" applyAlignment="1" applyBorder="1" applyFont="1">
      <alignment horizontal="center" vertical="center"/>
    </xf>
    <xf borderId="27" fillId="0" fontId="0" numFmtId="166" xfId="0" applyAlignment="1" applyBorder="1" applyFont="1" applyNumberFormat="1">
      <alignment horizontal="center" vertical="center"/>
    </xf>
    <xf borderId="25" fillId="0" fontId="0" numFmtId="166" xfId="0" applyAlignment="1" applyBorder="1" applyFont="1" applyNumberFormat="1">
      <alignment horizontal="center" vertical="center"/>
    </xf>
    <xf borderId="24" fillId="0" fontId="18" numFmtId="0" xfId="0" applyAlignment="1" applyBorder="1" applyFont="1">
      <alignment horizontal="center" vertical="center"/>
    </xf>
    <xf borderId="30" fillId="0" fontId="0" numFmtId="164" xfId="0" applyAlignment="1" applyBorder="1" applyFont="1" applyNumberFormat="1">
      <alignment horizontal="center" vertical="center"/>
    </xf>
    <xf borderId="27" fillId="0" fontId="0" numFmtId="2" xfId="0" applyAlignment="1" applyBorder="1" applyFont="1" applyNumberFormat="1">
      <alignment horizontal="center" vertical="center"/>
    </xf>
    <xf borderId="32" fillId="0" fontId="0" numFmtId="164" xfId="0" applyAlignment="1" applyBorder="1" applyFont="1" applyNumberFormat="1">
      <alignment horizontal="center" vertical="center"/>
    </xf>
    <xf borderId="13" fillId="2" fontId="12" numFmtId="0" xfId="0" applyAlignment="1" applyBorder="1" applyFont="1">
      <alignment horizontal="center" vertical="center"/>
    </xf>
    <xf borderId="40" fillId="0" fontId="2" numFmtId="0" xfId="0" applyBorder="1" applyFont="1"/>
    <xf borderId="41" fillId="0" fontId="0" numFmtId="0" xfId="0" applyBorder="1" applyFont="1"/>
    <xf borderId="42" fillId="0" fontId="0" numFmtId="0" xfId="0" applyBorder="1" applyFont="1"/>
    <xf borderId="43" fillId="0" fontId="13" numFmtId="0" xfId="0" applyAlignment="1" applyBorder="1" applyFont="1">
      <alignment horizontal="center"/>
    </xf>
    <xf borderId="44" fillId="0" fontId="2" numFmtId="0" xfId="0" applyBorder="1" applyFont="1"/>
    <xf borderId="45" fillId="0" fontId="2" numFmtId="0" xfId="0" applyBorder="1" applyFont="1"/>
    <xf borderId="43" fillId="0" fontId="13" numFmtId="0" xfId="0" applyAlignment="1" applyBorder="1" applyFont="1">
      <alignment horizontal="center" vertical="center"/>
    </xf>
    <xf borderId="16" fillId="0" fontId="0" numFmtId="0" xfId="0" applyBorder="1" applyFont="1"/>
    <xf borderId="17" fillId="0" fontId="0" numFmtId="0" xfId="0" applyBorder="1" applyFont="1"/>
    <xf borderId="18" fillId="0" fontId="0" numFmtId="0" xfId="0" applyBorder="1" applyFont="1"/>
    <xf borderId="13" fillId="5" fontId="19" numFmtId="0" xfId="0" applyAlignment="1" applyBorder="1" applyFont="1">
      <alignment horizontal="center" vertical="center"/>
    </xf>
    <xf borderId="41" fillId="0" fontId="2" numFmtId="0" xfId="0" applyBorder="1" applyFont="1"/>
    <xf borderId="42" fillId="0" fontId="2" numFmtId="0" xfId="0" applyBorder="1" applyFont="1"/>
    <xf borderId="13" fillId="0" fontId="0" numFmtId="0" xfId="0" applyBorder="1" applyFont="1"/>
    <xf borderId="14" fillId="0" fontId="0" numFmtId="0" xfId="0" applyBorder="1" applyFont="1"/>
    <xf borderId="15" fillId="0" fontId="0" numFmtId="0" xfId="0" applyBorder="1" applyFont="1"/>
    <xf borderId="46" fillId="5" fontId="19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'DIM.%20LAJE%20TRELI&#199;ADA'!A1" TargetMode="External"/><Relationship Id="rId2" Type="http://schemas.openxmlformats.org/officeDocument/2006/relationships/hyperlink" Target="#'DET.%20LAJE%20TRELI&#199;ADA'!A1" TargetMode="External"/><Relationship Id="rId3" Type="http://schemas.openxmlformats.org/officeDocument/2006/relationships/hyperlink" Target="#TABELAS!A1" TargetMode="External"/><Relationship Id="rId4" Type="http://schemas.openxmlformats.org/officeDocument/2006/relationships/image" Target="../media/image10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3.png"/><Relationship Id="rId4" Type="http://schemas.openxmlformats.org/officeDocument/2006/relationships/image" Target="../media/image13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8</xdr:row>
      <xdr:rowOff>76200</xdr:rowOff>
    </xdr:from>
    <xdr:ext cx="1276350" cy="809625"/>
    <xdr:sp>
      <xdr:nvSpPr>
        <xdr:cNvPr id="3" name="Shape 3">
          <a:hlinkClick r:id="rId1"/>
        </xdr:cNvPr>
        <xdr:cNvSpPr/>
      </xdr:nvSpPr>
      <xdr:spPr>
        <a:xfrm>
          <a:off x="4722113" y="3384713"/>
          <a:ext cx="1247775" cy="7905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Dimensionamento </a:t>
          </a:r>
          <a:r>
            <a:rPr b="1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LAJE</a:t>
          </a:r>
          <a:r>
            <a:rPr b="1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TRELIÇADA</a:t>
          </a:r>
          <a:endParaRPr sz="1400"/>
        </a:p>
      </xdr:txBody>
    </xdr:sp>
    <xdr:clientData fLocksWithSheet="0"/>
  </xdr:oneCellAnchor>
  <xdr:oneCellAnchor>
    <xdr:from>
      <xdr:col>8</xdr:col>
      <xdr:colOff>514350</xdr:colOff>
      <xdr:row>8</xdr:row>
      <xdr:rowOff>76200</xdr:rowOff>
    </xdr:from>
    <xdr:ext cx="1266825" cy="800100"/>
    <xdr:sp>
      <xdr:nvSpPr>
        <xdr:cNvPr id="4" name="Shape 4">
          <a:hlinkClick r:id="rId2"/>
        </xdr:cNvPr>
        <xdr:cNvSpPr/>
      </xdr:nvSpPr>
      <xdr:spPr>
        <a:xfrm>
          <a:off x="4722113" y="3389475"/>
          <a:ext cx="1247775" cy="781050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Ex. Detalhamento </a:t>
          </a:r>
          <a:r>
            <a:rPr b="1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LAJE TRELIÇADA</a:t>
          </a:r>
          <a:endParaRPr sz="10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533400</xdr:colOff>
      <xdr:row>8</xdr:row>
      <xdr:rowOff>76200</xdr:rowOff>
    </xdr:from>
    <xdr:ext cx="1238250" cy="800100"/>
    <xdr:sp>
      <xdr:nvSpPr>
        <xdr:cNvPr id="5" name="Shape 5">
          <a:hlinkClick r:id="rId3"/>
        </xdr:cNvPr>
        <xdr:cNvSpPr/>
      </xdr:nvSpPr>
      <xdr:spPr>
        <a:xfrm>
          <a:off x="4736400" y="3389475"/>
          <a:ext cx="1219200" cy="781050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TABELAS</a:t>
          </a:r>
          <a:endParaRPr sz="1400"/>
        </a:p>
      </xdr:txBody>
    </xdr:sp>
    <xdr:clientData fLocksWithSheet="0"/>
  </xdr:oneCellAnchor>
  <xdr:oneCellAnchor>
    <xdr:from>
      <xdr:col>11</xdr:col>
      <xdr:colOff>400050</xdr:colOff>
      <xdr:row>2</xdr:row>
      <xdr:rowOff>28575</xdr:rowOff>
    </xdr:from>
    <xdr:ext cx="1209675" cy="1295400"/>
    <xdr:pic>
      <xdr:nvPicPr>
        <xdr:cNvPr id="0" name="image1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104775</xdr:rowOff>
    </xdr:from>
    <xdr:ext cx="6943725" cy="23431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18</xdr:row>
      <xdr:rowOff>123825</xdr:rowOff>
    </xdr:from>
    <xdr:ext cx="5829300" cy="60102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209550</xdr:colOff>
      <xdr:row>5</xdr:row>
      <xdr:rowOff>0</xdr:rowOff>
    </xdr:from>
    <xdr:ext cx="5324475" cy="35814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25</xdr:row>
      <xdr:rowOff>152400</xdr:rowOff>
    </xdr:from>
    <xdr:ext cx="6448425" cy="52197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295275</xdr:colOff>
      <xdr:row>52</xdr:row>
      <xdr:rowOff>19050</xdr:rowOff>
    </xdr:from>
    <xdr:ext cx="6410325" cy="401955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257175</xdr:colOff>
      <xdr:row>4</xdr:row>
      <xdr:rowOff>123825</xdr:rowOff>
    </xdr:from>
    <xdr:ext cx="5495925" cy="2371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219075</xdr:colOff>
      <xdr:row>4</xdr:row>
      <xdr:rowOff>123825</xdr:rowOff>
    </xdr:from>
    <xdr:ext cx="5391150" cy="24098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22</xdr:row>
      <xdr:rowOff>133350</xdr:rowOff>
    </xdr:from>
    <xdr:ext cx="5505450" cy="34099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9525</xdr:colOff>
      <xdr:row>3</xdr:row>
      <xdr:rowOff>171450</xdr:rowOff>
    </xdr:from>
    <xdr:ext cx="3600450" cy="28956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23</xdr:row>
      <xdr:rowOff>152400</xdr:rowOff>
    </xdr:from>
    <xdr:ext cx="4562475" cy="28289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95250</xdr:colOff>
      <xdr:row>24</xdr:row>
      <xdr:rowOff>95250</xdr:rowOff>
    </xdr:from>
    <xdr:ext cx="5657850" cy="25336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</xdr:row>
      <xdr:rowOff>142875</xdr:rowOff>
    </xdr:from>
    <xdr:ext cx="5962650" cy="687705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17</xdr:row>
      <xdr:rowOff>57150</xdr:rowOff>
    </xdr:from>
    <xdr:ext cx="5991225" cy="170497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5.0" ySplit="15.0" topLeftCell="P16" activePane="bottomRight" state="frozen"/>
      <selection activeCell="P1" sqref="P1" pane="topRight"/>
      <selection activeCell="A16" sqref="A16" pane="bottomLeft"/>
      <selection activeCell="P16" sqref="P16" pane="bottomRight"/>
    </sheetView>
  </sheetViews>
  <sheetFormatPr customHeight="1" defaultColWidth="14.43" defaultRowHeight="15.0"/>
  <cols>
    <col customWidth="1" min="1" max="3" width="8.71"/>
    <col customWidth="1" min="4" max="4" width="3.29"/>
    <col customWidth="1" min="5" max="10" width="8.71"/>
    <col customWidth="1" min="11" max="11" width="9.14"/>
    <col customWidth="1" min="12" max="26" width="8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5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4"/>
      <c r="T2" s="4"/>
      <c r="U2" s="5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9"/>
      <c r="B4" s="9"/>
      <c r="C4" s="10" t="s">
        <v>0</v>
      </c>
      <c r="D4" s="11"/>
      <c r="E4" s="11"/>
      <c r="F4" s="11"/>
      <c r="G4" s="11"/>
      <c r="H4" s="11"/>
      <c r="I4" s="11"/>
      <c r="J4" s="11"/>
      <c r="K4" s="12"/>
      <c r="L4" s="9"/>
      <c r="M4" s="9"/>
      <c r="N4" s="9"/>
      <c r="O4" s="9"/>
      <c r="P4" s="9"/>
      <c r="Q4" s="9"/>
      <c r="R4" s="9"/>
    </row>
    <row r="5" ht="18.0" customHeight="1">
      <c r="A5" s="9"/>
      <c r="B5" s="9"/>
      <c r="C5" s="13" t="s">
        <v>1</v>
      </c>
      <c r="D5" s="2"/>
      <c r="E5" s="2"/>
      <c r="F5" s="2"/>
      <c r="G5" s="2"/>
      <c r="H5" s="2"/>
      <c r="I5" s="2"/>
      <c r="J5" s="2"/>
      <c r="K5" s="3"/>
      <c r="L5" s="14"/>
      <c r="M5" s="14"/>
      <c r="N5" s="14"/>
      <c r="O5" s="15"/>
      <c r="P5" s="9"/>
      <c r="Q5" s="9"/>
      <c r="R5" s="9"/>
    </row>
    <row r="6">
      <c r="A6" s="9"/>
      <c r="B6" s="9"/>
      <c r="C6" s="6"/>
      <c r="D6" s="7"/>
      <c r="E6" s="7"/>
      <c r="F6" s="7"/>
      <c r="G6" s="7"/>
      <c r="H6" s="7"/>
      <c r="I6" s="7"/>
      <c r="J6" s="7"/>
      <c r="K6" s="8"/>
      <c r="L6" s="14"/>
      <c r="M6" s="14"/>
      <c r="N6" s="14"/>
      <c r="O6" s="9"/>
      <c r="P6" s="9"/>
      <c r="Q6" s="9"/>
      <c r="R6" s="9"/>
    </row>
    <row r="7" ht="15.0" customHeight="1">
      <c r="A7" s="9"/>
      <c r="B7" s="16" t="s">
        <v>2</v>
      </c>
      <c r="C7" s="11"/>
      <c r="D7" s="11"/>
      <c r="E7" s="11"/>
      <c r="F7" s="11"/>
      <c r="G7" s="11"/>
      <c r="H7" s="11"/>
      <c r="I7" s="11"/>
      <c r="J7" s="11"/>
      <c r="K7" s="11"/>
      <c r="L7" s="12"/>
      <c r="M7" s="14"/>
      <c r="N7" s="14"/>
      <c r="O7" s="9"/>
      <c r="P7" s="9"/>
      <c r="Q7" s="9"/>
      <c r="R7" s="9"/>
    </row>
    <row r="8" ht="15.0" customHeight="1">
      <c r="A8" s="9"/>
      <c r="B8" s="9"/>
      <c r="C8" s="17"/>
      <c r="D8" s="17"/>
      <c r="E8" s="17"/>
      <c r="F8" s="17"/>
      <c r="G8" s="17"/>
      <c r="H8" s="17"/>
      <c r="I8" s="17"/>
      <c r="J8" s="17"/>
      <c r="K8" s="17"/>
      <c r="L8" s="17"/>
      <c r="M8" s="14"/>
      <c r="N8" s="14"/>
      <c r="O8" s="9"/>
      <c r="P8" s="9"/>
      <c r="Q8" s="9"/>
      <c r="R8" s="9"/>
    </row>
    <row r="9">
      <c r="A9" s="9"/>
      <c r="B9" s="9"/>
      <c r="C9" s="17"/>
      <c r="D9" s="17"/>
      <c r="E9" s="17"/>
      <c r="F9" s="17"/>
      <c r="G9" s="17"/>
      <c r="H9" s="17"/>
      <c r="I9" s="17"/>
      <c r="J9" s="17"/>
      <c r="K9" s="17"/>
      <c r="L9" s="17"/>
      <c r="M9" s="9"/>
      <c r="N9" s="9"/>
      <c r="O9" s="9"/>
      <c r="P9" s="9"/>
      <c r="Q9" s="9"/>
      <c r="R9" s="9"/>
    </row>
    <row r="10">
      <c r="A10" s="9"/>
      <c r="B10" s="18"/>
      <c r="C10" s="9"/>
      <c r="D10" s="9"/>
      <c r="E10" s="9"/>
      <c r="F10" s="9"/>
      <c r="G10" s="9"/>
      <c r="H10" s="9"/>
      <c r="I10" s="9"/>
      <c r="J10" s="19"/>
      <c r="K10" s="19"/>
      <c r="L10" s="17"/>
      <c r="M10" s="9"/>
      <c r="N10" s="9"/>
      <c r="O10" s="9"/>
      <c r="P10" s="9"/>
      <c r="Q10" s="9"/>
      <c r="R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5"/>
      <c r="T16" s="5"/>
      <c r="U16" s="5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5"/>
      <c r="T17" s="5"/>
      <c r="U17" s="5"/>
    </row>
    <row r="18" ht="15.0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4"/>
      <c r="T18" s="4"/>
      <c r="U18" s="5"/>
    </row>
    <row r="19" ht="15.0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4"/>
      <c r="T19" s="4"/>
      <c r="U19" s="5"/>
    </row>
    <row r="20" ht="15.0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4"/>
      <c r="T20" s="4"/>
      <c r="U20" s="5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5"/>
      <c r="T21" s="5"/>
      <c r="U21" s="5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R2"/>
    <mergeCell ref="C4:K4"/>
    <mergeCell ref="C5:K6"/>
    <mergeCell ref="B7:L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5.0" ySplit="2.0" topLeftCell="P3" activePane="bottomRight" state="frozen"/>
      <selection activeCell="P1" sqref="P1" pane="topRight"/>
      <selection activeCell="A3" sqref="A3" pane="bottomLeft"/>
      <selection activeCell="P3" sqref="P3" pane="bottomRight"/>
    </sheetView>
  </sheetViews>
  <sheetFormatPr customHeight="1" defaultColWidth="14.43" defaultRowHeight="15.0"/>
  <cols>
    <col customWidth="1" min="1" max="1" width="21.57"/>
    <col customWidth="1" min="2" max="2" width="19.29"/>
    <col customWidth="1" min="3" max="3" width="8.71"/>
    <col customWidth="1" min="4" max="4" width="23.29"/>
    <col customWidth="1" min="5" max="5" width="24.71"/>
    <col customWidth="1" min="6" max="6" width="13.57"/>
    <col customWidth="1" min="7" max="7" width="5.57"/>
    <col customWidth="1" min="8" max="8" width="18.57"/>
    <col customWidth="1" min="9" max="9" width="23.57"/>
    <col customWidth="1" min="10" max="10" width="16.86"/>
    <col customWidth="1" min="11" max="11" width="15.86"/>
    <col customWidth="1" min="12" max="12" width="16.43"/>
    <col customWidth="1" min="13" max="13" width="16.57"/>
    <col customWidth="1" min="14" max="14" width="12.86"/>
    <col customWidth="1" min="15" max="15" width="8.71"/>
    <col customWidth="1" min="16" max="16" width="13.57"/>
    <col customWidth="1" min="17" max="26" width="8.71"/>
  </cols>
  <sheetData>
    <row r="1" ht="15.0" customHeight="1">
      <c r="A1" s="2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6.25" customHeight="1">
      <c r="A2" s="22"/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4" ht="15.0" customHeight="1">
      <c r="C4" s="23" t="s">
        <v>4</v>
      </c>
      <c r="D4" s="24"/>
      <c r="E4" s="24"/>
      <c r="F4" s="24"/>
      <c r="G4" s="24"/>
      <c r="H4" s="24"/>
      <c r="I4" s="25"/>
    </row>
    <row r="5" ht="15.75" customHeight="1">
      <c r="C5" s="26"/>
      <c r="D5" s="27"/>
      <c r="E5" s="27"/>
      <c r="F5" s="27"/>
      <c r="G5" s="27"/>
      <c r="H5" s="27"/>
      <c r="I5" s="28"/>
    </row>
    <row r="6" ht="15.75" customHeight="1"/>
    <row r="7">
      <c r="A7" s="29" t="s">
        <v>5</v>
      </c>
      <c r="B7" s="11"/>
      <c r="C7" s="11"/>
      <c r="D7" s="11"/>
      <c r="E7" s="12"/>
      <c r="H7" s="30" t="s">
        <v>6</v>
      </c>
      <c r="I7" s="11"/>
      <c r="J7" s="11"/>
      <c r="K7" s="11"/>
      <c r="L7" s="12"/>
    </row>
    <row r="9">
      <c r="A9" s="31" t="s">
        <v>7</v>
      </c>
      <c r="B9" s="32"/>
      <c r="D9" s="31" t="s">
        <v>8</v>
      </c>
      <c r="E9" s="32"/>
      <c r="I9" s="33" t="s">
        <v>9</v>
      </c>
      <c r="J9" s="34" t="s">
        <v>10</v>
      </c>
      <c r="K9" s="34" t="s">
        <v>11</v>
      </c>
      <c r="L9" s="35" t="s">
        <v>12</v>
      </c>
    </row>
    <row r="10">
      <c r="A10" s="36" t="s">
        <v>13</v>
      </c>
      <c r="B10" s="37">
        <v>4.0</v>
      </c>
      <c r="D10" s="38" t="s">
        <v>14</v>
      </c>
      <c r="E10" s="39">
        <v>25.0</v>
      </c>
      <c r="H10" s="40" t="s">
        <v>15</v>
      </c>
      <c r="I10" s="41">
        <v>8.0</v>
      </c>
      <c r="J10" s="42">
        <v>0.0</v>
      </c>
      <c r="K10" s="42">
        <v>25.6</v>
      </c>
      <c r="L10" s="43">
        <v>0.5</v>
      </c>
    </row>
    <row r="11">
      <c r="A11" s="36" t="s">
        <v>16</v>
      </c>
      <c r="B11" s="44">
        <v>8.0</v>
      </c>
      <c r="D11" s="38" t="s">
        <v>17</v>
      </c>
      <c r="E11" s="44">
        <v>600.0</v>
      </c>
      <c r="H11" s="45" t="s">
        <v>18</v>
      </c>
      <c r="I11" s="41">
        <v>14.2</v>
      </c>
      <c r="J11" s="42">
        <v>8.0</v>
      </c>
      <c r="K11" s="42">
        <v>61.6</v>
      </c>
      <c r="L11" s="43">
        <v>0.65</v>
      </c>
    </row>
    <row r="12">
      <c r="A12" s="36" t="s">
        <v>19</v>
      </c>
      <c r="B12" s="44">
        <v>14.0</v>
      </c>
      <c r="D12" s="46" t="s">
        <v>20</v>
      </c>
      <c r="E12" s="47">
        <v>500.0</v>
      </c>
      <c r="H12" s="45" t="s">
        <v>21</v>
      </c>
      <c r="I12" s="41">
        <v>24.0</v>
      </c>
      <c r="J12" s="42">
        <v>12.0</v>
      </c>
      <c r="K12" s="42">
        <v>128.0</v>
      </c>
      <c r="L12" s="43">
        <v>0.5</v>
      </c>
    </row>
    <row r="13" ht="27.75" customHeight="1">
      <c r="A13" s="48" t="s">
        <v>22</v>
      </c>
      <c r="B13" s="44">
        <v>50.0</v>
      </c>
      <c r="H13" s="49" t="s">
        <v>23</v>
      </c>
      <c r="I13" s="50">
        <v>0.0</v>
      </c>
      <c r="J13" s="51">
        <v>2.0</v>
      </c>
      <c r="K13" s="51">
        <v>2.67</v>
      </c>
      <c r="L13" s="52">
        <v>1.0</v>
      </c>
    </row>
    <row r="14" ht="25.5" customHeight="1">
      <c r="A14" s="48" t="s">
        <v>24</v>
      </c>
      <c r="B14" s="44">
        <v>4.0</v>
      </c>
      <c r="D14" s="53" t="s">
        <v>25</v>
      </c>
      <c r="E14" s="32"/>
      <c r="H14" s="54"/>
    </row>
    <row r="15">
      <c r="A15" s="55" t="s">
        <v>26</v>
      </c>
      <c r="B15" s="56" t="s">
        <v>27</v>
      </c>
      <c r="D15" s="48" t="s">
        <v>28</v>
      </c>
      <c r="E15" s="39">
        <v>2.0</v>
      </c>
      <c r="H15" s="57" t="s">
        <v>29</v>
      </c>
      <c r="I15" s="11"/>
      <c r="J15" s="11"/>
      <c r="K15" s="11"/>
      <c r="L15" s="12"/>
    </row>
    <row r="16">
      <c r="A16" s="58" t="s">
        <v>30</v>
      </c>
      <c r="B16" s="59" t="s">
        <v>15</v>
      </c>
      <c r="D16" s="46" t="s">
        <v>31</v>
      </c>
      <c r="E16" s="60">
        <f>IF(B15="EPS",0.01,1.3)</f>
        <v>0.01</v>
      </c>
      <c r="H16" s="54"/>
    </row>
    <row r="17">
      <c r="H17" s="54"/>
      <c r="J17" s="61" t="s">
        <v>32</v>
      </c>
      <c r="K17" s="35" t="s">
        <v>33</v>
      </c>
    </row>
    <row r="18">
      <c r="A18" s="53" t="s">
        <v>34</v>
      </c>
      <c r="B18" s="32"/>
      <c r="D18" s="31" t="s">
        <v>35</v>
      </c>
      <c r="E18" s="32"/>
      <c r="I18" s="62" t="s">
        <v>36</v>
      </c>
      <c r="J18" s="63">
        <v>5.0</v>
      </c>
      <c r="K18" s="64" t="s">
        <v>37</v>
      </c>
    </row>
    <row r="19">
      <c r="A19" s="48" t="s">
        <v>38</v>
      </c>
      <c r="B19" s="44">
        <v>2.0</v>
      </c>
      <c r="D19" s="65" t="s">
        <v>39</v>
      </c>
      <c r="E19" s="66" t="str">
        <f>IF(L31&lt;L32,"SIM","NÃO")</f>
        <v>NÃO</v>
      </c>
      <c r="I19" s="67" t="s">
        <v>40</v>
      </c>
      <c r="J19" s="63">
        <v>8.0</v>
      </c>
      <c r="K19" s="44">
        <v>6.3</v>
      </c>
    </row>
    <row r="20" ht="21.0" customHeight="1">
      <c r="A20" s="46" t="s">
        <v>41</v>
      </c>
      <c r="B20" s="47">
        <v>0.05</v>
      </c>
      <c r="D20" s="46" t="s">
        <v>42</v>
      </c>
      <c r="E20" s="68" t="str">
        <f>IF(I32&gt;I28,"SIM","NÃO")</f>
        <v>NÃO</v>
      </c>
      <c r="I20" s="69" t="s">
        <v>43</v>
      </c>
      <c r="J20" s="70" t="s">
        <v>37</v>
      </c>
      <c r="K20" s="47">
        <v>0.61</v>
      </c>
    </row>
    <row r="21" ht="21.0" customHeight="1">
      <c r="A21" s="71"/>
      <c r="D21" s="71"/>
      <c r="E21" s="72"/>
    </row>
    <row r="22" ht="16.5" customHeight="1">
      <c r="A22" s="31" t="s">
        <v>44</v>
      </c>
      <c r="B22" s="73"/>
      <c r="C22" s="74">
        <f>ROUNDUP(28/((4*LN(I36/E10)-1)^2),0)</f>
        <v>3</v>
      </c>
      <c r="J22" s="75" t="s">
        <v>45</v>
      </c>
      <c r="K22" s="76" t="s">
        <v>33</v>
      </c>
    </row>
    <row r="23" ht="15.75" customHeight="1">
      <c r="A23" s="77" t="s">
        <v>46</v>
      </c>
      <c r="B23" s="78"/>
      <c r="C23" s="79">
        <f>(B11+B14)/100*(1-B31)</f>
        <v>0.0624</v>
      </c>
      <c r="I23" s="80" t="s">
        <v>47</v>
      </c>
      <c r="J23" s="70">
        <f t="shared" ref="J23:K23" si="1">IF(E35="NÃO NECESSITA",0,ROUNDUP(E35/E36,0))</f>
        <v>22</v>
      </c>
      <c r="K23" s="79">
        <f t="shared" si="1"/>
        <v>0</v>
      </c>
    </row>
    <row r="24" ht="15.75" customHeight="1">
      <c r="D24" s="71"/>
      <c r="E24" s="81"/>
    </row>
    <row r="25" ht="21.75" customHeight="1">
      <c r="A25" s="82" t="s">
        <v>48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ht="15.75" customHeight="1"/>
    <row r="27" ht="15.75" customHeight="1">
      <c r="A27" s="53" t="s">
        <v>49</v>
      </c>
      <c r="B27" s="32"/>
      <c r="D27" s="53" t="s">
        <v>50</v>
      </c>
      <c r="E27" s="83"/>
      <c r="F27" s="32"/>
      <c r="H27" s="53" t="s">
        <v>51</v>
      </c>
      <c r="I27" s="32"/>
      <c r="K27" s="53" t="s">
        <v>52</v>
      </c>
      <c r="L27" s="32"/>
    </row>
    <row r="28" ht="15.75" customHeight="1">
      <c r="A28" s="84" t="s">
        <v>53</v>
      </c>
      <c r="B28" s="85">
        <f>E10/1.4*0.85/100</f>
        <v>0.1517857143</v>
      </c>
      <c r="D28" s="86"/>
      <c r="E28" s="87" t="s">
        <v>54</v>
      </c>
      <c r="F28" s="88" t="s">
        <v>55</v>
      </c>
      <c r="H28" s="36" t="s">
        <v>56</v>
      </c>
      <c r="I28" s="85">
        <f>(B33*B10*B37*B13/100)*1.4</f>
        <v>3.0892064</v>
      </c>
      <c r="K28" s="48" t="s">
        <v>57</v>
      </c>
      <c r="L28" s="89">
        <f>0.85*5600*E10^(0.5)/100</f>
        <v>238</v>
      </c>
    </row>
    <row r="29" ht="27.75" customHeight="1">
      <c r="A29" s="36" t="s">
        <v>58</v>
      </c>
      <c r="B29" s="85">
        <f t="shared" ref="B29:B30" si="2">E11/1.15/100</f>
        <v>5.217391304</v>
      </c>
      <c r="D29" s="48" t="s">
        <v>59</v>
      </c>
      <c r="E29" s="90">
        <f>IF(B34=0,0,$B$33*$B$10^(2)/B34)</f>
        <v>4.413152</v>
      </c>
      <c r="F29" s="85">
        <f>IF(B35=0,0,$B$33*$B$10^(2)/B35)</f>
        <v>0</v>
      </c>
      <c r="H29" s="36" t="s">
        <v>60</v>
      </c>
      <c r="I29" s="91">
        <f>0.0375*E10^(2/3)/100</f>
        <v>0.0032062049</v>
      </c>
      <c r="K29" s="36" t="s">
        <v>61</v>
      </c>
      <c r="L29" s="85">
        <f>(B12*B11*(B11/2)+B13*B14*(B11+B14/2))/(B12*B11+B13*B14)</f>
        <v>7.846153846</v>
      </c>
    </row>
    <row r="30" ht="15.75" customHeight="1">
      <c r="A30" s="36" t="s">
        <v>62</v>
      </c>
      <c r="B30" s="85">
        <f t="shared" si="2"/>
        <v>4.347826087</v>
      </c>
      <c r="D30" s="36" t="s">
        <v>63</v>
      </c>
      <c r="E30" s="92">
        <f t="shared" ref="E30:F30" si="3">$B$11+$B$14-$E$15- MAX(J18,J19)/10/2</f>
        <v>9.6</v>
      </c>
      <c r="F30" s="64">
        <f t="shared" si="3"/>
        <v>9.685</v>
      </c>
      <c r="H30" s="36" t="s">
        <v>64</v>
      </c>
      <c r="I30" s="93">
        <f>1.2+(40*E33/((B11+B14)*B12))</f>
        <v>3.389272749</v>
      </c>
      <c r="K30" s="36" t="s">
        <v>65</v>
      </c>
      <c r="L30" s="89">
        <f>(B11^3*B12/12+B11*B12*(B11/2-L29)^2+B14^3*B13/12+B13*B14*(B11+B14/2-L29)^2)*100/B13</f>
        <v>6897.230769</v>
      </c>
    </row>
    <row r="31" ht="15.75" customHeight="1">
      <c r="A31" s="36" t="s">
        <v>66</v>
      </c>
      <c r="B31" s="94">
        <f>(B13-B12)*(B11)/(B11+B14)/(B13)</f>
        <v>0.48</v>
      </c>
      <c r="D31" s="95" t="s">
        <v>67</v>
      </c>
      <c r="E31" s="96">
        <f>E29*1.4/E30^2/$B$28</f>
        <v>0.4416757516</v>
      </c>
      <c r="F31" s="97">
        <f>F29*1.4/F30^2/$B$28*B13/B12</f>
        <v>0</v>
      </c>
      <c r="H31" s="36" t="s">
        <v>68</v>
      </c>
      <c r="I31" s="93">
        <f>(160-E30)/100</f>
        <v>1.504</v>
      </c>
      <c r="K31" s="36" t="s">
        <v>69</v>
      </c>
      <c r="L31" s="89">
        <f>B33/100*(B10*100)^4/L28/L30/B36</f>
        <v>13.44210168</v>
      </c>
    </row>
    <row r="32" ht="15.75" customHeight="1">
      <c r="A32" s="36" t="s">
        <v>70</v>
      </c>
      <c r="B32" s="85">
        <f>((B11+B14)*2.5*(1-B31)+(B11+B14)*E16*B31)/100</f>
        <v>0.156576</v>
      </c>
      <c r="D32" s="98" t="s">
        <v>71</v>
      </c>
      <c r="E32" s="96">
        <f t="shared" ref="E32:F32" si="4">1-(1-2*E31)^0.5</f>
        <v>0.6584615736</v>
      </c>
      <c r="F32" s="97">
        <f t="shared" si="4"/>
        <v>0</v>
      </c>
      <c r="H32" s="58" t="s">
        <v>72</v>
      </c>
      <c r="I32" s="99">
        <f>I29*I30*I31*B12*(B11+B14)</f>
        <v>2.745711554</v>
      </c>
      <c r="K32" s="58" t="s">
        <v>73</v>
      </c>
      <c r="L32" s="52">
        <f>B10*100/250</f>
        <v>1.6</v>
      </c>
    </row>
    <row r="33" ht="15.75" customHeight="1">
      <c r="A33" s="36" t="s">
        <v>74</v>
      </c>
      <c r="B33" s="85">
        <f>B32+B19+B20</f>
        <v>2.206576</v>
      </c>
      <c r="D33" s="36" t="s">
        <v>75</v>
      </c>
      <c r="E33" s="90">
        <f>E32*B13*E30*B28/B29</f>
        <v>9.194945545</v>
      </c>
      <c r="F33" s="85">
        <f>F32*B13*F30*B28/B29*B12/B13</f>
        <v>0</v>
      </c>
    </row>
    <row r="34" ht="15.75" customHeight="1">
      <c r="A34" s="84" t="s">
        <v>9</v>
      </c>
      <c r="B34" s="89">
        <f>VLOOKUP(B16,H10:L13,2,FALSE)</f>
        <v>8</v>
      </c>
      <c r="D34" s="36" t="s">
        <v>76</v>
      </c>
      <c r="E34" s="100">
        <f>J18^2*PI()/4/100*2</f>
        <v>0.3926990817</v>
      </c>
      <c r="F34" s="64">
        <f>K20</f>
        <v>0.61</v>
      </c>
      <c r="H34" s="53" t="s">
        <v>77</v>
      </c>
      <c r="I34" s="32"/>
    </row>
    <row r="35" ht="15.75" customHeight="1">
      <c r="A35" s="84" t="s">
        <v>78</v>
      </c>
      <c r="B35" s="89">
        <f>VLOOKUP(B16,H10:L13,3,FALSE)</f>
        <v>0</v>
      </c>
      <c r="D35" s="36" t="s">
        <v>79</v>
      </c>
      <c r="E35" s="90">
        <f t="shared" ref="E35:F35" si="5">IF(((E33-E34)*$E$11/$E$12)&lt;0,"NÃO NECESSITA",(E33-E34)*$E$11/$E$12)</f>
        <v>10.56269576</v>
      </c>
      <c r="F35" s="85" t="str">
        <f t="shared" si="5"/>
        <v>NÃO NECESSITA</v>
      </c>
      <c r="H35" s="36" t="s">
        <v>80</v>
      </c>
      <c r="I35" s="85">
        <f>L32/L31</f>
        <v>0.1190290059</v>
      </c>
    </row>
    <row r="36" ht="15.75" customHeight="1">
      <c r="A36" s="84" t="s">
        <v>11</v>
      </c>
      <c r="B36" s="89">
        <f>VLOOKUP(B16,H10:L13,4,FALSE)</f>
        <v>25.6</v>
      </c>
      <c r="D36" s="58" t="s">
        <v>81</v>
      </c>
      <c r="E36" s="101">
        <f t="shared" ref="E36:F36" si="6">J19^2*PI()/4/100</f>
        <v>0.5026548246</v>
      </c>
      <c r="F36" s="99">
        <f t="shared" si="6"/>
        <v>0.3117245311</v>
      </c>
      <c r="H36" s="58" t="s">
        <v>82</v>
      </c>
      <c r="I36" s="79">
        <f>MAX(20,E10/(I35^0.5))</f>
        <v>72.46254873</v>
      </c>
    </row>
    <row r="37" ht="15.75" customHeight="1">
      <c r="A37" s="58" t="s">
        <v>12</v>
      </c>
      <c r="B37" s="52">
        <f>VLOOKUP(B16,H10:L13,5,FALSE)</f>
        <v>0.5</v>
      </c>
      <c r="J37" s="5"/>
    </row>
    <row r="38" ht="27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9:B9"/>
    <mergeCell ref="A18:B18"/>
    <mergeCell ref="D18:E18"/>
    <mergeCell ref="A22:B22"/>
    <mergeCell ref="A23:B23"/>
    <mergeCell ref="A27:B27"/>
    <mergeCell ref="D27:F27"/>
    <mergeCell ref="A25:L25"/>
    <mergeCell ref="H27:I27"/>
    <mergeCell ref="K27:L27"/>
    <mergeCell ref="H34:I34"/>
    <mergeCell ref="A1:L2"/>
    <mergeCell ref="C4:I5"/>
    <mergeCell ref="A7:E7"/>
    <mergeCell ref="H7:L7"/>
    <mergeCell ref="D9:E9"/>
    <mergeCell ref="D14:E14"/>
    <mergeCell ref="H15:L15"/>
  </mergeCells>
  <dataValidations>
    <dataValidation type="list" allowBlank="1" showErrorMessage="1" sqref="J18">
      <formula1>"4,2,5,6,7,8"</formula1>
    </dataValidation>
    <dataValidation type="list" allowBlank="1" showErrorMessage="1" sqref="B15">
      <formula1>"CERÂMICO,EPS"</formula1>
    </dataValidation>
    <dataValidation type="list" allowBlank="1" showErrorMessage="1" sqref="B16">
      <formula1>$H$10:$H$13</formula1>
    </dataValidation>
    <dataValidation type="list" allowBlank="1" showErrorMessage="1" sqref="J19:K19">
      <formula1>"5,6,3,8,10,12,5"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5.0" ySplit="2.0" topLeftCell="Z3" activePane="bottomRight" state="frozen"/>
      <selection activeCell="Z1" sqref="Z1" pane="topRight"/>
      <selection activeCell="A3" sqref="A3" pane="bottomLeft"/>
      <selection activeCell="Z3" sqref="Z3" pane="bottomRight"/>
    </sheetView>
  </sheetViews>
  <sheetFormatPr customHeight="1" defaultColWidth="14.43" defaultRowHeight="15.0"/>
  <cols>
    <col customWidth="1" min="1" max="26" width="8.71"/>
  </cols>
  <sheetData>
    <row r="1">
      <c r="A1" s="102" t="s">
        <v>83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N1" s="102" t="s">
        <v>84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>
      <c r="A2" s="22"/>
      <c r="B2" s="7"/>
      <c r="C2" s="7"/>
      <c r="D2" s="7"/>
      <c r="E2" s="7"/>
      <c r="F2" s="7"/>
      <c r="G2" s="7"/>
      <c r="H2" s="7"/>
      <c r="I2" s="7"/>
      <c r="J2" s="7"/>
      <c r="K2" s="7"/>
      <c r="L2" s="103"/>
      <c r="N2" s="22"/>
      <c r="O2" s="7"/>
      <c r="P2" s="7"/>
      <c r="Q2" s="7"/>
      <c r="R2" s="7"/>
      <c r="S2" s="7"/>
      <c r="T2" s="7"/>
      <c r="U2" s="7"/>
      <c r="V2" s="7"/>
      <c r="W2" s="7"/>
      <c r="X2" s="7"/>
      <c r="Y2" s="103"/>
    </row>
    <row r="3">
      <c r="A3" s="104"/>
      <c r="B3" s="5"/>
      <c r="C3" s="5"/>
      <c r="D3" s="5"/>
      <c r="E3" s="5"/>
      <c r="F3" s="5"/>
      <c r="G3" s="5"/>
      <c r="H3" s="5"/>
      <c r="I3" s="5"/>
      <c r="J3" s="5"/>
      <c r="K3" s="5"/>
      <c r="L3" s="105"/>
      <c r="N3" s="104"/>
      <c r="O3" s="5"/>
      <c r="P3" s="5"/>
      <c r="Q3" s="5"/>
      <c r="R3" s="5"/>
      <c r="S3" s="5"/>
      <c r="T3" s="5"/>
      <c r="U3" s="5"/>
      <c r="V3" s="5"/>
      <c r="W3" s="5"/>
      <c r="X3" s="5"/>
      <c r="Y3" s="105"/>
    </row>
    <row r="4">
      <c r="A4" s="104"/>
      <c r="B4" s="106" t="s">
        <v>85</v>
      </c>
      <c r="C4" s="107"/>
      <c r="D4" s="107"/>
      <c r="E4" s="107"/>
      <c r="F4" s="107"/>
      <c r="G4" s="107"/>
      <c r="H4" s="107"/>
      <c r="I4" s="107"/>
      <c r="J4" s="107"/>
      <c r="K4" s="108"/>
      <c r="L4" s="105"/>
      <c r="N4" s="104"/>
      <c r="O4" s="106" t="s">
        <v>85</v>
      </c>
      <c r="P4" s="107"/>
      <c r="Q4" s="107"/>
      <c r="R4" s="107"/>
      <c r="S4" s="107"/>
      <c r="T4" s="107"/>
      <c r="U4" s="107"/>
      <c r="V4" s="107"/>
      <c r="W4" s="107"/>
      <c r="X4" s="108"/>
      <c r="Y4" s="105"/>
    </row>
    <row r="5">
      <c r="A5" s="104"/>
      <c r="B5" s="5"/>
      <c r="C5" s="5"/>
      <c r="D5" s="5"/>
      <c r="E5" s="5"/>
      <c r="F5" s="5"/>
      <c r="G5" s="5"/>
      <c r="H5" s="5"/>
      <c r="I5" s="5"/>
      <c r="J5" s="5"/>
      <c r="K5" s="5"/>
      <c r="L5" s="105"/>
      <c r="N5" s="104"/>
      <c r="O5" s="5"/>
      <c r="P5" s="5"/>
      <c r="Q5" s="5"/>
      <c r="R5" s="5"/>
      <c r="S5" s="5"/>
      <c r="T5" s="5"/>
      <c r="U5" s="5"/>
      <c r="V5" s="5"/>
      <c r="W5" s="5"/>
      <c r="X5" s="5"/>
      <c r="Y5" s="105"/>
    </row>
    <row r="6">
      <c r="A6" s="104"/>
      <c r="B6" s="5"/>
      <c r="C6" s="5"/>
      <c r="D6" s="5"/>
      <c r="E6" s="5"/>
      <c r="F6" s="5"/>
      <c r="G6" s="5"/>
      <c r="H6" s="5"/>
      <c r="I6" s="5"/>
      <c r="J6" s="5"/>
      <c r="K6" s="5"/>
      <c r="L6" s="105"/>
      <c r="N6" s="104"/>
      <c r="O6" s="5"/>
      <c r="P6" s="5"/>
      <c r="Q6" s="5"/>
      <c r="R6" s="5"/>
      <c r="S6" s="5"/>
      <c r="T6" s="5"/>
      <c r="U6" s="5"/>
      <c r="V6" s="5"/>
      <c r="W6" s="5"/>
      <c r="X6" s="5"/>
      <c r="Y6" s="105"/>
    </row>
    <row r="7">
      <c r="A7" s="104"/>
      <c r="B7" s="5"/>
      <c r="C7" s="5"/>
      <c r="D7" s="5"/>
      <c r="E7" s="5"/>
      <c r="F7" s="5"/>
      <c r="G7" s="5"/>
      <c r="H7" s="5"/>
      <c r="I7" s="5"/>
      <c r="J7" s="5"/>
      <c r="K7" s="5"/>
      <c r="L7" s="105"/>
      <c r="N7" s="104"/>
      <c r="O7" s="5"/>
      <c r="P7" s="5"/>
      <c r="Q7" s="5"/>
      <c r="R7" s="5"/>
      <c r="S7" s="5"/>
      <c r="T7" s="5"/>
      <c r="U7" s="5"/>
      <c r="V7" s="5"/>
      <c r="W7" s="5"/>
      <c r="X7" s="5"/>
      <c r="Y7" s="105"/>
    </row>
    <row r="8">
      <c r="A8" s="104"/>
      <c r="B8" s="5"/>
      <c r="C8" s="5"/>
      <c r="D8" s="5"/>
      <c r="E8" s="5"/>
      <c r="F8" s="5"/>
      <c r="G8" s="5"/>
      <c r="H8" s="5"/>
      <c r="I8" s="5"/>
      <c r="J8" s="5"/>
      <c r="K8" s="5"/>
      <c r="L8" s="105"/>
      <c r="N8" s="104"/>
      <c r="O8" s="5"/>
      <c r="P8" s="5"/>
      <c r="Q8" s="5"/>
      <c r="R8" s="5"/>
      <c r="S8" s="5"/>
      <c r="T8" s="5"/>
      <c r="U8" s="5"/>
      <c r="V8" s="5"/>
      <c r="W8" s="5"/>
      <c r="X8" s="5"/>
      <c r="Y8" s="105"/>
    </row>
    <row r="9">
      <c r="A9" s="104"/>
      <c r="B9" s="5"/>
      <c r="C9" s="5"/>
      <c r="D9" s="5"/>
      <c r="E9" s="5"/>
      <c r="F9" s="5"/>
      <c r="G9" s="5"/>
      <c r="H9" s="5"/>
      <c r="I9" s="5"/>
      <c r="J9" s="5"/>
      <c r="K9" s="5"/>
      <c r="L9" s="105"/>
      <c r="N9" s="104"/>
      <c r="O9" s="5"/>
      <c r="P9" s="5"/>
      <c r="Q9" s="5"/>
      <c r="R9" s="5"/>
      <c r="S9" s="5"/>
      <c r="T9" s="5"/>
      <c r="U9" s="5"/>
      <c r="V9" s="5"/>
      <c r="W9" s="5"/>
      <c r="X9" s="5"/>
      <c r="Y9" s="105"/>
    </row>
    <row r="10">
      <c r="A10" s="104"/>
      <c r="B10" s="5"/>
      <c r="C10" s="5"/>
      <c r="D10" s="5"/>
      <c r="E10" s="5"/>
      <c r="F10" s="5"/>
      <c r="G10" s="5"/>
      <c r="H10" s="5"/>
      <c r="I10" s="5"/>
      <c r="J10" s="5"/>
      <c r="K10" s="5"/>
      <c r="L10" s="105"/>
      <c r="N10" s="104"/>
      <c r="O10" s="5"/>
      <c r="P10" s="5"/>
      <c r="Q10" s="5"/>
      <c r="R10" s="5"/>
      <c r="S10" s="5"/>
      <c r="T10" s="5"/>
      <c r="U10" s="5"/>
      <c r="V10" s="5"/>
      <c r="W10" s="5"/>
      <c r="X10" s="5"/>
      <c r="Y10" s="105"/>
    </row>
    <row r="11">
      <c r="A11" s="104"/>
      <c r="B11" s="5"/>
      <c r="C11" s="5"/>
      <c r="D11" s="5"/>
      <c r="E11" s="5"/>
      <c r="F11" s="5"/>
      <c r="G11" s="5"/>
      <c r="H11" s="5"/>
      <c r="I11" s="5"/>
      <c r="J11" s="5"/>
      <c r="K11" s="5"/>
      <c r="L11" s="105"/>
      <c r="N11" s="104"/>
      <c r="O11" s="5"/>
      <c r="P11" s="5"/>
      <c r="Q11" s="5"/>
      <c r="R11" s="5"/>
      <c r="S11" s="5"/>
      <c r="T11" s="5"/>
      <c r="U11" s="5"/>
      <c r="V11" s="5"/>
      <c r="W11" s="5"/>
      <c r="X11" s="5"/>
      <c r="Y11" s="105"/>
    </row>
    <row r="12">
      <c r="A12" s="104"/>
      <c r="B12" s="5"/>
      <c r="C12" s="5"/>
      <c r="D12" s="5"/>
      <c r="E12" s="5"/>
      <c r="F12" s="5"/>
      <c r="G12" s="5"/>
      <c r="H12" s="5"/>
      <c r="I12" s="5"/>
      <c r="J12" s="5"/>
      <c r="K12" s="5"/>
      <c r="L12" s="105"/>
      <c r="N12" s="104"/>
      <c r="O12" s="5"/>
      <c r="P12" s="5"/>
      <c r="Q12" s="5"/>
      <c r="R12" s="5"/>
      <c r="S12" s="5"/>
      <c r="T12" s="5"/>
      <c r="U12" s="5"/>
      <c r="V12" s="5"/>
      <c r="W12" s="5"/>
      <c r="X12" s="5"/>
      <c r="Y12" s="105"/>
    </row>
    <row r="13">
      <c r="A13" s="104"/>
      <c r="B13" s="5"/>
      <c r="C13" s="5"/>
      <c r="D13" s="5"/>
      <c r="E13" s="5"/>
      <c r="F13" s="5"/>
      <c r="G13" s="5"/>
      <c r="H13" s="5"/>
      <c r="I13" s="5"/>
      <c r="J13" s="5"/>
      <c r="K13" s="5"/>
      <c r="L13" s="105"/>
      <c r="N13" s="104"/>
      <c r="O13" s="5"/>
      <c r="P13" s="5"/>
      <c r="Q13" s="5"/>
      <c r="R13" s="5"/>
      <c r="S13" s="5"/>
      <c r="T13" s="5"/>
      <c r="U13" s="5"/>
      <c r="V13" s="5"/>
      <c r="W13" s="5"/>
      <c r="X13" s="5"/>
      <c r="Y13" s="105"/>
    </row>
    <row r="14">
      <c r="A14" s="104"/>
      <c r="B14" s="5"/>
      <c r="C14" s="5"/>
      <c r="D14" s="5"/>
      <c r="E14" s="5"/>
      <c r="F14" s="5"/>
      <c r="G14" s="5"/>
      <c r="H14" s="5"/>
      <c r="I14" s="5"/>
      <c r="J14" s="5"/>
      <c r="K14" s="5"/>
      <c r="L14" s="105"/>
      <c r="N14" s="104"/>
      <c r="O14" s="5"/>
      <c r="P14" s="5"/>
      <c r="Q14" s="5"/>
      <c r="R14" s="5"/>
      <c r="S14" s="5"/>
      <c r="T14" s="5"/>
      <c r="U14" s="5"/>
      <c r="V14" s="5"/>
      <c r="W14" s="5"/>
      <c r="X14" s="5"/>
      <c r="Y14" s="105"/>
    </row>
    <row r="15">
      <c r="A15" s="104"/>
      <c r="B15" s="5"/>
      <c r="C15" s="5"/>
      <c r="D15" s="5"/>
      <c r="E15" s="5"/>
      <c r="F15" s="5"/>
      <c r="G15" s="5"/>
      <c r="H15" s="5"/>
      <c r="I15" s="5"/>
      <c r="J15" s="5"/>
      <c r="K15" s="5"/>
      <c r="L15" s="105"/>
      <c r="N15" s="104"/>
      <c r="O15" s="5"/>
      <c r="P15" s="5"/>
      <c r="Q15" s="5"/>
      <c r="R15" s="5"/>
      <c r="S15" s="5"/>
      <c r="T15" s="5"/>
      <c r="U15" s="5"/>
      <c r="V15" s="5"/>
      <c r="W15" s="5"/>
      <c r="X15" s="5"/>
      <c r="Y15" s="105"/>
    </row>
    <row r="16">
      <c r="A16" s="104"/>
      <c r="B16" s="5"/>
      <c r="C16" s="5"/>
      <c r="D16" s="5"/>
      <c r="E16" s="5"/>
      <c r="F16" s="5"/>
      <c r="G16" s="5"/>
      <c r="H16" s="5"/>
      <c r="I16" s="5"/>
      <c r="J16" s="5"/>
      <c r="K16" s="5"/>
      <c r="L16" s="105"/>
      <c r="N16" s="104"/>
      <c r="O16" s="5"/>
      <c r="P16" s="5"/>
      <c r="Q16" s="5"/>
      <c r="R16" s="5"/>
      <c r="S16" s="5"/>
      <c r="T16" s="5"/>
      <c r="U16" s="5"/>
      <c r="V16" s="5"/>
      <c r="W16" s="5"/>
      <c r="X16" s="5"/>
      <c r="Y16" s="105"/>
    </row>
    <row r="17">
      <c r="A17" s="104"/>
      <c r="B17" s="5"/>
      <c r="C17" s="5"/>
      <c r="D17" s="5"/>
      <c r="E17" s="5"/>
      <c r="F17" s="5"/>
      <c r="G17" s="5"/>
      <c r="H17" s="5"/>
      <c r="I17" s="5"/>
      <c r="J17" s="5"/>
      <c r="K17" s="5"/>
      <c r="L17" s="105"/>
      <c r="N17" s="104"/>
      <c r="O17" s="5"/>
      <c r="P17" s="5"/>
      <c r="Q17" s="5"/>
      <c r="R17" s="5"/>
      <c r="S17" s="5"/>
      <c r="T17" s="5"/>
      <c r="U17" s="5"/>
      <c r="V17" s="5"/>
      <c r="W17" s="5"/>
      <c r="X17" s="5"/>
      <c r="Y17" s="105"/>
    </row>
    <row r="18">
      <c r="A18" s="104"/>
      <c r="B18" s="109" t="s">
        <v>86</v>
      </c>
      <c r="C18" s="107"/>
      <c r="D18" s="107"/>
      <c r="E18" s="107"/>
      <c r="F18" s="107"/>
      <c r="G18" s="107"/>
      <c r="H18" s="107"/>
      <c r="I18" s="107"/>
      <c r="J18" s="107"/>
      <c r="K18" s="108"/>
      <c r="L18" s="105"/>
      <c r="N18" s="104"/>
      <c r="O18" s="5"/>
      <c r="P18" s="5"/>
      <c r="Q18" s="5"/>
      <c r="R18" s="5"/>
      <c r="S18" s="5"/>
      <c r="T18" s="5"/>
      <c r="U18" s="5"/>
      <c r="V18" s="5"/>
      <c r="W18" s="5"/>
      <c r="X18" s="5"/>
      <c r="Y18" s="105"/>
    </row>
    <row r="19">
      <c r="A19" s="104"/>
      <c r="B19" s="5"/>
      <c r="C19" s="5"/>
      <c r="D19" s="5"/>
      <c r="E19" s="5"/>
      <c r="F19" s="5"/>
      <c r="G19" s="5"/>
      <c r="H19" s="5"/>
      <c r="I19" s="5"/>
      <c r="J19" s="5"/>
      <c r="K19" s="5"/>
      <c r="L19" s="105"/>
      <c r="N19" s="104"/>
      <c r="O19" s="5"/>
      <c r="P19" s="5"/>
      <c r="Q19" s="5"/>
      <c r="R19" s="5"/>
      <c r="S19" s="5"/>
      <c r="T19" s="5"/>
      <c r="U19" s="5"/>
      <c r="V19" s="5"/>
      <c r="W19" s="5"/>
      <c r="X19" s="5"/>
      <c r="Y19" s="105"/>
    </row>
    <row r="20">
      <c r="A20" s="104"/>
      <c r="B20" s="5"/>
      <c r="C20" s="5"/>
      <c r="D20" s="5"/>
      <c r="E20" s="5"/>
      <c r="F20" s="5"/>
      <c r="G20" s="5"/>
      <c r="H20" s="5"/>
      <c r="I20" s="5"/>
      <c r="J20" s="5"/>
      <c r="K20" s="5"/>
      <c r="L20" s="105"/>
      <c r="N20" s="104"/>
      <c r="O20" s="5"/>
      <c r="P20" s="5"/>
      <c r="Q20" s="5"/>
      <c r="R20" s="5"/>
      <c r="S20" s="5"/>
      <c r="T20" s="5"/>
      <c r="U20" s="5"/>
      <c r="V20" s="5"/>
      <c r="W20" s="5"/>
      <c r="X20" s="5"/>
      <c r="Y20" s="105"/>
    </row>
    <row r="21" ht="15.75" customHeight="1">
      <c r="A21" s="104"/>
      <c r="B21" s="5"/>
      <c r="C21" s="5"/>
      <c r="D21" s="5"/>
      <c r="E21" s="5"/>
      <c r="F21" s="5"/>
      <c r="G21" s="5"/>
      <c r="H21" s="5"/>
      <c r="I21" s="5"/>
      <c r="J21" s="5"/>
      <c r="K21" s="5"/>
      <c r="L21" s="105"/>
      <c r="N21" s="104"/>
      <c r="O21" s="5"/>
      <c r="P21" s="5"/>
      <c r="Q21" s="5"/>
      <c r="R21" s="5"/>
      <c r="S21" s="5"/>
      <c r="T21" s="5"/>
      <c r="U21" s="5"/>
      <c r="V21" s="5"/>
      <c r="W21" s="5"/>
      <c r="X21" s="5"/>
      <c r="Y21" s="105"/>
    </row>
    <row r="22" ht="15.75" customHeight="1">
      <c r="A22" s="104"/>
      <c r="B22" s="5"/>
      <c r="C22" s="5"/>
      <c r="D22" s="5"/>
      <c r="E22" s="5"/>
      <c r="F22" s="5"/>
      <c r="G22" s="5"/>
      <c r="H22" s="5"/>
      <c r="I22" s="5"/>
      <c r="J22" s="5"/>
      <c r="K22" s="5"/>
      <c r="L22" s="105"/>
      <c r="N22" s="104"/>
      <c r="O22" s="5"/>
      <c r="P22" s="5"/>
      <c r="Q22" s="5"/>
      <c r="R22" s="5"/>
      <c r="S22" s="5"/>
      <c r="T22" s="5"/>
      <c r="U22" s="5"/>
      <c r="V22" s="5"/>
      <c r="W22" s="5"/>
      <c r="X22" s="5"/>
      <c r="Y22" s="105"/>
    </row>
    <row r="23" ht="15.75" customHeight="1">
      <c r="A23" s="104"/>
      <c r="B23" s="5"/>
      <c r="C23" s="5"/>
      <c r="D23" s="5"/>
      <c r="E23" s="5"/>
      <c r="F23" s="5"/>
      <c r="G23" s="5"/>
      <c r="H23" s="5"/>
      <c r="I23" s="5"/>
      <c r="J23" s="5"/>
      <c r="K23" s="5"/>
      <c r="L23" s="105"/>
      <c r="N23" s="104"/>
      <c r="O23" s="5"/>
      <c r="P23" s="5"/>
      <c r="Q23" s="5"/>
      <c r="R23" s="5"/>
      <c r="S23" s="5"/>
      <c r="T23" s="5"/>
      <c r="U23" s="5"/>
      <c r="V23" s="5"/>
      <c r="W23" s="5"/>
      <c r="X23" s="5"/>
      <c r="Y23" s="105"/>
    </row>
    <row r="24" ht="15.75" customHeight="1">
      <c r="A24" s="104"/>
      <c r="B24" s="5"/>
      <c r="C24" s="5"/>
      <c r="D24" s="5"/>
      <c r="E24" s="5"/>
      <c r="F24" s="5"/>
      <c r="G24" s="5"/>
      <c r="H24" s="5"/>
      <c r="I24" s="5"/>
      <c r="J24" s="5"/>
      <c r="K24" s="5"/>
      <c r="L24" s="105"/>
      <c r="N24" s="104"/>
      <c r="O24" s="5"/>
      <c r="P24" s="5"/>
      <c r="Q24" s="5"/>
      <c r="R24" s="5"/>
      <c r="S24" s="5"/>
      <c r="T24" s="5"/>
      <c r="U24" s="5"/>
      <c r="V24" s="5"/>
      <c r="W24" s="5"/>
      <c r="X24" s="5"/>
      <c r="Y24" s="105"/>
    </row>
    <row r="25" ht="15.75" customHeight="1">
      <c r="A25" s="104"/>
      <c r="B25" s="5"/>
      <c r="C25" s="5"/>
      <c r="D25" s="5"/>
      <c r="E25" s="5"/>
      <c r="F25" s="5"/>
      <c r="G25" s="5"/>
      <c r="H25" s="5"/>
      <c r="I25" s="5"/>
      <c r="J25" s="5"/>
      <c r="K25" s="5"/>
      <c r="L25" s="105"/>
      <c r="N25" s="104"/>
      <c r="O25" s="109" t="s">
        <v>86</v>
      </c>
      <c r="P25" s="107"/>
      <c r="Q25" s="107"/>
      <c r="R25" s="107"/>
      <c r="S25" s="107"/>
      <c r="T25" s="107"/>
      <c r="U25" s="107"/>
      <c r="V25" s="107"/>
      <c r="W25" s="107"/>
      <c r="X25" s="108"/>
      <c r="Y25" s="105"/>
    </row>
    <row r="26" ht="15.75" customHeight="1">
      <c r="A26" s="104"/>
      <c r="B26" s="5"/>
      <c r="C26" s="5"/>
      <c r="D26" s="5"/>
      <c r="E26" s="5"/>
      <c r="F26" s="5"/>
      <c r="G26" s="5"/>
      <c r="H26" s="5"/>
      <c r="I26" s="5"/>
      <c r="J26" s="5"/>
      <c r="K26" s="5"/>
      <c r="L26" s="105"/>
      <c r="N26" s="104"/>
      <c r="O26" s="5"/>
      <c r="P26" s="5"/>
      <c r="Q26" s="5"/>
      <c r="R26" s="5"/>
      <c r="S26" s="5"/>
      <c r="T26" s="5"/>
      <c r="U26" s="5"/>
      <c r="V26" s="5"/>
      <c r="W26" s="5"/>
      <c r="X26" s="5"/>
      <c r="Y26" s="105"/>
    </row>
    <row r="27" ht="15.75" customHeight="1">
      <c r="A27" s="104"/>
      <c r="B27" s="5"/>
      <c r="C27" s="5"/>
      <c r="D27" s="5"/>
      <c r="E27" s="5"/>
      <c r="F27" s="5"/>
      <c r="G27" s="5"/>
      <c r="H27" s="5"/>
      <c r="I27" s="5"/>
      <c r="J27" s="5"/>
      <c r="K27" s="5"/>
      <c r="L27" s="105"/>
      <c r="N27" s="104"/>
      <c r="O27" s="5"/>
      <c r="P27" s="5"/>
      <c r="Q27" s="5"/>
      <c r="R27" s="5"/>
      <c r="S27" s="5"/>
      <c r="T27" s="5"/>
      <c r="U27" s="5"/>
      <c r="V27" s="5"/>
      <c r="W27" s="5"/>
      <c r="X27" s="5"/>
      <c r="Y27" s="105"/>
    </row>
    <row r="28" ht="15.75" customHeight="1">
      <c r="A28" s="104"/>
      <c r="B28" s="5"/>
      <c r="C28" s="5"/>
      <c r="D28" s="5"/>
      <c r="E28" s="5"/>
      <c r="F28" s="5"/>
      <c r="G28" s="5"/>
      <c r="H28" s="5"/>
      <c r="I28" s="5"/>
      <c r="J28" s="5"/>
      <c r="K28" s="5"/>
      <c r="L28" s="105"/>
      <c r="N28" s="104"/>
      <c r="O28" s="5"/>
      <c r="P28" s="5"/>
      <c r="Q28" s="5"/>
      <c r="R28" s="5"/>
      <c r="S28" s="5"/>
      <c r="T28" s="5"/>
      <c r="U28" s="5"/>
      <c r="V28" s="5"/>
      <c r="W28" s="5"/>
      <c r="X28" s="5"/>
      <c r="Y28" s="105"/>
    </row>
    <row r="29" ht="15.75" customHeight="1">
      <c r="A29" s="104"/>
      <c r="B29" s="5"/>
      <c r="C29" s="5"/>
      <c r="D29" s="5"/>
      <c r="E29" s="5"/>
      <c r="F29" s="5"/>
      <c r="G29" s="5"/>
      <c r="H29" s="5"/>
      <c r="I29" s="5"/>
      <c r="J29" s="5"/>
      <c r="K29" s="5"/>
      <c r="L29" s="105"/>
      <c r="N29" s="104"/>
      <c r="O29" s="5"/>
      <c r="P29" s="5"/>
      <c r="Q29" s="5"/>
      <c r="R29" s="5"/>
      <c r="S29" s="5"/>
      <c r="T29" s="5"/>
      <c r="U29" s="5"/>
      <c r="V29" s="5"/>
      <c r="W29" s="5"/>
      <c r="X29" s="5"/>
      <c r="Y29" s="105"/>
    </row>
    <row r="30" ht="15.75" customHeight="1">
      <c r="A30" s="104"/>
      <c r="B30" s="5"/>
      <c r="C30" s="5"/>
      <c r="D30" s="5"/>
      <c r="E30" s="5"/>
      <c r="F30" s="5"/>
      <c r="G30" s="5"/>
      <c r="H30" s="5"/>
      <c r="I30" s="5"/>
      <c r="J30" s="5"/>
      <c r="K30" s="5"/>
      <c r="L30" s="105"/>
      <c r="N30" s="104"/>
      <c r="O30" s="5"/>
      <c r="P30" s="5"/>
      <c r="Q30" s="5"/>
      <c r="R30" s="5"/>
      <c r="S30" s="5"/>
      <c r="T30" s="5"/>
      <c r="U30" s="5"/>
      <c r="V30" s="5"/>
      <c r="W30" s="5"/>
      <c r="X30" s="5"/>
      <c r="Y30" s="105"/>
    </row>
    <row r="31" ht="15.75" customHeight="1">
      <c r="A31" s="104"/>
      <c r="B31" s="5"/>
      <c r="C31" s="5"/>
      <c r="D31" s="5"/>
      <c r="E31" s="5"/>
      <c r="F31" s="5"/>
      <c r="G31" s="5"/>
      <c r="H31" s="5"/>
      <c r="I31" s="5"/>
      <c r="J31" s="5"/>
      <c r="K31" s="5"/>
      <c r="L31" s="105"/>
      <c r="N31" s="104"/>
      <c r="O31" s="5"/>
      <c r="P31" s="5"/>
      <c r="Q31" s="5"/>
      <c r="R31" s="5"/>
      <c r="S31" s="5"/>
      <c r="T31" s="5"/>
      <c r="U31" s="5"/>
      <c r="V31" s="5"/>
      <c r="W31" s="5"/>
      <c r="X31" s="5"/>
      <c r="Y31" s="105"/>
    </row>
    <row r="32" ht="15.75" customHeight="1">
      <c r="A32" s="104"/>
      <c r="B32" s="5"/>
      <c r="C32" s="5"/>
      <c r="D32" s="5"/>
      <c r="E32" s="5"/>
      <c r="F32" s="5"/>
      <c r="G32" s="5"/>
      <c r="H32" s="5"/>
      <c r="I32" s="5"/>
      <c r="J32" s="5"/>
      <c r="K32" s="5"/>
      <c r="L32" s="105"/>
      <c r="N32" s="104"/>
      <c r="O32" s="5"/>
      <c r="P32" s="5"/>
      <c r="Q32" s="5"/>
      <c r="R32" s="5"/>
      <c r="S32" s="5"/>
      <c r="T32" s="5"/>
      <c r="U32" s="5"/>
      <c r="V32" s="5"/>
      <c r="W32" s="5"/>
      <c r="X32" s="5"/>
      <c r="Y32" s="105"/>
    </row>
    <row r="33" ht="15.75" customHeight="1">
      <c r="A33" s="104"/>
      <c r="B33" s="5"/>
      <c r="C33" s="5"/>
      <c r="D33" s="5"/>
      <c r="E33" s="5"/>
      <c r="F33" s="5"/>
      <c r="G33" s="5"/>
      <c r="H33" s="5"/>
      <c r="I33" s="5"/>
      <c r="J33" s="5"/>
      <c r="K33" s="5"/>
      <c r="L33" s="105"/>
      <c r="N33" s="104"/>
      <c r="O33" s="5"/>
      <c r="P33" s="5"/>
      <c r="Q33" s="5"/>
      <c r="R33" s="5"/>
      <c r="S33" s="5"/>
      <c r="T33" s="5"/>
      <c r="U33" s="5"/>
      <c r="V33" s="5"/>
      <c r="W33" s="5"/>
      <c r="X33" s="5"/>
      <c r="Y33" s="105"/>
    </row>
    <row r="34" ht="15.75" customHeight="1">
      <c r="A34" s="104"/>
      <c r="B34" s="5"/>
      <c r="C34" s="5"/>
      <c r="D34" s="5"/>
      <c r="E34" s="5"/>
      <c r="F34" s="5"/>
      <c r="G34" s="5"/>
      <c r="H34" s="5"/>
      <c r="I34" s="5"/>
      <c r="J34" s="5"/>
      <c r="K34" s="5"/>
      <c r="L34" s="105"/>
      <c r="N34" s="104"/>
      <c r="O34" s="5"/>
      <c r="P34" s="5"/>
      <c r="Q34" s="5"/>
      <c r="R34" s="5"/>
      <c r="S34" s="5"/>
      <c r="T34" s="5"/>
      <c r="U34" s="5"/>
      <c r="V34" s="5"/>
      <c r="W34" s="5"/>
      <c r="X34" s="5"/>
      <c r="Y34" s="105"/>
    </row>
    <row r="35" ht="15.75" customHeight="1">
      <c r="A35" s="104"/>
      <c r="B35" s="5"/>
      <c r="C35" s="5"/>
      <c r="D35" s="5"/>
      <c r="E35" s="5"/>
      <c r="F35" s="5"/>
      <c r="G35" s="5"/>
      <c r="H35" s="5"/>
      <c r="I35" s="5"/>
      <c r="J35" s="5"/>
      <c r="K35" s="5"/>
      <c r="L35" s="105"/>
      <c r="N35" s="104"/>
      <c r="O35" s="5"/>
      <c r="P35" s="5"/>
      <c r="Q35" s="5"/>
      <c r="R35" s="5"/>
      <c r="S35" s="5"/>
      <c r="T35" s="5"/>
      <c r="U35" s="5"/>
      <c r="V35" s="5"/>
      <c r="W35" s="5"/>
      <c r="X35" s="5"/>
      <c r="Y35" s="105"/>
    </row>
    <row r="36" ht="15.75" customHeight="1">
      <c r="A36" s="104"/>
      <c r="B36" s="5"/>
      <c r="C36" s="5"/>
      <c r="D36" s="5"/>
      <c r="E36" s="5"/>
      <c r="F36" s="5"/>
      <c r="G36" s="5"/>
      <c r="H36" s="5"/>
      <c r="I36" s="5"/>
      <c r="J36" s="5"/>
      <c r="K36" s="5"/>
      <c r="L36" s="105"/>
      <c r="N36" s="104"/>
      <c r="O36" s="5"/>
      <c r="P36" s="5"/>
      <c r="Q36" s="5"/>
      <c r="R36" s="5"/>
      <c r="S36" s="5"/>
      <c r="T36" s="5"/>
      <c r="U36" s="5"/>
      <c r="V36" s="5"/>
      <c r="W36" s="5"/>
      <c r="X36" s="5"/>
      <c r="Y36" s="105"/>
    </row>
    <row r="37" ht="15.75" customHeight="1">
      <c r="A37" s="104"/>
      <c r="B37" s="5"/>
      <c r="C37" s="5"/>
      <c r="D37" s="5"/>
      <c r="E37" s="5"/>
      <c r="F37" s="5"/>
      <c r="G37" s="5"/>
      <c r="H37" s="5"/>
      <c r="I37" s="5"/>
      <c r="J37" s="5"/>
      <c r="K37" s="5"/>
      <c r="L37" s="105"/>
      <c r="N37" s="104"/>
      <c r="O37" s="5"/>
      <c r="P37" s="5"/>
      <c r="Q37" s="5"/>
      <c r="R37" s="5"/>
      <c r="S37" s="5"/>
      <c r="T37" s="5"/>
      <c r="U37" s="5"/>
      <c r="V37" s="5"/>
      <c r="W37" s="5"/>
      <c r="X37" s="5"/>
      <c r="Y37" s="105"/>
    </row>
    <row r="38" ht="15.75" customHeight="1">
      <c r="A38" s="104"/>
      <c r="B38" s="5"/>
      <c r="C38" s="5"/>
      <c r="D38" s="5"/>
      <c r="E38" s="5"/>
      <c r="F38" s="5"/>
      <c r="G38" s="5"/>
      <c r="H38" s="5"/>
      <c r="I38" s="5"/>
      <c r="J38" s="5"/>
      <c r="K38" s="5"/>
      <c r="L38" s="105"/>
      <c r="N38" s="104"/>
      <c r="O38" s="5"/>
      <c r="P38" s="5"/>
      <c r="Q38" s="5"/>
      <c r="R38" s="5"/>
      <c r="S38" s="5"/>
      <c r="T38" s="5"/>
      <c r="U38" s="5"/>
      <c r="V38" s="5"/>
      <c r="W38" s="5"/>
      <c r="X38" s="5"/>
      <c r="Y38" s="105"/>
    </row>
    <row r="39" ht="15.75" customHeight="1">
      <c r="A39" s="104"/>
      <c r="B39" s="5"/>
      <c r="C39" s="5"/>
      <c r="D39" s="5"/>
      <c r="E39" s="5"/>
      <c r="F39" s="5"/>
      <c r="G39" s="5"/>
      <c r="H39" s="5"/>
      <c r="I39" s="5"/>
      <c r="J39" s="5"/>
      <c r="K39" s="5"/>
      <c r="L39" s="105"/>
      <c r="N39" s="104"/>
      <c r="O39" s="5"/>
      <c r="P39" s="5"/>
      <c r="Q39" s="5"/>
      <c r="R39" s="5"/>
      <c r="S39" s="5"/>
      <c r="T39" s="5"/>
      <c r="U39" s="5"/>
      <c r="V39" s="5"/>
      <c r="W39" s="5"/>
      <c r="X39" s="5"/>
      <c r="Y39" s="105"/>
    </row>
    <row r="40" ht="15.75" customHeight="1">
      <c r="A40" s="104"/>
      <c r="B40" s="5"/>
      <c r="C40" s="5"/>
      <c r="D40" s="5"/>
      <c r="E40" s="5"/>
      <c r="F40" s="5"/>
      <c r="G40" s="5"/>
      <c r="H40" s="5"/>
      <c r="I40" s="5"/>
      <c r="J40" s="5"/>
      <c r="K40" s="5"/>
      <c r="L40" s="105"/>
      <c r="N40" s="104"/>
      <c r="O40" s="5"/>
      <c r="P40" s="5"/>
      <c r="Q40" s="5"/>
      <c r="R40" s="5"/>
      <c r="S40" s="5"/>
      <c r="T40" s="5"/>
      <c r="U40" s="5"/>
      <c r="V40" s="5"/>
      <c r="W40" s="5"/>
      <c r="X40" s="5"/>
      <c r="Y40" s="105"/>
    </row>
    <row r="41" ht="15.75" customHeight="1">
      <c r="A41" s="104"/>
      <c r="B41" s="5"/>
      <c r="C41" s="5"/>
      <c r="D41" s="5"/>
      <c r="E41" s="5"/>
      <c r="F41" s="5"/>
      <c r="G41" s="5"/>
      <c r="H41" s="5"/>
      <c r="I41" s="5"/>
      <c r="J41" s="5"/>
      <c r="K41" s="5"/>
      <c r="L41" s="105"/>
      <c r="N41" s="104"/>
      <c r="O41" s="5"/>
      <c r="P41" s="5"/>
      <c r="Q41" s="5"/>
      <c r="R41" s="5"/>
      <c r="S41" s="5"/>
      <c r="T41" s="5"/>
      <c r="U41" s="5"/>
      <c r="V41" s="5"/>
      <c r="W41" s="5"/>
      <c r="X41" s="5"/>
      <c r="Y41" s="105"/>
    </row>
    <row r="42" ht="15.75" customHeight="1">
      <c r="A42" s="104"/>
      <c r="B42" s="5"/>
      <c r="C42" s="5"/>
      <c r="D42" s="5"/>
      <c r="E42" s="5"/>
      <c r="F42" s="5"/>
      <c r="G42" s="5"/>
      <c r="H42" s="5"/>
      <c r="I42" s="5"/>
      <c r="J42" s="5"/>
      <c r="K42" s="5"/>
      <c r="L42" s="105"/>
      <c r="N42" s="104"/>
      <c r="O42" s="5"/>
      <c r="P42" s="5"/>
      <c r="Q42" s="5"/>
      <c r="R42" s="5"/>
      <c r="S42" s="5"/>
      <c r="T42" s="5"/>
      <c r="U42" s="5"/>
      <c r="V42" s="5"/>
      <c r="W42" s="5"/>
      <c r="X42" s="5"/>
      <c r="Y42" s="105"/>
    </row>
    <row r="43" ht="15.75" customHeight="1">
      <c r="A43" s="104"/>
      <c r="B43" s="5"/>
      <c r="C43" s="5"/>
      <c r="D43" s="5"/>
      <c r="E43" s="5"/>
      <c r="F43" s="5"/>
      <c r="G43" s="5"/>
      <c r="H43" s="5"/>
      <c r="I43" s="5"/>
      <c r="J43" s="5"/>
      <c r="K43" s="5"/>
      <c r="L43" s="105"/>
      <c r="N43" s="104"/>
      <c r="O43" s="5"/>
      <c r="P43" s="5"/>
      <c r="Q43" s="5"/>
      <c r="R43" s="5"/>
      <c r="S43" s="5"/>
      <c r="T43" s="5"/>
      <c r="U43" s="5"/>
      <c r="V43" s="5"/>
      <c r="W43" s="5"/>
      <c r="X43" s="5"/>
      <c r="Y43" s="105"/>
    </row>
    <row r="44" ht="15.75" customHeight="1">
      <c r="A44" s="104"/>
      <c r="B44" s="5"/>
      <c r="C44" s="5"/>
      <c r="D44" s="5"/>
      <c r="E44" s="5"/>
      <c r="F44" s="5"/>
      <c r="G44" s="5"/>
      <c r="H44" s="5"/>
      <c r="I44" s="5"/>
      <c r="J44" s="5"/>
      <c r="K44" s="5"/>
      <c r="L44" s="105"/>
      <c r="N44" s="104"/>
      <c r="O44" s="5"/>
      <c r="P44" s="5"/>
      <c r="Q44" s="5"/>
      <c r="R44" s="5"/>
      <c r="S44" s="5"/>
      <c r="T44" s="5"/>
      <c r="U44" s="5"/>
      <c r="V44" s="5"/>
      <c r="W44" s="5"/>
      <c r="X44" s="5"/>
      <c r="Y44" s="105"/>
    </row>
    <row r="45" ht="15.75" customHeight="1">
      <c r="A45" s="104"/>
      <c r="B45" s="5"/>
      <c r="C45" s="5"/>
      <c r="D45" s="5"/>
      <c r="E45" s="5"/>
      <c r="F45" s="5"/>
      <c r="G45" s="5"/>
      <c r="H45" s="5"/>
      <c r="I45" s="5"/>
      <c r="J45" s="5"/>
      <c r="K45" s="5"/>
      <c r="L45" s="105"/>
      <c r="N45" s="104"/>
      <c r="O45" s="5"/>
      <c r="P45" s="5"/>
      <c r="Q45" s="5"/>
      <c r="R45" s="5"/>
      <c r="S45" s="5"/>
      <c r="T45" s="5"/>
      <c r="U45" s="5"/>
      <c r="V45" s="5"/>
      <c r="W45" s="5"/>
      <c r="X45" s="5"/>
      <c r="Y45" s="105"/>
    </row>
    <row r="46" ht="15.75" customHeight="1">
      <c r="A46" s="104"/>
      <c r="B46" s="5"/>
      <c r="C46" s="5"/>
      <c r="D46" s="5"/>
      <c r="E46" s="5"/>
      <c r="F46" s="5"/>
      <c r="G46" s="5"/>
      <c r="H46" s="5"/>
      <c r="I46" s="5"/>
      <c r="J46" s="5"/>
      <c r="K46" s="5"/>
      <c r="L46" s="105"/>
      <c r="N46" s="104"/>
      <c r="O46" s="5"/>
      <c r="P46" s="5"/>
      <c r="Q46" s="5"/>
      <c r="R46" s="5"/>
      <c r="S46" s="5"/>
      <c r="T46" s="5"/>
      <c r="U46" s="5"/>
      <c r="V46" s="5"/>
      <c r="W46" s="5"/>
      <c r="X46" s="5"/>
      <c r="Y46" s="105"/>
    </row>
    <row r="47" ht="15.75" customHeight="1">
      <c r="A47" s="104"/>
      <c r="B47" s="5"/>
      <c r="C47" s="5"/>
      <c r="D47" s="5"/>
      <c r="E47" s="5"/>
      <c r="F47" s="5"/>
      <c r="G47" s="5"/>
      <c r="H47" s="5"/>
      <c r="I47" s="5"/>
      <c r="J47" s="5"/>
      <c r="K47" s="5"/>
      <c r="L47" s="105"/>
      <c r="N47" s="104"/>
      <c r="O47" s="5"/>
      <c r="P47" s="5"/>
      <c r="Q47" s="5"/>
      <c r="R47" s="5"/>
      <c r="S47" s="5"/>
      <c r="T47" s="5"/>
      <c r="U47" s="5"/>
      <c r="V47" s="5"/>
      <c r="W47" s="5"/>
      <c r="X47" s="5"/>
      <c r="Y47" s="105"/>
    </row>
    <row r="48" ht="15.75" customHeight="1">
      <c r="A48" s="104"/>
      <c r="B48" s="5"/>
      <c r="C48" s="5"/>
      <c r="D48" s="5"/>
      <c r="E48" s="5"/>
      <c r="F48" s="5"/>
      <c r="G48" s="5"/>
      <c r="H48" s="5"/>
      <c r="I48" s="5"/>
      <c r="J48" s="5"/>
      <c r="K48" s="5"/>
      <c r="L48" s="105"/>
      <c r="N48" s="104"/>
      <c r="O48" s="5"/>
      <c r="P48" s="5"/>
      <c r="Q48" s="5"/>
      <c r="R48" s="5"/>
      <c r="S48" s="5"/>
      <c r="T48" s="5"/>
      <c r="U48" s="5"/>
      <c r="V48" s="5"/>
      <c r="W48" s="5"/>
      <c r="X48" s="5"/>
      <c r="Y48" s="105"/>
    </row>
    <row r="49" ht="15.75" customHeight="1">
      <c r="A49" s="104"/>
      <c r="B49" s="5"/>
      <c r="C49" s="5"/>
      <c r="D49" s="5"/>
      <c r="E49" s="5"/>
      <c r="F49" s="5"/>
      <c r="G49" s="5"/>
      <c r="H49" s="5"/>
      <c r="I49" s="5"/>
      <c r="J49" s="5"/>
      <c r="K49" s="5"/>
      <c r="L49" s="105"/>
      <c r="N49" s="104"/>
      <c r="O49" s="5"/>
      <c r="P49" s="5"/>
      <c r="Q49" s="5"/>
      <c r="R49" s="5"/>
      <c r="S49" s="5"/>
      <c r="T49" s="5"/>
      <c r="U49" s="5"/>
      <c r="V49" s="5"/>
      <c r="W49" s="5"/>
      <c r="X49" s="5"/>
      <c r="Y49" s="105"/>
    </row>
    <row r="50" ht="15.75" customHeight="1">
      <c r="A50" s="110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2"/>
      <c r="N50" s="104"/>
      <c r="O50" s="5"/>
      <c r="P50" s="5"/>
      <c r="Q50" s="5"/>
      <c r="R50" s="5"/>
      <c r="S50" s="5"/>
      <c r="T50" s="5"/>
      <c r="U50" s="5"/>
      <c r="V50" s="5"/>
      <c r="W50" s="5"/>
      <c r="X50" s="5"/>
      <c r="Y50" s="105"/>
    </row>
    <row r="51" ht="15.75" customHeight="1">
      <c r="N51" s="104"/>
      <c r="O51" s="5"/>
      <c r="P51" s="5"/>
      <c r="Q51" s="5"/>
      <c r="R51" s="5"/>
      <c r="S51" s="5"/>
      <c r="T51" s="5"/>
      <c r="U51" s="5"/>
      <c r="V51" s="5"/>
      <c r="W51" s="5"/>
      <c r="X51" s="5"/>
      <c r="Y51" s="105"/>
    </row>
    <row r="52" ht="15.75" customHeight="1">
      <c r="N52" s="104"/>
      <c r="O52" s="5"/>
      <c r="P52" s="5"/>
      <c r="Q52" s="5"/>
      <c r="R52" s="5"/>
      <c r="S52" s="5"/>
      <c r="T52" s="5"/>
      <c r="U52" s="5"/>
      <c r="V52" s="5"/>
      <c r="W52" s="5"/>
      <c r="X52" s="5"/>
      <c r="Y52" s="105"/>
    </row>
    <row r="53" ht="15.75" customHeight="1">
      <c r="N53" s="104"/>
      <c r="O53" s="5"/>
      <c r="P53" s="5"/>
      <c r="Q53" s="5"/>
      <c r="R53" s="5"/>
      <c r="S53" s="5"/>
      <c r="T53" s="5"/>
      <c r="U53" s="5"/>
      <c r="V53" s="5"/>
      <c r="W53" s="5"/>
      <c r="X53" s="5"/>
      <c r="Y53" s="105"/>
    </row>
    <row r="54" ht="15.75" customHeight="1">
      <c r="N54" s="104"/>
      <c r="O54" s="5"/>
      <c r="P54" s="5"/>
      <c r="Q54" s="5"/>
      <c r="R54" s="5"/>
      <c r="S54" s="5"/>
      <c r="T54" s="5"/>
      <c r="U54" s="5"/>
      <c r="V54" s="5"/>
      <c r="W54" s="5"/>
      <c r="X54" s="5"/>
      <c r="Y54" s="105"/>
    </row>
    <row r="55" ht="15.75" customHeight="1">
      <c r="N55" s="104"/>
      <c r="O55" s="5"/>
      <c r="P55" s="5"/>
      <c r="Q55" s="5"/>
      <c r="R55" s="5"/>
      <c r="S55" s="5"/>
      <c r="T55" s="5"/>
      <c r="U55" s="5"/>
      <c r="V55" s="5"/>
      <c r="W55" s="5"/>
      <c r="X55" s="5"/>
      <c r="Y55" s="105"/>
    </row>
    <row r="56" ht="15.75" customHeight="1">
      <c r="N56" s="104"/>
      <c r="O56" s="5"/>
      <c r="P56" s="5"/>
      <c r="Q56" s="5"/>
      <c r="R56" s="5"/>
      <c r="S56" s="5"/>
      <c r="T56" s="5"/>
      <c r="U56" s="5"/>
      <c r="V56" s="5"/>
      <c r="W56" s="5"/>
      <c r="X56" s="5"/>
      <c r="Y56" s="105"/>
    </row>
    <row r="57" ht="15.75" customHeight="1">
      <c r="N57" s="104"/>
      <c r="O57" s="5"/>
      <c r="P57" s="5"/>
      <c r="Q57" s="5"/>
      <c r="R57" s="5"/>
      <c r="S57" s="5"/>
      <c r="T57" s="5"/>
      <c r="U57" s="5"/>
      <c r="V57" s="5"/>
      <c r="W57" s="5"/>
      <c r="X57" s="5"/>
      <c r="Y57" s="105"/>
    </row>
    <row r="58" ht="15.75" customHeight="1">
      <c r="N58" s="104"/>
      <c r="O58" s="5"/>
      <c r="P58" s="5"/>
      <c r="Q58" s="5"/>
      <c r="R58" s="5"/>
      <c r="S58" s="5"/>
      <c r="T58" s="5"/>
      <c r="U58" s="5"/>
      <c r="V58" s="5"/>
      <c r="W58" s="5"/>
      <c r="X58" s="5"/>
      <c r="Y58" s="105"/>
    </row>
    <row r="59" ht="15.75" customHeight="1">
      <c r="N59" s="104"/>
      <c r="O59" s="5"/>
      <c r="P59" s="5"/>
      <c r="Q59" s="5"/>
      <c r="R59" s="5"/>
      <c r="S59" s="5"/>
      <c r="T59" s="5"/>
      <c r="U59" s="5"/>
      <c r="V59" s="5"/>
      <c r="W59" s="5"/>
      <c r="X59" s="5"/>
      <c r="Y59" s="105"/>
    </row>
    <row r="60" ht="15.75" customHeight="1">
      <c r="N60" s="104"/>
      <c r="O60" s="5"/>
      <c r="P60" s="5"/>
      <c r="Q60" s="5"/>
      <c r="R60" s="5"/>
      <c r="S60" s="5"/>
      <c r="T60" s="5"/>
      <c r="U60" s="5"/>
      <c r="V60" s="5"/>
      <c r="W60" s="5"/>
      <c r="X60" s="5"/>
      <c r="Y60" s="105"/>
    </row>
    <row r="61" ht="15.75" customHeight="1">
      <c r="N61" s="104"/>
      <c r="O61" s="5"/>
      <c r="P61" s="5"/>
      <c r="Q61" s="5"/>
      <c r="R61" s="5"/>
      <c r="S61" s="5"/>
      <c r="T61" s="5"/>
      <c r="U61" s="5"/>
      <c r="V61" s="5"/>
      <c r="W61" s="5"/>
      <c r="X61" s="5"/>
      <c r="Y61" s="105"/>
    </row>
    <row r="62" ht="15.75" customHeight="1">
      <c r="N62" s="104"/>
      <c r="O62" s="5"/>
      <c r="P62" s="5"/>
      <c r="Q62" s="5"/>
      <c r="R62" s="5"/>
      <c r="S62" s="5"/>
      <c r="T62" s="5"/>
      <c r="U62" s="5"/>
      <c r="V62" s="5"/>
      <c r="W62" s="5"/>
      <c r="X62" s="5"/>
      <c r="Y62" s="105"/>
    </row>
    <row r="63" ht="15.75" customHeight="1">
      <c r="N63" s="104"/>
      <c r="O63" s="5"/>
      <c r="P63" s="5"/>
      <c r="Q63" s="5"/>
      <c r="R63" s="5"/>
      <c r="S63" s="5"/>
      <c r="T63" s="5"/>
      <c r="U63" s="5"/>
      <c r="V63" s="5"/>
      <c r="W63" s="5"/>
      <c r="X63" s="5"/>
      <c r="Y63" s="105"/>
    </row>
    <row r="64" ht="15.75" customHeight="1">
      <c r="N64" s="104"/>
      <c r="O64" s="5"/>
      <c r="P64" s="5"/>
      <c r="Q64" s="5"/>
      <c r="R64" s="5"/>
      <c r="S64" s="5"/>
      <c r="T64" s="5"/>
      <c r="U64" s="5"/>
      <c r="V64" s="5"/>
      <c r="W64" s="5"/>
      <c r="X64" s="5"/>
      <c r="Y64" s="105"/>
    </row>
    <row r="65" ht="15.75" customHeight="1">
      <c r="N65" s="104"/>
      <c r="O65" s="5"/>
      <c r="P65" s="5"/>
      <c r="Q65" s="5"/>
      <c r="R65" s="5"/>
      <c r="S65" s="5"/>
      <c r="T65" s="5"/>
      <c r="U65" s="5"/>
      <c r="V65" s="5"/>
      <c r="W65" s="5"/>
      <c r="X65" s="5"/>
      <c r="Y65" s="105"/>
    </row>
    <row r="66" ht="15.75" customHeight="1">
      <c r="N66" s="104"/>
      <c r="O66" s="5"/>
      <c r="P66" s="5"/>
      <c r="Q66" s="5"/>
      <c r="R66" s="5"/>
      <c r="S66" s="5"/>
      <c r="T66" s="5"/>
      <c r="U66" s="5"/>
      <c r="V66" s="5"/>
      <c r="W66" s="5"/>
      <c r="X66" s="5"/>
      <c r="Y66" s="105"/>
    </row>
    <row r="67" ht="15.75" customHeight="1">
      <c r="N67" s="104"/>
      <c r="O67" s="5"/>
      <c r="P67" s="5"/>
      <c r="Q67" s="5"/>
      <c r="R67" s="5"/>
      <c r="S67" s="5"/>
      <c r="T67" s="5"/>
      <c r="U67" s="5"/>
      <c r="V67" s="5"/>
      <c r="W67" s="5"/>
      <c r="X67" s="5"/>
      <c r="Y67" s="105"/>
    </row>
    <row r="68" ht="15.75" customHeight="1">
      <c r="N68" s="104"/>
      <c r="O68" s="5"/>
      <c r="P68" s="5"/>
      <c r="Q68" s="5"/>
      <c r="R68" s="5"/>
      <c r="S68" s="5"/>
      <c r="T68" s="5"/>
      <c r="U68" s="5"/>
      <c r="V68" s="5"/>
      <c r="W68" s="5"/>
      <c r="X68" s="5"/>
      <c r="Y68" s="105"/>
    </row>
    <row r="69" ht="15.75" customHeight="1">
      <c r="N69" s="104"/>
      <c r="O69" s="5"/>
      <c r="P69" s="5"/>
      <c r="Q69" s="5"/>
      <c r="R69" s="5"/>
      <c r="S69" s="5"/>
      <c r="T69" s="5"/>
      <c r="U69" s="5"/>
      <c r="V69" s="5"/>
      <c r="W69" s="5"/>
      <c r="X69" s="5"/>
      <c r="Y69" s="105"/>
    </row>
    <row r="70" ht="15.75" customHeight="1">
      <c r="N70" s="104"/>
      <c r="O70" s="5"/>
      <c r="P70" s="5"/>
      <c r="Q70" s="5"/>
      <c r="R70" s="5"/>
      <c r="S70" s="5"/>
      <c r="T70" s="5"/>
      <c r="U70" s="5"/>
      <c r="V70" s="5"/>
      <c r="W70" s="5"/>
      <c r="X70" s="5"/>
      <c r="Y70" s="105"/>
    </row>
    <row r="71" ht="15.75" customHeight="1">
      <c r="N71" s="104"/>
      <c r="O71" s="5"/>
      <c r="P71" s="5"/>
      <c r="Q71" s="5"/>
      <c r="R71" s="5"/>
      <c r="S71" s="5"/>
      <c r="T71" s="5"/>
      <c r="U71" s="5"/>
      <c r="V71" s="5"/>
      <c r="W71" s="5"/>
      <c r="X71" s="5"/>
      <c r="Y71" s="105"/>
    </row>
    <row r="72" ht="15.75" customHeight="1">
      <c r="N72" s="104"/>
      <c r="O72" s="5"/>
      <c r="P72" s="5"/>
      <c r="Q72" s="5"/>
      <c r="R72" s="5"/>
      <c r="S72" s="5"/>
      <c r="T72" s="5"/>
      <c r="U72" s="5"/>
      <c r="V72" s="5"/>
      <c r="W72" s="5"/>
      <c r="X72" s="5"/>
      <c r="Y72" s="105"/>
    </row>
    <row r="73" ht="15.75" customHeight="1">
      <c r="N73" s="110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2"/>
    <mergeCell ref="N1:Y2"/>
    <mergeCell ref="B4:K4"/>
    <mergeCell ref="O4:X4"/>
    <mergeCell ref="B18:K18"/>
    <mergeCell ref="O25:X25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9" width="8.71"/>
  </cols>
  <sheetData>
    <row r="1" ht="15.0" customHeight="1">
      <c r="A1" s="113" t="s">
        <v>87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  <c r="V1" s="113" t="s">
        <v>88</v>
      </c>
      <c r="W1" s="24"/>
      <c r="X1" s="24"/>
      <c r="Y1" s="24"/>
      <c r="Z1" s="24"/>
      <c r="AA1" s="24"/>
      <c r="AB1" s="24"/>
      <c r="AC1" s="24"/>
      <c r="AD1" s="24"/>
      <c r="AE1" s="25"/>
      <c r="AF1" s="113" t="s">
        <v>89</v>
      </c>
      <c r="AG1" s="24"/>
      <c r="AH1" s="24"/>
      <c r="AI1" s="24"/>
      <c r="AJ1" s="24"/>
      <c r="AK1" s="24"/>
      <c r="AL1" s="24"/>
      <c r="AM1" s="24"/>
      <c r="AN1" s="24"/>
      <c r="AO1" s="25"/>
      <c r="AP1" s="113" t="s">
        <v>90</v>
      </c>
      <c r="AQ1" s="24"/>
      <c r="AR1" s="24"/>
      <c r="AS1" s="24"/>
      <c r="AT1" s="24"/>
      <c r="AU1" s="24"/>
      <c r="AV1" s="24"/>
      <c r="AW1" s="25"/>
    </row>
    <row r="2" ht="15.0" customHeight="1">
      <c r="A2" s="114"/>
      <c r="U2" s="115"/>
      <c r="V2" s="114"/>
      <c r="AE2" s="115"/>
      <c r="AF2" s="114"/>
      <c r="AO2" s="115"/>
      <c r="AP2" s="114"/>
      <c r="AW2" s="115"/>
    </row>
    <row r="3" ht="15.75" customHeight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6"/>
      <c r="W3" s="27"/>
      <c r="X3" s="27"/>
      <c r="Y3" s="27"/>
      <c r="Z3" s="27"/>
      <c r="AA3" s="27"/>
      <c r="AB3" s="27"/>
      <c r="AC3" s="27"/>
      <c r="AD3" s="27"/>
      <c r="AE3" s="28"/>
      <c r="AF3" s="26"/>
      <c r="AG3" s="27"/>
      <c r="AH3" s="27"/>
      <c r="AI3" s="27"/>
      <c r="AJ3" s="27"/>
      <c r="AK3" s="27"/>
      <c r="AL3" s="27"/>
      <c r="AM3" s="27"/>
      <c r="AN3" s="27"/>
      <c r="AO3" s="28"/>
      <c r="AP3" s="26"/>
      <c r="AQ3" s="27"/>
      <c r="AR3" s="27"/>
      <c r="AS3" s="27"/>
      <c r="AT3" s="27"/>
      <c r="AU3" s="27"/>
      <c r="AV3" s="27"/>
      <c r="AW3" s="28"/>
    </row>
    <row r="4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8"/>
      <c r="V4" s="5"/>
      <c r="W4" s="5"/>
      <c r="X4" s="5"/>
      <c r="Y4" s="5"/>
      <c r="Z4" s="5"/>
      <c r="AA4" s="5"/>
      <c r="AB4" s="5"/>
      <c r="AC4" s="5"/>
      <c r="AD4" s="5"/>
      <c r="AE4" s="105"/>
      <c r="AF4" s="104"/>
      <c r="AG4" s="5"/>
      <c r="AH4" s="5"/>
      <c r="AI4" s="5"/>
      <c r="AJ4" s="5"/>
      <c r="AK4" s="5"/>
      <c r="AL4" s="5"/>
      <c r="AM4" s="5"/>
      <c r="AN4" s="5"/>
      <c r="AO4" s="105"/>
      <c r="AP4" s="104"/>
      <c r="AQ4" s="5"/>
      <c r="AR4" s="5"/>
      <c r="AS4" s="5"/>
      <c r="AT4" s="5"/>
      <c r="AU4" s="5"/>
      <c r="AV4" s="5"/>
      <c r="AW4" s="105"/>
    </row>
    <row r="5">
      <c r="A5" s="10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05"/>
      <c r="V5" s="5"/>
      <c r="W5" s="5"/>
      <c r="X5" s="5"/>
      <c r="Y5" s="5"/>
      <c r="Z5" s="5"/>
      <c r="AA5" s="5"/>
      <c r="AB5" s="5"/>
      <c r="AC5" s="5"/>
      <c r="AD5" s="5"/>
      <c r="AE5" s="105"/>
      <c r="AF5" s="104"/>
      <c r="AG5" s="5"/>
      <c r="AH5" s="5"/>
      <c r="AI5" s="5"/>
      <c r="AJ5" s="5"/>
      <c r="AK5" s="5"/>
      <c r="AL5" s="5"/>
      <c r="AM5" s="5"/>
      <c r="AN5" s="5"/>
      <c r="AO5" s="105"/>
      <c r="AP5" s="104"/>
      <c r="AQ5" s="5"/>
      <c r="AR5" s="5"/>
      <c r="AS5" s="5"/>
      <c r="AT5" s="5"/>
      <c r="AU5" s="5"/>
      <c r="AV5" s="5"/>
      <c r="AW5" s="105"/>
    </row>
    <row r="6">
      <c r="A6" s="10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05"/>
      <c r="V6" s="5"/>
      <c r="W6" s="5"/>
      <c r="X6" s="5"/>
      <c r="Y6" s="5"/>
      <c r="Z6" s="5"/>
      <c r="AA6" s="5"/>
      <c r="AB6" s="5"/>
      <c r="AC6" s="5"/>
      <c r="AD6" s="5"/>
      <c r="AE6" s="105"/>
      <c r="AF6" s="104"/>
      <c r="AG6" s="5"/>
      <c r="AH6" s="5"/>
      <c r="AI6" s="5"/>
      <c r="AJ6" s="5"/>
      <c r="AK6" s="5"/>
      <c r="AL6" s="5"/>
      <c r="AM6" s="5"/>
      <c r="AN6" s="5"/>
      <c r="AO6" s="105"/>
      <c r="AP6" s="104"/>
      <c r="AQ6" s="5"/>
      <c r="AR6" s="5"/>
      <c r="AS6" s="5"/>
      <c r="AT6" s="5"/>
      <c r="AU6" s="5"/>
      <c r="AV6" s="5"/>
      <c r="AW6" s="105"/>
    </row>
    <row r="7">
      <c r="A7" s="10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05"/>
      <c r="V7" s="5"/>
      <c r="W7" s="5"/>
      <c r="X7" s="5"/>
      <c r="Y7" s="5"/>
      <c r="Z7" s="5"/>
      <c r="AA7" s="5"/>
      <c r="AB7" s="5"/>
      <c r="AC7" s="5"/>
      <c r="AD7" s="5"/>
      <c r="AE7" s="105"/>
      <c r="AF7" s="104"/>
      <c r="AG7" s="5"/>
      <c r="AH7" s="5"/>
      <c r="AI7" s="5"/>
      <c r="AJ7" s="5"/>
      <c r="AK7" s="5"/>
      <c r="AL7" s="5"/>
      <c r="AM7" s="5"/>
      <c r="AN7" s="5"/>
      <c r="AO7" s="105"/>
      <c r="AP7" s="104"/>
      <c r="AQ7" s="5"/>
      <c r="AR7" s="5"/>
      <c r="AS7" s="5"/>
      <c r="AT7" s="5"/>
      <c r="AU7" s="5"/>
      <c r="AV7" s="5"/>
      <c r="AW7" s="105"/>
    </row>
    <row r="8">
      <c r="A8" s="10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05"/>
      <c r="V8" s="5"/>
      <c r="W8" s="5"/>
      <c r="X8" s="5"/>
      <c r="Y8" s="5"/>
      <c r="Z8" s="5"/>
      <c r="AA8" s="5"/>
      <c r="AB8" s="5"/>
      <c r="AC8" s="5"/>
      <c r="AD8" s="5"/>
      <c r="AE8" s="105"/>
      <c r="AF8" s="104"/>
      <c r="AG8" s="5"/>
      <c r="AH8" s="5"/>
      <c r="AI8" s="5"/>
      <c r="AJ8" s="5"/>
      <c r="AK8" s="5"/>
      <c r="AL8" s="5"/>
      <c r="AM8" s="5"/>
      <c r="AN8" s="5"/>
      <c r="AO8" s="105"/>
      <c r="AP8" s="104"/>
      <c r="AQ8" s="5"/>
      <c r="AR8" s="5"/>
      <c r="AS8" s="5"/>
      <c r="AT8" s="5"/>
      <c r="AU8" s="5"/>
      <c r="AV8" s="5"/>
      <c r="AW8" s="105"/>
    </row>
    <row r="9">
      <c r="A9" s="10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05"/>
      <c r="V9" s="5"/>
      <c r="W9" s="5"/>
      <c r="X9" s="5"/>
      <c r="Y9" s="5"/>
      <c r="Z9" s="5"/>
      <c r="AA9" s="5"/>
      <c r="AB9" s="5"/>
      <c r="AC9" s="5"/>
      <c r="AD9" s="5"/>
      <c r="AE9" s="105"/>
      <c r="AF9" s="104"/>
      <c r="AG9" s="5"/>
      <c r="AH9" s="5"/>
      <c r="AI9" s="5"/>
      <c r="AJ9" s="5"/>
      <c r="AK9" s="5"/>
      <c r="AL9" s="5"/>
      <c r="AM9" s="5"/>
      <c r="AN9" s="5"/>
      <c r="AO9" s="105"/>
      <c r="AP9" s="104"/>
      <c r="AQ9" s="5"/>
      <c r="AR9" s="5"/>
      <c r="AS9" s="5"/>
      <c r="AT9" s="5"/>
      <c r="AU9" s="5"/>
      <c r="AV9" s="5"/>
      <c r="AW9" s="105"/>
    </row>
    <row r="10">
      <c r="A10" s="10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05"/>
      <c r="V10" s="5"/>
      <c r="W10" s="5"/>
      <c r="X10" s="5"/>
      <c r="Y10" s="5"/>
      <c r="Z10" s="5"/>
      <c r="AA10" s="5"/>
      <c r="AB10" s="5"/>
      <c r="AC10" s="5"/>
      <c r="AD10" s="5"/>
      <c r="AE10" s="105"/>
      <c r="AF10" s="104"/>
      <c r="AG10" s="5"/>
      <c r="AH10" s="5"/>
      <c r="AI10" s="5"/>
      <c r="AJ10" s="5"/>
      <c r="AK10" s="5"/>
      <c r="AL10" s="5"/>
      <c r="AM10" s="5"/>
      <c r="AN10" s="5"/>
      <c r="AO10" s="105"/>
      <c r="AP10" s="104"/>
      <c r="AQ10" s="5"/>
      <c r="AR10" s="5"/>
      <c r="AS10" s="5"/>
      <c r="AT10" s="5"/>
      <c r="AU10" s="5"/>
      <c r="AV10" s="5"/>
      <c r="AW10" s="105"/>
    </row>
    <row r="11">
      <c r="A11" s="10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05"/>
      <c r="V11" s="5"/>
      <c r="W11" s="5"/>
      <c r="X11" s="5"/>
      <c r="Y11" s="5"/>
      <c r="Z11" s="5"/>
      <c r="AA11" s="5"/>
      <c r="AB11" s="5"/>
      <c r="AC11" s="5"/>
      <c r="AD11" s="5"/>
      <c r="AE11" s="105"/>
      <c r="AF11" s="104"/>
      <c r="AG11" s="5"/>
      <c r="AH11" s="5"/>
      <c r="AI11" s="5"/>
      <c r="AJ11" s="5"/>
      <c r="AK11" s="5"/>
      <c r="AL11" s="5"/>
      <c r="AM11" s="5"/>
      <c r="AN11" s="5"/>
      <c r="AO11" s="105"/>
      <c r="AP11" s="104"/>
      <c r="AQ11" s="5"/>
      <c r="AR11" s="5"/>
      <c r="AS11" s="5"/>
      <c r="AT11" s="5"/>
      <c r="AU11" s="5"/>
      <c r="AV11" s="5"/>
      <c r="AW11" s="105"/>
    </row>
    <row r="12">
      <c r="A12" s="10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05"/>
      <c r="V12" s="5"/>
      <c r="W12" s="5"/>
      <c r="X12" s="5"/>
      <c r="Y12" s="5"/>
      <c r="Z12" s="5"/>
      <c r="AA12" s="5"/>
      <c r="AB12" s="5"/>
      <c r="AC12" s="5"/>
      <c r="AD12" s="5"/>
      <c r="AE12" s="105"/>
      <c r="AF12" s="104"/>
      <c r="AG12" s="5"/>
      <c r="AH12" s="5"/>
      <c r="AI12" s="5"/>
      <c r="AJ12" s="5"/>
      <c r="AK12" s="5"/>
      <c r="AL12" s="5"/>
      <c r="AM12" s="5"/>
      <c r="AN12" s="5"/>
      <c r="AO12" s="105"/>
      <c r="AP12" s="104"/>
      <c r="AQ12" s="5"/>
      <c r="AR12" s="5"/>
      <c r="AS12" s="5"/>
      <c r="AT12" s="5"/>
      <c r="AU12" s="5"/>
      <c r="AV12" s="5"/>
      <c r="AW12" s="105"/>
    </row>
    <row r="13">
      <c r="A13" s="10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05"/>
      <c r="V13" s="5"/>
      <c r="W13" s="5"/>
      <c r="X13" s="5"/>
      <c r="Y13" s="5"/>
      <c r="Z13" s="5"/>
      <c r="AA13" s="5"/>
      <c r="AB13" s="5"/>
      <c r="AC13" s="5"/>
      <c r="AD13" s="5"/>
      <c r="AE13" s="105"/>
      <c r="AF13" s="104"/>
      <c r="AG13" s="5"/>
      <c r="AH13" s="5"/>
      <c r="AI13" s="5"/>
      <c r="AJ13" s="5"/>
      <c r="AK13" s="5"/>
      <c r="AL13" s="5"/>
      <c r="AM13" s="5"/>
      <c r="AN13" s="5"/>
      <c r="AO13" s="105"/>
      <c r="AP13" s="104"/>
      <c r="AQ13" s="5"/>
      <c r="AR13" s="5"/>
      <c r="AS13" s="5"/>
      <c r="AT13" s="5"/>
      <c r="AU13" s="5"/>
      <c r="AV13" s="5"/>
      <c r="AW13" s="105"/>
    </row>
    <row r="14">
      <c r="A14" s="10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05"/>
      <c r="V14" s="5"/>
      <c r="W14" s="5"/>
      <c r="X14" s="5"/>
      <c r="Y14" s="5"/>
      <c r="Z14" s="5"/>
      <c r="AA14" s="5"/>
      <c r="AB14" s="5"/>
      <c r="AC14" s="5"/>
      <c r="AD14" s="5"/>
      <c r="AE14" s="105"/>
      <c r="AF14" s="104"/>
      <c r="AG14" s="5"/>
      <c r="AH14" s="5"/>
      <c r="AI14" s="5"/>
      <c r="AJ14" s="5"/>
      <c r="AK14" s="5"/>
      <c r="AL14" s="5"/>
      <c r="AM14" s="5"/>
      <c r="AN14" s="5"/>
      <c r="AO14" s="105"/>
      <c r="AP14" s="104"/>
      <c r="AQ14" s="5"/>
      <c r="AR14" s="5"/>
      <c r="AS14" s="5"/>
      <c r="AT14" s="5"/>
      <c r="AU14" s="5"/>
      <c r="AV14" s="5"/>
      <c r="AW14" s="105"/>
    </row>
    <row r="15">
      <c r="A15" s="10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05"/>
      <c r="V15" s="5"/>
      <c r="W15" s="5"/>
      <c r="X15" s="5"/>
      <c r="Y15" s="5"/>
      <c r="Z15" s="5"/>
      <c r="AA15" s="5"/>
      <c r="AB15" s="5"/>
      <c r="AC15" s="5"/>
      <c r="AD15" s="5"/>
      <c r="AE15" s="105"/>
      <c r="AF15" s="104"/>
      <c r="AG15" s="5"/>
      <c r="AH15" s="5"/>
      <c r="AI15" s="5"/>
      <c r="AJ15" s="5"/>
      <c r="AK15" s="5"/>
      <c r="AL15" s="5"/>
      <c r="AM15" s="5"/>
      <c r="AN15" s="5"/>
      <c r="AO15" s="105"/>
      <c r="AP15" s="104"/>
      <c r="AQ15" s="5"/>
      <c r="AR15" s="5"/>
      <c r="AS15" s="5"/>
      <c r="AT15" s="5"/>
      <c r="AU15" s="5"/>
      <c r="AV15" s="5"/>
      <c r="AW15" s="105"/>
    </row>
    <row r="16">
      <c r="A16" s="10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05"/>
      <c r="V16" s="5"/>
      <c r="W16" s="5"/>
      <c r="X16" s="5"/>
      <c r="Y16" s="5"/>
      <c r="Z16" s="5"/>
      <c r="AA16" s="5"/>
      <c r="AB16" s="5"/>
      <c r="AC16" s="5"/>
      <c r="AD16" s="5"/>
      <c r="AE16" s="105"/>
      <c r="AF16" s="104"/>
      <c r="AG16" s="5"/>
      <c r="AH16" s="5"/>
      <c r="AI16" s="5"/>
      <c r="AJ16" s="5"/>
      <c r="AK16" s="5"/>
      <c r="AL16" s="5"/>
      <c r="AM16" s="5"/>
      <c r="AN16" s="5"/>
      <c r="AO16" s="105"/>
      <c r="AP16" s="104"/>
      <c r="AQ16" s="5"/>
      <c r="AR16" s="5"/>
      <c r="AS16" s="5"/>
      <c r="AT16" s="5"/>
      <c r="AU16" s="5"/>
      <c r="AV16" s="5"/>
      <c r="AW16" s="105"/>
    </row>
    <row r="17">
      <c r="A17" s="10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05"/>
      <c r="V17" s="5"/>
      <c r="W17" s="5"/>
      <c r="X17" s="5"/>
      <c r="Y17" s="5"/>
      <c r="Z17" s="5"/>
      <c r="AA17" s="5"/>
      <c r="AB17" s="5"/>
      <c r="AC17" s="5"/>
      <c r="AD17" s="5"/>
      <c r="AE17" s="105"/>
      <c r="AF17" s="104"/>
      <c r="AG17" s="5"/>
      <c r="AH17" s="5"/>
      <c r="AI17" s="5"/>
      <c r="AJ17" s="5"/>
      <c r="AK17" s="5"/>
      <c r="AL17" s="5"/>
      <c r="AM17" s="5"/>
      <c r="AN17" s="5"/>
      <c r="AO17" s="105"/>
      <c r="AP17" s="104"/>
      <c r="AQ17" s="5"/>
      <c r="AR17" s="5"/>
      <c r="AS17" s="5"/>
      <c r="AT17" s="5"/>
      <c r="AU17" s="5"/>
      <c r="AV17" s="5"/>
      <c r="AW17" s="105"/>
    </row>
    <row r="18">
      <c r="A18" s="10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05"/>
      <c r="V18" s="5"/>
      <c r="W18" s="5"/>
      <c r="X18" s="5"/>
      <c r="Y18" s="5"/>
      <c r="Z18" s="5"/>
      <c r="AA18" s="5"/>
      <c r="AB18" s="5"/>
      <c r="AC18" s="5"/>
      <c r="AD18" s="5"/>
      <c r="AE18" s="105"/>
      <c r="AF18" s="104"/>
      <c r="AG18" s="5"/>
      <c r="AH18" s="5"/>
      <c r="AI18" s="5"/>
      <c r="AJ18" s="5"/>
      <c r="AK18" s="5"/>
      <c r="AL18" s="5"/>
      <c r="AM18" s="5"/>
      <c r="AN18" s="5"/>
      <c r="AO18" s="105"/>
      <c r="AP18" s="104"/>
      <c r="AQ18" s="5"/>
      <c r="AR18" s="5"/>
      <c r="AS18" s="5"/>
      <c r="AT18" s="5"/>
      <c r="AU18" s="5"/>
      <c r="AV18" s="5"/>
      <c r="AW18" s="105"/>
    </row>
    <row r="19">
      <c r="A19" s="10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05"/>
      <c r="V19" s="111"/>
      <c r="W19" s="111"/>
      <c r="X19" s="111"/>
      <c r="Y19" s="111"/>
      <c r="Z19" s="111"/>
      <c r="AA19" s="111"/>
      <c r="AB19" s="111"/>
      <c r="AC19" s="111"/>
      <c r="AD19" s="111"/>
      <c r="AE19" s="112"/>
      <c r="AF19" s="110"/>
      <c r="AG19" s="111"/>
      <c r="AH19" s="111"/>
      <c r="AI19" s="111"/>
      <c r="AJ19" s="111"/>
      <c r="AK19" s="111"/>
      <c r="AL19" s="111"/>
      <c r="AM19" s="111"/>
      <c r="AN19" s="111"/>
      <c r="AO19" s="112"/>
      <c r="AP19" s="110"/>
      <c r="AQ19" s="111"/>
      <c r="AR19" s="111"/>
      <c r="AS19" s="111"/>
      <c r="AT19" s="111"/>
      <c r="AU19" s="111"/>
      <c r="AV19" s="111"/>
      <c r="AW19" s="112"/>
    </row>
    <row r="20">
      <c r="A20" s="10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05"/>
      <c r="V20" s="119" t="s">
        <v>91</v>
      </c>
      <c r="W20" s="24"/>
      <c r="X20" s="24"/>
      <c r="Y20" s="24"/>
      <c r="Z20" s="24"/>
      <c r="AA20" s="24"/>
      <c r="AB20" s="24"/>
      <c r="AC20" s="24"/>
      <c r="AD20" s="24"/>
      <c r="AE20" s="25"/>
      <c r="AF20" s="113" t="s">
        <v>92</v>
      </c>
      <c r="AG20" s="24"/>
      <c r="AH20" s="24"/>
      <c r="AI20" s="24"/>
      <c r="AJ20" s="24"/>
      <c r="AK20" s="24"/>
      <c r="AL20" s="24"/>
      <c r="AM20" s="24"/>
      <c r="AN20" s="24"/>
      <c r="AO20" s="25"/>
      <c r="AP20" s="113" t="s">
        <v>93</v>
      </c>
      <c r="AQ20" s="24"/>
      <c r="AR20" s="24"/>
      <c r="AS20" s="24"/>
      <c r="AT20" s="24"/>
      <c r="AU20" s="24"/>
      <c r="AV20" s="24"/>
      <c r="AW20" s="25"/>
    </row>
    <row r="21" ht="15.75" customHeight="1">
      <c r="A21" s="10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05"/>
      <c r="V21" s="120"/>
      <c r="AE21" s="115"/>
      <c r="AF21" s="114"/>
      <c r="AO21" s="115"/>
      <c r="AP21" s="114"/>
      <c r="AW21" s="115"/>
    </row>
    <row r="22" ht="15.75" customHeight="1">
      <c r="A22" s="10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05"/>
      <c r="V22" s="121"/>
      <c r="W22" s="27"/>
      <c r="X22" s="27"/>
      <c r="Y22" s="27"/>
      <c r="Z22" s="27"/>
      <c r="AA22" s="27"/>
      <c r="AB22" s="27"/>
      <c r="AC22" s="27"/>
      <c r="AD22" s="27"/>
      <c r="AE22" s="28"/>
      <c r="AF22" s="26"/>
      <c r="AG22" s="27"/>
      <c r="AH22" s="27"/>
      <c r="AI22" s="27"/>
      <c r="AJ22" s="27"/>
      <c r="AK22" s="27"/>
      <c r="AL22" s="27"/>
      <c r="AM22" s="27"/>
      <c r="AN22" s="27"/>
      <c r="AO22" s="28"/>
      <c r="AP22" s="26"/>
      <c r="AQ22" s="27"/>
      <c r="AR22" s="27"/>
      <c r="AS22" s="27"/>
      <c r="AT22" s="27"/>
      <c r="AU22" s="27"/>
      <c r="AV22" s="27"/>
      <c r="AW22" s="28"/>
    </row>
    <row r="23" ht="15.75" customHeight="1">
      <c r="A23" s="10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05"/>
      <c r="V23" s="5"/>
      <c r="W23" s="5"/>
      <c r="X23" s="5"/>
      <c r="Y23" s="5"/>
      <c r="Z23" s="5"/>
      <c r="AA23" s="5"/>
      <c r="AB23" s="5"/>
      <c r="AC23" s="5"/>
      <c r="AD23" s="5"/>
      <c r="AE23" s="105"/>
      <c r="AF23" s="104"/>
      <c r="AG23" s="5"/>
      <c r="AH23" s="5"/>
      <c r="AI23" s="5"/>
      <c r="AJ23" s="5"/>
      <c r="AK23" s="5"/>
      <c r="AL23" s="5"/>
      <c r="AM23" s="5"/>
      <c r="AN23" s="5"/>
      <c r="AO23" s="105"/>
      <c r="AP23" s="104"/>
      <c r="AQ23" s="5"/>
      <c r="AR23" s="5"/>
      <c r="AS23" s="5"/>
      <c r="AT23" s="5"/>
      <c r="AU23" s="5"/>
      <c r="AV23" s="5"/>
      <c r="AW23" s="105"/>
    </row>
    <row r="24" ht="15.75" customHeight="1">
      <c r="A24" s="10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05"/>
      <c r="V24" s="5"/>
      <c r="W24" s="5"/>
      <c r="X24" s="5"/>
      <c r="Y24" s="5"/>
      <c r="Z24" s="5"/>
      <c r="AA24" s="5"/>
      <c r="AB24" s="5"/>
      <c r="AC24" s="5"/>
      <c r="AD24" s="5"/>
      <c r="AE24" s="105"/>
      <c r="AF24" s="104"/>
      <c r="AG24" s="5"/>
      <c r="AH24" s="5"/>
      <c r="AI24" s="5"/>
      <c r="AJ24" s="5"/>
      <c r="AK24" s="5"/>
      <c r="AL24" s="5"/>
      <c r="AM24" s="5"/>
      <c r="AN24" s="5"/>
      <c r="AO24" s="105"/>
      <c r="AP24" s="104"/>
      <c r="AQ24" s="5"/>
      <c r="AR24" s="5"/>
      <c r="AS24" s="5"/>
      <c r="AT24" s="5"/>
      <c r="AU24" s="5"/>
      <c r="AV24" s="5"/>
      <c r="AW24" s="105"/>
    </row>
    <row r="25" ht="15.75" customHeight="1">
      <c r="A25" s="10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105"/>
      <c r="V25" s="5"/>
      <c r="W25" s="5"/>
      <c r="X25" s="5"/>
      <c r="Y25" s="5"/>
      <c r="Z25" s="5"/>
      <c r="AA25" s="5"/>
      <c r="AB25" s="5"/>
      <c r="AC25" s="5"/>
      <c r="AD25" s="5"/>
      <c r="AE25" s="105"/>
      <c r="AF25" s="104"/>
      <c r="AG25" s="5"/>
      <c r="AH25" s="5"/>
      <c r="AI25" s="5"/>
      <c r="AJ25" s="5"/>
      <c r="AK25" s="5"/>
      <c r="AL25" s="5"/>
      <c r="AM25" s="5"/>
      <c r="AN25" s="5"/>
      <c r="AO25" s="105"/>
      <c r="AP25" s="104"/>
      <c r="AQ25" s="5"/>
      <c r="AR25" s="5"/>
      <c r="AS25" s="5"/>
      <c r="AT25" s="5"/>
      <c r="AU25" s="5"/>
      <c r="AV25" s="5"/>
      <c r="AW25" s="105"/>
    </row>
    <row r="26" ht="15.75" customHeight="1">
      <c r="A26" s="10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105"/>
      <c r="V26" s="5"/>
      <c r="W26" s="5"/>
      <c r="X26" s="5"/>
      <c r="Y26" s="5"/>
      <c r="Z26" s="5"/>
      <c r="AA26" s="5"/>
      <c r="AB26" s="5"/>
      <c r="AC26" s="5"/>
      <c r="AD26" s="5"/>
      <c r="AE26" s="105"/>
      <c r="AF26" s="104"/>
      <c r="AG26" s="5"/>
      <c r="AH26" s="5"/>
      <c r="AI26" s="5"/>
      <c r="AJ26" s="5"/>
      <c r="AK26" s="5"/>
      <c r="AL26" s="5"/>
      <c r="AM26" s="5"/>
      <c r="AN26" s="5"/>
      <c r="AO26" s="105"/>
      <c r="AP26" s="104"/>
      <c r="AQ26" s="5"/>
      <c r="AR26" s="5"/>
      <c r="AS26" s="5"/>
      <c r="AT26" s="5"/>
      <c r="AU26" s="5"/>
      <c r="AV26" s="5"/>
      <c r="AW26" s="105"/>
    </row>
    <row r="27" ht="15.75" customHeight="1">
      <c r="A27" s="10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105"/>
      <c r="V27" s="5"/>
      <c r="W27" s="5"/>
      <c r="X27" s="5"/>
      <c r="Y27" s="5"/>
      <c r="Z27" s="5"/>
      <c r="AA27" s="5"/>
      <c r="AB27" s="5"/>
      <c r="AC27" s="5"/>
      <c r="AD27" s="5"/>
      <c r="AE27" s="105"/>
      <c r="AF27" s="104"/>
      <c r="AG27" s="5"/>
      <c r="AH27" s="5"/>
      <c r="AI27" s="5"/>
      <c r="AJ27" s="5"/>
      <c r="AK27" s="5"/>
      <c r="AL27" s="5"/>
      <c r="AM27" s="5"/>
      <c r="AN27" s="5"/>
      <c r="AO27" s="105"/>
      <c r="AP27" s="104"/>
      <c r="AQ27" s="5"/>
      <c r="AR27" s="5"/>
      <c r="AS27" s="5"/>
      <c r="AT27" s="5"/>
      <c r="AU27" s="5"/>
      <c r="AV27" s="5"/>
      <c r="AW27" s="105"/>
    </row>
    <row r="28" ht="15.75" customHeight="1">
      <c r="A28" s="10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105"/>
      <c r="V28" s="5"/>
      <c r="W28" s="5"/>
      <c r="X28" s="5"/>
      <c r="Y28" s="5"/>
      <c r="Z28" s="5"/>
      <c r="AA28" s="5"/>
      <c r="AB28" s="5"/>
      <c r="AC28" s="5"/>
      <c r="AD28" s="5"/>
      <c r="AE28" s="105"/>
      <c r="AF28" s="104"/>
      <c r="AG28" s="5"/>
      <c r="AH28" s="5"/>
      <c r="AI28" s="5"/>
      <c r="AJ28" s="5"/>
      <c r="AK28" s="5"/>
      <c r="AL28" s="5"/>
      <c r="AM28" s="5"/>
      <c r="AN28" s="5"/>
      <c r="AO28" s="105"/>
      <c r="AP28" s="104"/>
      <c r="AQ28" s="5"/>
      <c r="AR28" s="5"/>
      <c r="AS28" s="5"/>
      <c r="AT28" s="5"/>
      <c r="AU28" s="5"/>
      <c r="AV28" s="5"/>
      <c r="AW28" s="105"/>
    </row>
    <row r="29" ht="15.75" customHeight="1">
      <c r="A29" s="10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105"/>
      <c r="V29" s="5"/>
      <c r="W29" s="5"/>
      <c r="X29" s="5"/>
      <c r="Y29" s="5"/>
      <c r="Z29" s="5"/>
      <c r="AA29" s="5"/>
      <c r="AB29" s="5"/>
      <c r="AC29" s="5"/>
      <c r="AD29" s="5"/>
      <c r="AE29" s="105"/>
      <c r="AF29" s="104"/>
      <c r="AG29" s="5"/>
      <c r="AH29" s="5"/>
      <c r="AI29" s="5"/>
      <c r="AJ29" s="5"/>
      <c r="AK29" s="5"/>
      <c r="AL29" s="5"/>
      <c r="AM29" s="5"/>
      <c r="AN29" s="5"/>
      <c r="AO29" s="105"/>
      <c r="AP29" s="104"/>
      <c r="AQ29" s="5"/>
      <c r="AR29" s="5"/>
      <c r="AS29" s="5"/>
      <c r="AT29" s="5"/>
      <c r="AU29" s="5"/>
      <c r="AV29" s="5"/>
      <c r="AW29" s="105"/>
    </row>
    <row r="30" ht="15.75" customHeight="1">
      <c r="A30" s="10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105"/>
      <c r="V30" s="5"/>
      <c r="W30" s="5"/>
      <c r="X30" s="5"/>
      <c r="Y30" s="5"/>
      <c r="Z30" s="5"/>
      <c r="AA30" s="5"/>
      <c r="AB30" s="5"/>
      <c r="AC30" s="5"/>
      <c r="AD30" s="5"/>
      <c r="AE30" s="105"/>
      <c r="AF30" s="104"/>
      <c r="AG30" s="5"/>
      <c r="AH30" s="5"/>
      <c r="AI30" s="5"/>
      <c r="AJ30" s="5"/>
      <c r="AK30" s="5"/>
      <c r="AL30" s="5"/>
      <c r="AM30" s="5"/>
      <c r="AN30" s="5"/>
      <c r="AO30" s="105"/>
      <c r="AP30" s="104"/>
      <c r="AQ30" s="5"/>
      <c r="AR30" s="5"/>
      <c r="AS30" s="5"/>
      <c r="AT30" s="5"/>
      <c r="AU30" s="5"/>
      <c r="AV30" s="5"/>
      <c r="AW30" s="105"/>
    </row>
    <row r="31" ht="15.75" customHeight="1">
      <c r="A31" s="10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105"/>
      <c r="V31" s="5"/>
      <c r="W31" s="5"/>
      <c r="X31" s="5"/>
      <c r="Y31" s="5"/>
      <c r="Z31" s="5"/>
      <c r="AA31" s="5"/>
      <c r="AB31" s="5"/>
      <c r="AC31" s="5"/>
      <c r="AD31" s="5"/>
      <c r="AE31" s="105"/>
      <c r="AF31" s="104"/>
      <c r="AG31" s="5"/>
      <c r="AH31" s="5"/>
      <c r="AI31" s="5"/>
      <c r="AJ31" s="5"/>
      <c r="AK31" s="5"/>
      <c r="AL31" s="5"/>
      <c r="AM31" s="5"/>
      <c r="AN31" s="5"/>
      <c r="AO31" s="105"/>
      <c r="AP31" s="104"/>
      <c r="AQ31" s="5"/>
      <c r="AR31" s="5"/>
      <c r="AS31" s="5"/>
      <c r="AT31" s="5"/>
      <c r="AU31" s="5"/>
      <c r="AV31" s="5"/>
      <c r="AW31" s="105"/>
    </row>
    <row r="32" ht="15.75" customHeight="1">
      <c r="A32" s="10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105"/>
      <c r="V32" s="5"/>
      <c r="W32" s="5"/>
      <c r="X32" s="5"/>
      <c r="Y32" s="5"/>
      <c r="Z32" s="5"/>
      <c r="AA32" s="5"/>
      <c r="AB32" s="5"/>
      <c r="AC32" s="5"/>
      <c r="AD32" s="5"/>
      <c r="AE32" s="105"/>
      <c r="AF32" s="104"/>
      <c r="AG32" s="5"/>
      <c r="AH32" s="5"/>
      <c r="AI32" s="5"/>
      <c r="AJ32" s="5"/>
      <c r="AK32" s="5"/>
      <c r="AL32" s="5"/>
      <c r="AM32" s="5"/>
      <c r="AN32" s="5"/>
      <c r="AO32" s="105"/>
      <c r="AP32" s="104"/>
      <c r="AQ32" s="5"/>
      <c r="AR32" s="5"/>
      <c r="AS32" s="5"/>
      <c r="AT32" s="5"/>
      <c r="AU32" s="5"/>
      <c r="AV32" s="5"/>
      <c r="AW32" s="105"/>
    </row>
    <row r="33" ht="15.75" customHeight="1">
      <c r="A33" s="10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105"/>
      <c r="V33" s="5"/>
      <c r="W33" s="5"/>
      <c r="X33" s="5"/>
      <c r="Y33" s="5"/>
      <c r="Z33" s="5"/>
      <c r="AA33" s="5"/>
      <c r="AB33" s="5"/>
      <c r="AC33" s="5"/>
      <c r="AD33" s="5"/>
      <c r="AE33" s="105"/>
      <c r="AF33" s="104"/>
      <c r="AG33" s="5"/>
      <c r="AH33" s="5"/>
      <c r="AI33" s="5"/>
      <c r="AJ33" s="5"/>
      <c r="AK33" s="5"/>
      <c r="AL33" s="5"/>
      <c r="AM33" s="5"/>
      <c r="AN33" s="5"/>
      <c r="AO33" s="105"/>
      <c r="AP33" s="104"/>
      <c r="AQ33" s="5"/>
      <c r="AR33" s="5"/>
      <c r="AS33" s="5"/>
      <c r="AT33" s="5"/>
      <c r="AU33" s="5"/>
      <c r="AV33" s="5"/>
      <c r="AW33" s="105"/>
    </row>
    <row r="34" ht="15.75" customHeight="1">
      <c r="A34" s="10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105"/>
      <c r="V34" s="5"/>
      <c r="W34" s="5"/>
      <c r="X34" s="5"/>
      <c r="Y34" s="5"/>
      <c r="Z34" s="5"/>
      <c r="AA34" s="5"/>
      <c r="AB34" s="5"/>
      <c r="AC34" s="5"/>
      <c r="AD34" s="5"/>
      <c r="AE34" s="105"/>
      <c r="AF34" s="104"/>
      <c r="AG34" s="5"/>
      <c r="AH34" s="5"/>
      <c r="AI34" s="5"/>
      <c r="AJ34" s="5"/>
      <c r="AK34" s="5"/>
      <c r="AL34" s="5"/>
      <c r="AM34" s="5"/>
      <c r="AN34" s="5"/>
      <c r="AO34" s="105"/>
      <c r="AP34" s="104"/>
      <c r="AQ34" s="5"/>
      <c r="AR34" s="5"/>
      <c r="AS34" s="5"/>
      <c r="AT34" s="5"/>
      <c r="AU34" s="5"/>
      <c r="AV34" s="5"/>
      <c r="AW34" s="105"/>
    </row>
    <row r="35" ht="15.75" customHeight="1">
      <c r="A35" s="10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105"/>
      <c r="V35" s="5"/>
      <c r="W35" s="5"/>
      <c r="X35" s="5"/>
      <c r="Y35" s="5"/>
      <c r="Z35" s="5"/>
      <c r="AA35" s="5"/>
      <c r="AB35" s="5"/>
      <c r="AC35" s="5"/>
      <c r="AD35" s="5"/>
      <c r="AE35" s="105"/>
      <c r="AF35" s="104"/>
      <c r="AG35" s="5"/>
      <c r="AH35" s="5"/>
      <c r="AI35" s="5"/>
      <c r="AJ35" s="5"/>
      <c r="AK35" s="5"/>
      <c r="AL35" s="5"/>
      <c r="AM35" s="5"/>
      <c r="AN35" s="5"/>
      <c r="AO35" s="105"/>
      <c r="AP35" s="104"/>
      <c r="AQ35" s="5"/>
      <c r="AR35" s="5"/>
      <c r="AS35" s="5"/>
      <c r="AT35" s="5"/>
      <c r="AU35" s="5"/>
      <c r="AV35" s="5"/>
      <c r="AW35" s="105"/>
    </row>
    <row r="36" ht="15.75" customHeight="1">
      <c r="A36" s="10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105"/>
      <c r="V36" s="5"/>
      <c r="W36" s="5"/>
      <c r="X36" s="5"/>
      <c r="Y36" s="5"/>
      <c r="Z36" s="5"/>
      <c r="AA36" s="5"/>
      <c r="AB36" s="5"/>
      <c r="AC36" s="5"/>
      <c r="AD36" s="5"/>
      <c r="AE36" s="105"/>
      <c r="AF36" s="104"/>
      <c r="AG36" s="5"/>
      <c r="AH36" s="5"/>
      <c r="AI36" s="5"/>
      <c r="AJ36" s="5"/>
      <c r="AK36" s="5"/>
      <c r="AL36" s="5"/>
      <c r="AM36" s="5"/>
      <c r="AN36" s="5"/>
      <c r="AO36" s="105"/>
      <c r="AP36" s="104"/>
      <c r="AQ36" s="5"/>
      <c r="AR36" s="5"/>
      <c r="AS36" s="5"/>
      <c r="AT36" s="5"/>
      <c r="AU36" s="5"/>
      <c r="AV36" s="5"/>
      <c r="AW36" s="105"/>
    </row>
    <row r="37" ht="15.75" customHeight="1">
      <c r="A37" s="10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105"/>
      <c r="V37" s="5"/>
      <c r="W37" s="5"/>
      <c r="X37" s="5"/>
      <c r="Y37" s="5"/>
      <c r="Z37" s="5"/>
      <c r="AA37" s="5"/>
      <c r="AB37" s="5"/>
      <c r="AC37" s="5"/>
      <c r="AD37" s="5"/>
      <c r="AE37" s="105"/>
      <c r="AF37" s="104"/>
      <c r="AG37" s="5"/>
      <c r="AH37" s="5"/>
      <c r="AI37" s="5"/>
      <c r="AJ37" s="5"/>
      <c r="AK37" s="5"/>
      <c r="AL37" s="5"/>
      <c r="AM37" s="5"/>
      <c r="AN37" s="5"/>
      <c r="AO37" s="105"/>
      <c r="AP37" s="104"/>
      <c r="AQ37" s="5"/>
      <c r="AR37" s="5"/>
      <c r="AS37" s="5"/>
      <c r="AT37" s="5"/>
      <c r="AU37" s="5"/>
      <c r="AV37" s="5"/>
      <c r="AW37" s="105"/>
    </row>
    <row r="38" ht="15.75" customHeight="1">
      <c r="A38" s="10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105"/>
      <c r="V38" s="5"/>
      <c r="W38" s="5"/>
      <c r="X38" s="5"/>
      <c r="Y38" s="5"/>
      <c r="Z38" s="5"/>
      <c r="AA38" s="5"/>
      <c r="AB38" s="5"/>
      <c r="AC38" s="5"/>
      <c r="AD38" s="5"/>
      <c r="AE38" s="105"/>
      <c r="AF38" s="104"/>
      <c r="AG38" s="5"/>
      <c r="AH38" s="5"/>
      <c r="AI38" s="5"/>
      <c r="AJ38" s="5"/>
      <c r="AK38" s="5"/>
      <c r="AL38" s="5"/>
      <c r="AM38" s="5"/>
      <c r="AN38" s="5"/>
      <c r="AO38" s="105"/>
      <c r="AP38" s="104"/>
      <c r="AQ38" s="5"/>
      <c r="AR38" s="5"/>
      <c r="AS38" s="5"/>
      <c r="AT38" s="5"/>
      <c r="AU38" s="5"/>
      <c r="AV38" s="5"/>
      <c r="AW38" s="105"/>
    </row>
    <row r="39" ht="15.75" customHeight="1">
      <c r="A39" s="10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105"/>
      <c r="V39" s="5"/>
      <c r="W39" s="5"/>
      <c r="X39" s="5"/>
      <c r="Y39" s="5"/>
      <c r="Z39" s="5"/>
      <c r="AA39" s="5"/>
      <c r="AB39" s="5"/>
      <c r="AC39" s="5"/>
      <c r="AD39" s="5"/>
      <c r="AE39" s="105"/>
      <c r="AF39" s="104"/>
      <c r="AG39" s="5"/>
      <c r="AH39" s="5"/>
      <c r="AI39" s="5"/>
      <c r="AJ39" s="5"/>
      <c r="AK39" s="5"/>
      <c r="AL39" s="5"/>
      <c r="AM39" s="5"/>
      <c r="AN39" s="5"/>
      <c r="AO39" s="105"/>
      <c r="AP39" s="104"/>
      <c r="AQ39" s="5"/>
      <c r="AR39" s="5"/>
      <c r="AS39" s="5"/>
      <c r="AT39" s="5"/>
      <c r="AU39" s="5"/>
      <c r="AV39" s="5"/>
      <c r="AW39" s="105"/>
    </row>
    <row r="40" ht="15.75" customHeight="1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2"/>
      <c r="V40" s="111"/>
      <c r="W40" s="111"/>
      <c r="X40" s="111"/>
      <c r="Y40" s="111"/>
      <c r="Z40" s="111"/>
      <c r="AA40" s="111"/>
      <c r="AB40" s="111"/>
      <c r="AC40" s="111"/>
      <c r="AD40" s="111"/>
      <c r="AE40" s="112"/>
      <c r="AF40" s="110"/>
      <c r="AG40" s="111"/>
      <c r="AH40" s="111"/>
      <c r="AI40" s="111"/>
      <c r="AJ40" s="111"/>
      <c r="AK40" s="111"/>
      <c r="AL40" s="111"/>
      <c r="AM40" s="111"/>
      <c r="AN40" s="111"/>
      <c r="AO40" s="112"/>
      <c r="AP40" s="110"/>
      <c r="AQ40" s="111"/>
      <c r="AR40" s="111"/>
      <c r="AS40" s="111"/>
      <c r="AT40" s="111"/>
      <c r="AU40" s="111"/>
      <c r="AV40" s="111"/>
      <c r="AW40" s="11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U3"/>
    <mergeCell ref="V1:AE3"/>
    <mergeCell ref="AF1:AO3"/>
    <mergeCell ref="AP1:AW3"/>
    <mergeCell ref="V20:AE22"/>
    <mergeCell ref="AF20:AO22"/>
    <mergeCell ref="AP20:AW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