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bookViews>
    <workbookView xWindow="0" yWindow="0" windowWidth="20490" windowHeight="7755"/>
  </bookViews>
  <sheets>
    <sheet name="INÍCIO" sheetId="3" r:id="rId1"/>
    <sheet name="PRECIFICAÇÃO DA ESTRUTURA 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K19" i="1"/>
  <c r="G13" i="1" l="1"/>
  <c r="B27" i="1" s="1"/>
  <c r="C17" i="1"/>
  <c r="C18" i="1"/>
  <c r="G12" i="1" s="1"/>
  <c r="C16" i="1"/>
  <c r="G11" i="1" s="1"/>
  <c r="G10" i="1" l="1"/>
  <c r="F26" i="1" s="1"/>
  <c r="F24" i="1"/>
  <c r="B25" i="1"/>
  <c r="B24" i="1" l="1"/>
  <c r="F25" i="1"/>
  <c r="I23" i="1" l="1"/>
</calcChain>
</file>

<file path=xl/comments1.xml><?xml version="1.0" encoding="utf-8"?>
<comments xmlns="http://schemas.openxmlformats.org/spreadsheetml/2006/main">
  <authors>
    <author>Jonathan Simões</author>
  </authors>
  <commentList>
    <comment ref="J18" authorId="0" shapeId="0">
      <text>
        <r>
          <rPr>
            <sz val="9"/>
            <color indexed="81"/>
            <rFont val="Segoe UI"/>
            <family val="2"/>
          </rPr>
          <t>Considerando um madeirite de 12 mm, o custo estimado é de aproximadamente uns 135 reais para fabricação e colocação já prevendo locação do escoramento metalico. A mão de obra é aproximadamente 60 % do valor total da composição</t>
        </r>
      </text>
    </comment>
  </commentList>
</comments>
</file>

<file path=xl/sharedStrings.xml><?xml version="1.0" encoding="utf-8"?>
<sst xmlns="http://schemas.openxmlformats.org/spreadsheetml/2006/main" count="48" uniqueCount="47">
  <si>
    <t>PREÇO TOTAL</t>
  </si>
  <si>
    <t>Aço (kg/m²)</t>
  </si>
  <si>
    <t>Concreto (m³/m²)</t>
  </si>
  <si>
    <t>PARÂMETROS DE QUANT.</t>
  </si>
  <si>
    <t>INFORMAÇÕES INICIAIS</t>
  </si>
  <si>
    <t>QUANTITATIVOS (MATERIAL)</t>
  </si>
  <si>
    <t>CORRIGIDO</t>
  </si>
  <si>
    <t>PREÇOS MATERIAIS</t>
  </si>
  <si>
    <t>PREÇOS MÃO DE OBRA</t>
  </si>
  <si>
    <t>PREÇOS TOTAIS MATERIAL</t>
  </si>
  <si>
    <t>PREÇOS TOTAIS MÃO DE OBRA</t>
  </si>
  <si>
    <t>Os parâmetros utilizados foram obtidos a partir dos meus projetos, assim como os custos estimados são referentes a minha região.</t>
  </si>
  <si>
    <t>DADOS INICIAIS</t>
  </si>
  <si>
    <t xml:space="preserve">Preencha apenas as células com essa cor de fundo </t>
  </si>
  <si>
    <t>Área Construída (m²)</t>
  </si>
  <si>
    <t>Padrão da Residência</t>
  </si>
  <si>
    <t>Aço (R$/kg)</t>
  </si>
  <si>
    <t>Concreto (25MPA) (R$/m³)</t>
  </si>
  <si>
    <t>Fôrmas (R$/m²)</t>
  </si>
  <si>
    <t>Armador (R$/Kg)</t>
  </si>
  <si>
    <t>Carpinteiro (Vigas/Pilares) (R$/m²)</t>
  </si>
  <si>
    <t>Preço Carpinteiro (Laje) (R$/m²)</t>
  </si>
  <si>
    <t>Concreto (R$/m³)</t>
  </si>
  <si>
    <t>Fôrmas M²/M²(VIGAS E PILARES)</t>
  </si>
  <si>
    <t xml:space="preserve">CUSTO </t>
  </si>
  <si>
    <t xml:space="preserve">Concreto </t>
  </si>
  <si>
    <t>Aço</t>
  </si>
  <si>
    <t>Fôrmas</t>
  </si>
  <si>
    <t>Laje</t>
  </si>
  <si>
    <t>Armador</t>
  </si>
  <si>
    <t xml:space="preserve">Carpinteiro </t>
  </si>
  <si>
    <t xml:space="preserve">  Bem-vindo à Planilha de Cálculo de Estimativa de Custo da Estrutura do engenheiro Waltner Wagner. </t>
  </si>
  <si>
    <t xml:space="preserve">QUANTITATIVO </t>
  </si>
  <si>
    <t>Concreto (M³)</t>
  </si>
  <si>
    <t>Aço (KG)</t>
  </si>
  <si>
    <t>Laje (m²)</t>
  </si>
  <si>
    <t>Fôrmas de Vigas e Pilares (M²)</t>
  </si>
  <si>
    <t xml:space="preserve">ESTIMATIVA DE CUSTO DA ESTRUTURA </t>
  </si>
  <si>
    <t>Tipo Laje Treliçada</t>
  </si>
  <si>
    <t>TR8</t>
  </si>
  <si>
    <t>Laje Treliçada  (R$/m²)</t>
  </si>
  <si>
    <t>PARÂMETROS DE PREÇOS</t>
  </si>
  <si>
    <t>OBS: A ESTIMATIVA NÃO INCLUI A FUNDAÇÃO</t>
  </si>
  <si>
    <t xml:space="preserve">  Esse modelo de planilha permite estimar o custo de uma estrutura de concreto armado de uma obra residencial </t>
  </si>
  <si>
    <t>ALTO</t>
  </si>
  <si>
    <t>Coef. Reaproveitamento Fôrma</t>
  </si>
  <si>
    <t>ENG.WALTNERWAGNER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</si>
</sst>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1"/>
    </font>
    <font>
      <sz val="11"/>
      <color theme="3" tint="-0.249977111117893"/>
      <name val="Calibri1"/>
    </font>
    <font>
      <sz val="10"/>
      <name val="Calibri1"/>
    </font>
    <font>
      <sz val="11"/>
      <name val="Calibri1"/>
    </font>
    <font>
      <sz val="14"/>
      <name val="Calibri1"/>
    </font>
    <font>
      <sz val="11"/>
      <color theme="1"/>
      <name val="Calibri1"/>
    </font>
    <font>
      <sz val="12"/>
      <color theme="1"/>
      <name val="Calibri"/>
      <family val="2"/>
      <scheme val="minor"/>
    </font>
    <font>
      <sz val="12"/>
      <color theme="1"/>
      <name val="Calibri1"/>
    </font>
    <font>
      <b/>
      <sz val="18"/>
      <color rgb="FFFFFF00"/>
      <name val="Calibri1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Segoe UI"/>
      <family val="2"/>
    </font>
    <font>
      <b/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707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3" xfId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4" borderId="0" xfId="0" applyFill="1"/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/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 applyAlignment="1"/>
    <xf numFmtId="0" fontId="11" fillId="4" borderId="0" xfId="0" applyFont="1" applyFill="1" applyAlignment="1">
      <alignment vertical="center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4" borderId="5" xfId="0" applyNumberFormat="1" applyFill="1" applyBorder="1" applyAlignment="1" applyProtection="1">
      <alignment horizontal="center" vertical="center"/>
      <protection locked="0"/>
    </xf>
    <xf numFmtId="0" fontId="2" fillId="6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wrapText="1"/>
    </xf>
    <xf numFmtId="49" fontId="13" fillId="4" borderId="16" xfId="0" applyNumberFormat="1" applyFont="1" applyFill="1" applyBorder="1" applyAlignment="1">
      <alignment horizontal="center" vertical="center" wrapText="1"/>
    </xf>
    <xf numFmtId="49" fontId="13" fillId="4" borderId="17" xfId="0" applyNumberFormat="1" applyFont="1" applyFill="1" applyBorder="1" applyAlignment="1">
      <alignment horizontal="center" vertical="center" wrapText="1"/>
    </xf>
    <xf numFmtId="49" fontId="13" fillId="4" borderId="20" xfId="0" applyNumberFormat="1" applyFont="1" applyFill="1" applyBorder="1" applyAlignment="1">
      <alignment horizontal="center" vertical="center" wrapText="1"/>
    </xf>
    <xf numFmtId="49" fontId="13" fillId="4" borderId="18" xfId="0" applyNumberFormat="1" applyFont="1" applyFill="1" applyBorder="1" applyAlignment="1">
      <alignment horizontal="center" vertical="center" wrapText="1"/>
    </xf>
    <xf numFmtId="49" fontId="13" fillId="4" borderId="19" xfId="0" applyNumberFormat="1" applyFont="1" applyFill="1" applyBorder="1" applyAlignment="1">
      <alignment horizontal="center" vertical="center" wrapText="1"/>
    </xf>
    <xf numFmtId="49" fontId="13" fillId="4" borderId="21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2" fillId="6" borderId="10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44" fontId="0" fillId="5" borderId="7" xfId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44" fontId="0" fillId="4" borderId="7" xfId="0" applyNumberFormat="1" applyFill="1" applyBorder="1" applyAlignment="1" applyProtection="1">
      <alignment horizontal="center" vertical="center"/>
      <protection locked="0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4" fontId="2" fillId="2" borderId="17" xfId="0" applyNumberFormat="1" applyFont="1" applyFill="1" applyBorder="1" applyAlignment="1">
      <alignment horizontal="center" vertical="center"/>
    </xf>
    <xf numFmtId="44" fontId="2" fillId="2" borderId="20" xfId="0" applyNumberFormat="1" applyFont="1" applyFill="1" applyBorder="1" applyAlignment="1">
      <alignment horizontal="center" vertical="center"/>
    </xf>
    <xf numFmtId="44" fontId="2" fillId="2" borderId="19" xfId="0" applyNumberFormat="1" applyFont="1" applyFill="1" applyBorder="1" applyAlignment="1">
      <alignment horizontal="center" vertical="center"/>
    </xf>
    <xf numFmtId="44" fontId="2" fillId="2" borderId="21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4" borderId="7" xfId="0" applyFill="1" applyBorder="1" applyAlignment="1" applyProtection="1">
      <alignment horizontal="center" vertical="center"/>
      <protection locked="0"/>
    </xf>
    <xf numFmtId="0" fontId="17" fillId="4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#'PRECIFICA&#199;&#195;O DA ESTRUTURA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234116</xdr:colOff>
      <xdr:row>8</xdr:row>
      <xdr:rowOff>28003</xdr:rowOff>
    </xdr:from>
    <xdr:to>
      <xdr:col>8</xdr:col>
      <xdr:colOff>374197</xdr:colOff>
      <xdr:row>12</xdr:row>
      <xdr:rowOff>12482</xdr:rowOff>
    </xdr:to>
    <xdr:sp macro="" textlink="">
      <xdr:nvSpPr>
        <xdr:cNvPr id="2" name="Retângulo: Cantos Arredondado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66CD09B-A046-4981-A2A0-EC0D70CA2E28}"/>
            </a:ext>
          </a:extLst>
        </xdr:cNvPr>
        <xdr:cNvSpPr/>
      </xdr:nvSpPr>
      <xdr:spPr>
        <a:xfrm>
          <a:off x="2975955" y="1953414"/>
          <a:ext cx="1977046" cy="753282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 baseline="0">
              <a:solidFill>
                <a:schemeClr val="bg1"/>
              </a:solidFill>
              <a:latin typeface="+mn-lt"/>
            </a:rPr>
            <a:t>PLANILHA DE ESTIMATIVA DE CUSTO DA ESTRUTURA</a:t>
          </a:r>
        </a:p>
      </xdr:txBody>
    </xdr:sp>
    <xdr:clientData/>
  </xdr:twoCellAnchor>
  <xdr:twoCellAnchor editAs="oneCell">
    <xdr:from>
      <xdr:col>11</xdr:col>
      <xdr:colOff>596900</xdr:colOff>
      <xdr:row>2</xdr:row>
      <xdr:rowOff>120197</xdr:rowOff>
    </xdr:from>
    <xdr:to>
      <xdr:col>14</xdr:col>
      <xdr:colOff>35379</xdr:colOff>
      <xdr:row>7</xdr:row>
      <xdr:rowOff>77107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2757" y="501197"/>
          <a:ext cx="1275443" cy="1310821"/>
        </a:xfrm>
        <a:prstGeom prst="ellipse">
          <a:avLst/>
        </a:prstGeom>
        <a:ln w="3175" cap="rnd">
          <a:solidFill>
            <a:srgbClr val="FF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11</xdr:col>
      <xdr:colOff>322992</xdr:colOff>
      <xdr:row>7</xdr:row>
      <xdr:rowOff>183695</xdr:rowOff>
    </xdr:from>
    <xdr:to>
      <xdr:col>12</xdr:col>
      <xdr:colOff>87086</xdr:colOff>
      <xdr:row>9</xdr:row>
      <xdr:rowOff>20409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8849" y="1918606"/>
          <a:ext cx="376416" cy="217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topLeftCell="A4" zoomScale="140" zoomScaleNormal="140" workbookViewId="0">
      <selection activeCell="E14" sqref="E14"/>
    </sheetView>
  </sheetViews>
  <sheetFormatPr defaultRowHeight="15"/>
  <cols>
    <col min="2" max="2" width="4.42578125" customWidth="1"/>
    <col min="11" max="11" width="11.7109375" customWidth="1"/>
  </cols>
  <sheetData>
    <row r="1" spans="1:18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27.75" customHeight="1">
      <c r="A4" s="16"/>
      <c r="B4" s="16"/>
      <c r="C4" s="30" t="s">
        <v>31</v>
      </c>
      <c r="D4" s="30"/>
      <c r="E4" s="30"/>
      <c r="F4" s="30"/>
      <c r="G4" s="30"/>
      <c r="H4" s="30"/>
      <c r="I4" s="30"/>
      <c r="J4" s="30"/>
      <c r="K4" s="30"/>
      <c r="L4" s="16"/>
      <c r="M4" s="16"/>
      <c r="N4" s="16"/>
      <c r="O4" s="16"/>
      <c r="P4" s="16"/>
      <c r="Q4" s="16"/>
      <c r="R4" s="16"/>
    </row>
    <row r="5" spans="1:18" ht="18">
      <c r="A5" s="16"/>
      <c r="B5" s="16"/>
      <c r="C5" s="31" t="s">
        <v>43</v>
      </c>
      <c r="D5" s="31"/>
      <c r="E5" s="31"/>
      <c r="F5" s="31"/>
      <c r="G5" s="31"/>
      <c r="H5" s="31"/>
      <c r="I5" s="31"/>
      <c r="J5" s="31"/>
      <c r="K5" s="31"/>
      <c r="L5" s="17"/>
      <c r="M5" s="17"/>
      <c r="N5" s="17"/>
      <c r="O5" s="18"/>
      <c r="P5" s="16"/>
      <c r="Q5" s="16"/>
      <c r="R5" s="16"/>
    </row>
    <row r="6" spans="1:18">
      <c r="A6" s="16"/>
      <c r="B6" s="16"/>
      <c r="C6" s="31"/>
      <c r="D6" s="31"/>
      <c r="E6" s="31"/>
      <c r="F6" s="31"/>
      <c r="G6" s="31"/>
      <c r="H6" s="31"/>
      <c r="I6" s="31"/>
      <c r="J6" s="31"/>
      <c r="K6" s="31"/>
      <c r="L6" s="17"/>
      <c r="M6" s="17"/>
      <c r="N6" s="17"/>
      <c r="O6" s="16"/>
      <c r="P6" s="16"/>
      <c r="Q6" s="16"/>
      <c r="R6" s="16"/>
    </row>
    <row r="7" spans="1:18" ht="30.75" customHeight="1">
      <c r="A7" s="16"/>
      <c r="B7" s="32" t="s">
        <v>11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17"/>
      <c r="N7" s="17"/>
      <c r="O7" s="16"/>
      <c r="P7" s="16"/>
      <c r="Q7" s="16"/>
      <c r="R7" s="16"/>
    </row>
    <row r="8" spans="1:18">
      <c r="A8" s="16"/>
      <c r="B8" s="16"/>
      <c r="C8" s="19"/>
      <c r="D8" s="19"/>
      <c r="E8" s="19"/>
      <c r="F8" s="19"/>
      <c r="G8" s="19"/>
      <c r="H8" s="19"/>
      <c r="I8" s="19"/>
      <c r="J8" s="19"/>
      <c r="K8" s="19"/>
      <c r="L8" s="19"/>
      <c r="M8" s="17"/>
      <c r="N8" s="17"/>
      <c r="O8" s="16"/>
      <c r="P8" s="16"/>
      <c r="Q8" s="16"/>
      <c r="R8" s="16"/>
    </row>
    <row r="9" spans="1:18">
      <c r="A9" s="16"/>
      <c r="B9" s="16"/>
      <c r="C9" s="19"/>
      <c r="D9" s="19"/>
      <c r="E9" s="19"/>
      <c r="F9" s="19"/>
      <c r="G9" s="19"/>
      <c r="H9" s="19"/>
      <c r="I9" s="19"/>
      <c r="J9" s="19"/>
      <c r="K9" s="19"/>
      <c r="L9" s="19"/>
      <c r="M9" s="73" t="s">
        <v>46</v>
      </c>
      <c r="N9" s="73"/>
      <c r="O9" s="16"/>
      <c r="P9" s="16"/>
      <c r="Q9" s="16"/>
      <c r="R9" s="16"/>
    </row>
    <row r="10" spans="1:18" ht="15.75">
      <c r="A10" s="16"/>
      <c r="B10" s="20"/>
      <c r="C10" s="16"/>
      <c r="D10" s="16"/>
      <c r="E10" s="16"/>
      <c r="F10" s="16"/>
      <c r="G10" s="16"/>
      <c r="H10" s="16"/>
      <c r="I10" s="16"/>
      <c r="J10" s="21"/>
      <c r="K10" s="21"/>
      <c r="L10" s="19"/>
      <c r="M10" s="16"/>
      <c r="N10" s="16"/>
      <c r="O10" s="16"/>
      <c r="P10" s="16"/>
      <c r="Q10" s="16"/>
      <c r="R10" s="16"/>
    </row>
    <row r="11" spans="1:18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ht="15.75" thickBo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ht="1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64" t="s">
        <v>42</v>
      </c>
      <c r="L13" s="65"/>
      <c r="M13" s="65"/>
      <c r="N13" s="66"/>
      <c r="O13" s="16"/>
      <c r="P13" s="16"/>
      <c r="Q13" s="16"/>
      <c r="R13" s="16"/>
    </row>
    <row r="14" spans="1:18" ht="15.75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67"/>
      <c r="L14" s="68"/>
      <c r="M14" s="68"/>
      <c r="N14" s="69"/>
      <c r="O14" s="16"/>
      <c r="P14" s="16"/>
      <c r="Q14" s="16"/>
      <c r="R14" s="16"/>
    </row>
    <row r="15" spans="1:18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23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23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23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</sheetData>
  <mergeCells count="6">
    <mergeCell ref="K13:N14"/>
    <mergeCell ref="M9:N9"/>
    <mergeCell ref="A1:R2"/>
    <mergeCell ref="C4:K4"/>
    <mergeCell ref="C5:K6"/>
    <mergeCell ref="B7:L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showGridLines="0" zoomScale="90" zoomScaleNormal="90" workbookViewId="0">
      <selection sqref="A1:K2"/>
    </sheetView>
  </sheetViews>
  <sheetFormatPr defaultRowHeight="15"/>
  <cols>
    <col min="1" max="1" width="29.42578125" customWidth="1"/>
    <col min="2" max="2" width="14.28515625" bestFit="1" customWidth="1"/>
    <col min="3" max="3" width="12" customWidth="1"/>
    <col min="4" max="4" width="18.42578125" customWidth="1"/>
    <col min="5" max="5" width="11.28515625" customWidth="1"/>
    <col min="6" max="6" width="30.140625" customWidth="1"/>
    <col min="7" max="7" width="14.28515625" customWidth="1"/>
    <col min="8" max="8" width="15.5703125" customWidth="1"/>
    <col min="9" max="9" width="7.28515625" customWidth="1"/>
    <col min="10" max="10" width="32.42578125" customWidth="1"/>
    <col min="11" max="11" width="23.5703125" customWidth="1"/>
    <col min="12" max="12" width="20.140625" bestFit="1" customWidth="1"/>
    <col min="16" max="16" width="13.7109375" bestFit="1" customWidth="1"/>
    <col min="19" max="19" width="18" bestFit="1" customWidth="1"/>
  </cols>
  <sheetData>
    <row r="1" spans="1:12" ht="15" customHeight="1">
      <c r="A1" s="63" t="s">
        <v>37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2" ht="19.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2" ht="15.75" thickBot="1"/>
    <row r="4" spans="1:12" ht="15" customHeight="1">
      <c r="E4" s="33" t="s">
        <v>13</v>
      </c>
      <c r="F4" s="34"/>
      <c r="G4" s="34"/>
      <c r="H4" s="35"/>
    </row>
    <row r="5" spans="1:12" ht="15" customHeight="1" thickBot="1">
      <c r="E5" s="36"/>
      <c r="F5" s="37"/>
      <c r="G5" s="37"/>
      <c r="H5" s="38"/>
    </row>
    <row r="6" spans="1:12" ht="15.75" thickBot="1"/>
    <row r="7" spans="1:12" ht="24.75" customHeight="1" thickBot="1">
      <c r="A7" s="39" t="s">
        <v>12</v>
      </c>
      <c r="B7" s="39"/>
      <c r="C7" s="39"/>
      <c r="D7" s="39"/>
      <c r="F7" s="60" t="s">
        <v>32</v>
      </c>
      <c r="G7" s="61"/>
      <c r="H7" s="62"/>
      <c r="J7" s="39" t="s">
        <v>41</v>
      </c>
      <c r="K7" s="39"/>
    </row>
    <row r="8" spans="1:12" ht="15.75" thickBot="1"/>
    <row r="9" spans="1:12">
      <c r="A9" s="70" t="s">
        <v>4</v>
      </c>
      <c r="B9" s="71"/>
      <c r="F9" s="51" t="s">
        <v>5</v>
      </c>
      <c r="G9" s="52"/>
      <c r="H9" s="2"/>
      <c r="J9" s="40" t="s">
        <v>8</v>
      </c>
      <c r="K9" s="44"/>
    </row>
    <row r="10" spans="1:12" ht="15" customHeight="1">
      <c r="A10" s="25" t="s">
        <v>14</v>
      </c>
      <c r="B10" s="23">
        <v>300</v>
      </c>
      <c r="F10" s="3" t="s">
        <v>33</v>
      </c>
      <c r="G10" s="4">
        <f>C17*B10</f>
        <v>51.749999999999993</v>
      </c>
      <c r="H10" s="2"/>
      <c r="J10" s="3" t="s">
        <v>19</v>
      </c>
      <c r="K10" s="27">
        <v>1.8</v>
      </c>
    </row>
    <row r="11" spans="1:12" ht="15.75" customHeight="1">
      <c r="A11" s="25" t="s">
        <v>15</v>
      </c>
      <c r="B11" s="23" t="s">
        <v>44</v>
      </c>
      <c r="F11" s="3" t="s">
        <v>34</v>
      </c>
      <c r="G11" s="4">
        <f>C16*B10</f>
        <v>3450</v>
      </c>
      <c r="H11" s="2"/>
      <c r="J11" s="3" t="s">
        <v>20</v>
      </c>
      <c r="K11" s="27">
        <v>25</v>
      </c>
    </row>
    <row r="12" spans="1:12">
      <c r="A12" s="25" t="s">
        <v>38</v>
      </c>
      <c r="B12" s="23" t="s">
        <v>39</v>
      </c>
      <c r="F12" s="45" t="s">
        <v>36</v>
      </c>
      <c r="G12" s="46">
        <f>C18*B10</f>
        <v>413.99999999999994</v>
      </c>
      <c r="H12" s="13"/>
      <c r="J12" s="3" t="s">
        <v>21</v>
      </c>
      <c r="K12" s="27">
        <v>11</v>
      </c>
    </row>
    <row r="13" spans="1:12" ht="15.75" thickBot="1">
      <c r="A13" s="26" t="s">
        <v>45</v>
      </c>
      <c r="B13" s="72">
        <v>0.6</v>
      </c>
      <c r="C13" s="2"/>
      <c r="D13" s="2"/>
      <c r="E13" s="2"/>
      <c r="F13" s="5" t="s">
        <v>35</v>
      </c>
      <c r="G13" s="6">
        <f>B10</f>
        <v>300</v>
      </c>
      <c r="H13" s="2"/>
      <c r="J13" s="47" t="s">
        <v>22</v>
      </c>
      <c r="K13" s="53">
        <v>19</v>
      </c>
      <c r="L13" s="2"/>
    </row>
    <row r="14" spans="1:12" ht="15.75" thickBot="1">
      <c r="D14" s="2"/>
      <c r="E14" s="2"/>
      <c r="L14" s="2"/>
    </row>
    <row r="15" spans="1:12">
      <c r="A15" s="40" t="s">
        <v>3</v>
      </c>
      <c r="B15" s="41"/>
      <c r="C15" s="28" t="s">
        <v>6</v>
      </c>
      <c r="D15" s="2"/>
      <c r="E15" s="2"/>
      <c r="J15" s="42" t="s">
        <v>7</v>
      </c>
      <c r="K15" s="43"/>
      <c r="L15" s="2"/>
    </row>
    <row r="16" spans="1:12">
      <c r="A16" s="3" t="s">
        <v>1</v>
      </c>
      <c r="B16" s="1">
        <v>10</v>
      </c>
      <c r="C16" s="4">
        <f>IF($B$11="ALTO",B16*1.15,IF($B$11="BAIXO",B16*0.9,B16))</f>
        <v>11.5</v>
      </c>
      <c r="D16" s="2"/>
      <c r="E16" s="2"/>
      <c r="J16" s="25" t="s">
        <v>16</v>
      </c>
      <c r="K16" s="27">
        <v>4.8</v>
      </c>
      <c r="L16" s="2"/>
    </row>
    <row r="17" spans="1:12">
      <c r="A17" s="3" t="s">
        <v>2</v>
      </c>
      <c r="B17" s="1">
        <v>0.15</v>
      </c>
      <c r="C17" s="4">
        <f>IF($B$11="ALTO",B17*1.15,IF($B$11="BAIXO",B17*0.9,B17))</f>
        <v>0.17249999999999999</v>
      </c>
      <c r="D17" s="2"/>
      <c r="E17" s="2"/>
      <c r="I17" s="2"/>
      <c r="J17" s="25" t="s">
        <v>17</v>
      </c>
      <c r="K17" s="27">
        <v>320</v>
      </c>
      <c r="L17" s="2"/>
    </row>
    <row r="18" spans="1:12" ht="15.75" thickBot="1">
      <c r="A18" s="5" t="s">
        <v>23</v>
      </c>
      <c r="B18" s="9">
        <v>1.2</v>
      </c>
      <c r="C18" s="6">
        <f>IF($B$11="ALTO",B18*1.15,IF($B$11="BAIXO",B18*0.9,B18))</f>
        <v>1.38</v>
      </c>
      <c r="D18" s="2"/>
      <c r="E18" s="2"/>
      <c r="H18" s="2"/>
      <c r="I18" s="2"/>
      <c r="J18" s="24" t="s">
        <v>18</v>
      </c>
      <c r="K18" s="27">
        <v>60</v>
      </c>
      <c r="L18" s="2"/>
    </row>
    <row r="19" spans="1:12" ht="15.75" thickBot="1">
      <c r="H19" s="2"/>
      <c r="I19" s="2"/>
      <c r="J19" s="26" t="s">
        <v>40</v>
      </c>
      <c r="K19" s="27">
        <f>IF(B12="TR8",26,36)</f>
        <v>26</v>
      </c>
      <c r="L19" s="2"/>
    </row>
    <row r="20" spans="1:12">
      <c r="H20" s="2"/>
      <c r="I20" s="2"/>
      <c r="L20" s="2"/>
    </row>
    <row r="21" spans="1:12" ht="25.5" customHeight="1">
      <c r="A21" s="39" t="s">
        <v>24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2"/>
    </row>
    <row r="22" spans="1:12" ht="15.75" thickBot="1">
      <c r="C22" s="2"/>
      <c r="D22" s="2"/>
      <c r="E22" s="2"/>
      <c r="H22" s="2"/>
      <c r="I22" s="2"/>
      <c r="L22" s="2"/>
    </row>
    <row r="23" spans="1:12" ht="15.75" thickBot="1">
      <c r="A23" s="40" t="s">
        <v>9</v>
      </c>
      <c r="B23" s="44"/>
      <c r="C23" s="2"/>
      <c r="E23" s="48" t="s">
        <v>10</v>
      </c>
      <c r="F23" s="49"/>
      <c r="H23" s="54" t="s">
        <v>0</v>
      </c>
      <c r="I23" s="56">
        <f>SUM(B24:B27)+SUM(F24:F26)</f>
        <v>76667.25</v>
      </c>
      <c r="J23" s="57"/>
      <c r="L23" s="2"/>
    </row>
    <row r="24" spans="1:12" ht="15.75" thickBot="1">
      <c r="A24" s="3" t="s">
        <v>25</v>
      </c>
      <c r="B24" s="7">
        <f>G10*K17</f>
        <v>16559.999999999996</v>
      </c>
      <c r="C24" s="2"/>
      <c r="E24" s="10" t="s">
        <v>29</v>
      </c>
      <c r="F24" s="11">
        <f>G11*K10</f>
        <v>6210</v>
      </c>
      <c r="H24" s="55"/>
      <c r="I24" s="58"/>
      <c r="J24" s="59"/>
      <c r="L24" s="2"/>
    </row>
    <row r="25" spans="1:12">
      <c r="A25" s="3" t="s">
        <v>26</v>
      </c>
      <c r="B25" s="7">
        <f>G11*K16</f>
        <v>16560</v>
      </c>
      <c r="C25" s="2"/>
      <c r="E25" s="25" t="s">
        <v>30</v>
      </c>
      <c r="F25" s="7">
        <f>G12*K11+K12*G13</f>
        <v>13649.999999999998</v>
      </c>
      <c r="H25" s="12"/>
      <c r="I25" s="2"/>
      <c r="L25" s="2"/>
    </row>
    <row r="26" spans="1:12" ht="15.75" thickBot="1">
      <c r="A26" s="3" t="s">
        <v>27</v>
      </c>
      <c r="B26" s="7">
        <f>G12*K18*B13</f>
        <v>14903.999999999996</v>
      </c>
      <c r="C26" s="2"/>
      <c r="E26" s="47" t="s">
        <v>25</v>
      </c>
      <c r="F26" s="50">
        <f>G10*K13</f>
        <v>983.24999999999989</v>
      </c>
      <c r="H26" s="2"/>
      <c r="I26" s="2"/>
      <c r="L26" s="2"/>
    </row>
    <row r="27" spans="1:12" ht="15.75" thickBot="1">
      <c r="A27" s="5" t="s">
        <v>28</v>
      </c>
      <c r="B27" s="8">
        <f>G13*K19</f>
        <v>7800</v>
      </c>
      <c r="C27" s="2"/>
      <c r="L27" s="2"/>
    </row>
    <row r="28" spans="1:12" ht="30" customHeight="1">
      <c r="C28" s="14"/>
      <c r="D28" s="14"/>
      <c r="E28" s="2"/>
      <c r="F28" s="2"/>
      <c r="G28" s="2"/>
      <c r="L28" s="2"/>
    </row>
    <row r="29" spans="1:12">
      <c r="C29" s="2"/>
      <c r="G29" s="2"/>
      <c r="L29" s="2"/>
    </row>
    <row r="30" spans="1:12">
      <c r="C30" s="2"/>
      <c r="L30" s="2"/>
    </row>
    <row r="31" spans="1:12">
      <c r="I31" s="2"/>
      <c r="L31" s="2"/>
    </row>
    <row r="32" spans="1:12">
      <c r="I32" s="2"/>
      <c r="L32" s="2"/>
    </row>
    <row r="33" spans="2:12">
      <c r="I33" s="2"/>
      <c r="L33" s="2"/>
    </row>
    <row r="34" spans="2:12">
      <c r="I34" s="2"/>
      <c r="L34" s="2"/>
    </row>
    <row r="35" spans="2:12">
      <c r="H35" s="2"/>
      <c r="I35" s="2"/>
      <c r="L35" s="2"/>
    </row>
    <row r="36" spans="2:12">
      <c r="H36" s="2"/>
      <c r="I36" s="2"/>
      <c r="J36" s="2"/>
      <c r="K36" s="2"/>
      <c r="L36" s="2"/>
    </row>
    <row r="38" spans="2:12">
      <c r="B38" s="15"/>
    </row>
  </sheetData>
  <mergeCells count="15">
    <mergeCell ref="H23:H24"/>
    <mergeCell ref="I23:J24"/>
    <mergeCell ref="J7:K7"/>
    <mergeCell ref="A1:K2"/>
    <mergeCell ref="A21:K21"/>
    <mergeCell ref="A7:D7"/>
    <mergeCell ref="A23:B23"/>
    <mergeCell ref="E23:F23"/>
    <mergeCell ref="A15:B15"/>
    <mergeCell ref="A9:B9"/>
    <mergeCell ref="F9:G9"/>
    <mergeCell ref="J15:K15"/>
    <mergeCell ref="J9:K9"/>
    <mergeCell ref="E4:H5"/>
    <mergeCell ref="F7:H7"/>
  </mergeCells>
  <dataValidations disablePrompts="1" count="2">
    <dataValidation type="list" allowBlank="1" showInputMessage="1" showErrorMessage="1" sqref="B11">
      <formula1>"ALTO,MÉDIO,BAIXO"</formula1>
    </dataValidation>
    <dataValidation type="list" allowBlank="1" showInputMessage="1" showErrorMessage="1" sqref="B12">
      <formula1>"TR8,TR12"</formula1>
    </dataValidation>
  </dataValidations>
  <pageMargins left="0.7" right="0.7" top="0.75" bottom="0.75" header="0.3" footer="0.3"/>
  <ignoredErrors>
    <ignoredError sqref="K19" unlocked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PRECIFICAÇÃO DA ESTRUTURA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 ENGENHARIA</dc:creator>
  <cp:lastModifiedBy>Jonathan Simões</cp:lastModifiedBy>
  <dcterms:created xsi:type="dcterms:W3CDTF">2015-06-05T18:19:34Z</dcterms:created>
  <dcterms:modified xsi:type="dcterms:W3CDTF">2020-09-11T18:06:30Z</dcterms:modified>
</cp:coreProperties>
</file>