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madura positiva - Laje treliç" sheetId="1" r:id="rId4"/>
  </sheets>
  <definedNames/>
  <calcPr/>
  <extLst>
    <ext uri="GoogleSheetsCustomDataVersion2">
      <go:sheetsCustomData xmlns:go="http://customooxmlschemas.google.com/" r:id="rId5" roundtripDataChecksum="MS0DUghEH3DTHu4NqAxg7t+z5yjcjrjEo3b7r/NOixg="/>
    </ext>
  </extLst>
</workbook>
</file>

<file path=xl/sharedStrings.xml><?xml version="1.0" encoding="utf-8"?>
<sst xmlns="http://schemas.openxmlformats.org/spreadsheetml/2006/main" count="72" uniqueCount="71">
  <si>
    <t>VERIFICAÇÃO ARMADURA POSITIVA - LAJE TRELIÇADA (CYPECAD)</t>
  </si>
  <si>
    <t>Engenheiro Waltner Wagner</t>
  </si>
  <si>
    <t xml:space="preserve">(@eng.waltnerwagner) </t>
  </si>
  <si>
    <t>Preencha apenas as células com essa cor de fundo!</t>
  </si>
  <si>
    <t>(EngenheiroWaltnerWagner)</t>
  </si>
  <si>
    <t>DADOS INICIAIS E RESULTADOS</t>
  </si>
  <si>
    <t xml:space="preserve">DIMENSIONAMENTO </t>
  </si>
  <si>
    <t>Tipo treliça</t>
  </si>
  <si>
    <t>8M</t>
  </si>
  <si>
    <t>Altura enchim (cm):</t>
  </si>
  <si>
    <t>DADOS GERAIS</t>
  </si>
  <si>
    <t>Calculo Momento Fletor</t>
  </si>
  <si>
    <t>Cálculo - Força Cortante</t>
  </si>
  <si>
    <t>Altura capa (cm)</t>
  </si>
  <si>
    <t>h.total (treliça + capa) (cm):</t>
  </si>
  <si>
    <t>Mk:</t>
  </si>
  <si>
    <t>Vk (tf/m):</t>
  </si>
  <si>
    <t>Espaçam vigotas (cm):</t>
  </si>
  <si>
    <t>Espess média (cm):</t>
  </si>
  <si>
    <t>Mu:</t>
  </si>
  <si>
    <t>Vrd1 (tf/m):</t>
  </si>
  <si>
    <t>Largura vigota (cm):</t>
  </si>
  <si>
    <t>ocd (tf/cm²):</t>
  </si>
  <si>
    <t>Xi:</t>
  </si>
  <si>
    <t>Trd (tf/cm²):</t>
  </si>
  <si>
    <t>FCK (Mpa):</t>
  </si>
  <si>
    <t>Altura treliça (cm):</t>
  </si>
  <si>
    <t>Fyd(base):</t>
  </si>
  <si>
    <t>k:</t>
  </si>
  <si>
    <t>Cobrimento (cm):</t>
  </si>
  <si>
    <t>Arm sup (mm):</t>
  </si>
  <si>
    <t>AS nec:</t>
  </si>
  <si>
    <t>p1:</t>
  </si>
  <si>
    <t>Md+ resist (tfm/m):</t>
  </si>
  <si>
    <t>Arm inf (mm):</t>
  </si>
  <si>
    <t>AS arm base:</t>
  </si>
  <si>
    <t>fctd(tf/cm²):</t>
  </si>
  <si>
    <t>Diagonais (mm):</t>
  </si>
  <si>
    <t>Fyd(reforço):</t>
  </si>
  <si>
    <t>Vc (tf/cm²):</t>
  </si>
  <si>
    <t>d (cm):</t>
  </si>
  <si>
    <t>AS reforço:</t>
  </si>
  <si>
    <t>Vsw (tf/cm²):</t>
  </si>
  <si>
    <t>Esforços:</t>
  </si>
  <si>
    <t>Momento de cálculo (cype)</t>
  </si>
  <si>
    <t>Arm. Reforço (mm)</t>
  </si>
  <si>
    <t>Qt de armaduras:</t>
  </si>
  <si>
    <t>% arm. Utilizada</t>
  </si>
  <si>
    <t>AS efetiva:</t>
  </si>
  <si>
    <t>Comp diag (cm):</t>
  </si>
  <si>
    <t>Md+ (envolt/m):</t>
  </si>
  <si>
    <t>Vr (tf/m):</t>
  </si>
  <si>
    <t>Vd (envolt/m):</t>
  </si>
  <si>
    <t>TABELAS AUXILIARES</t>
  </si>
  <si>
    <t>TRELIÇA</t>
  </si>
  <si>
    <t>Altura</t>
  </si>
  <si>
    <t>Arm Sup</t>
  </si>
  <si>
    <t>Arm Inf</t>
  </si>
  <si>
    <t>Diag</t>
  </si>
  <si>
    <t>Kg/m</t>
  </si>
  <si>
    <t>Ø</t>
  </si>
  <si>
    <t>FYK</t>
  </si>
  <si>
    <t>8L</t>
  </si>
  <si>
    <t>12M</t>
  </si>
  <si>
    <t>12R</t>
  </si>
  <si>
    <t>16L</t>
  </si>
  <si>
    <t>16R</t>
  </si>
  <si>
    <t>20L</t>
  </si>
  <si>
    <t>20R</t>
  </si>
  <si>
    <t>25L</t>
  </si>
  <si>
    <t>25R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</si>
</sst>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%"/>
    <numFmt numFmtId="166" formatCode="0.0"/>
  </numFmts>
  <fonts count="27">
    <font>
      <sz val="11.0"/>
      <color theme="1"/>
      <name val="Calibri"/>
      <scheme val="minor"/>
    </font>
    <font>
      <b/>
      <sz val="14.0"/>
      <color rgb="FFFF0000"/>
      <name val="Arial"/>
    </font>
    <font/>
    <font>
      <sz val="10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u/>
      <sz val="11.0"/>
      <color rgb="FFFF0000"/>
      <name val="Arial"/>
    </font>
    <font>
      <sz val="11.0"/>
      <color theme="1"/>
      <name val="Arial"/>
    </font>
    <font>
      <u/>
      <sz val="11.0"/>
      <color rgb="FFFF0000"/>
      <name val="Arial"/>
    </font>
    <font>
      <b/>
      <sz val="12.0"/>
      <color rgb="FFFF0000"/>
      <name val="Arial"/>
    </font>
    <font>
      <sz val="9.0"/>
      <color theme="1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9.0"/>
      <color theme="1"/>
      <name val="Arial"/>
    </font>
    <font>
      <sz val="10.0"/>
      <color rgb="FF000000"/>
      <name val="Arial"/>
    </font>
    <font>
      <i/>
      <sz val="9.0"/>
      <color rgb="FF000000"/>
      <name val="Arial"/>
    </font>
    <font>
      <i/>
      <sz val="9.0"/>
      <color theme="1"/>
      <name val="Arial"/>
    </font>
    <font>
      <b/>
      <i/>
      <sz val="9.0"/>
      <color rgb="FF000000"/>
      <name val="Arial"/>
    </font>
    <font>
      <b/>
      <sz val="9.0"/>
      <color rgb="FFFF0000"/>
      <name val="Arial"/>
    </font>
    <font>
      <sz val="9.0"/>
      <color rgb="FFBFBFBF"/>
      <name val="Arial"/>
    </font>
    <font>
      <sz val="10.0"/>
      <color rgb="FFBFBFBF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C0C0C"/>
        <bgColor rgb="FF0C0C0C"/>
      </patternFill>
    </fill>
    <fill>
      <patternFill patternType="solid">
        <fgColor rgb="FFFF776D"/>
        <bgColor rgb="FFFF776D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46">
    <border/>
    <border>
      <left style="thin">
        <color rgb="FF000000"/>
      </left>
      <top/>
    </border>
    <border>
      <top/>
    </border>
    <border>
      <right/>
      <top/>
    </border>
    <border>
      <left style="thin">
        <color rgb="FF000000"/>
      </left>
      <bottom/>
    </border>
    <border>
      <bottom/>
    </border>
    <border>
      <right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center"/>
    </xf>
    <xf borderId="8" fillId="0" fontId="2" numFmtId="0" xfId="0" applyBorder="1" applyFont="1"/>
    <xf borderId="0" fillId="0" fontId="5" numFmtId="0" xfId="0" applyFont="1"/>
    <xf borderId="9" fillId="0" fontId="3" numFmtId="0" xfId="0" applyBorder="1" applyFont="1"/>
    <xf borderId="10" fillId="0" fontId="6" numFmtId="0" xfId="0" applyAlignment="1" applyBorder="1" applyFont="1">
      <alignment horizontal="left" vertical="center"/>
    </xf>
    <xf borderId="9" fillId="3" fontId="4" numFmtId="49" xfId="0" applyAlignment="1" applyBorder="1" applyFill="1" applyFont="1" applyNumberFormat="1">
      <alignment horizontal="center" shrinkToFit="0" vertical="center" wrapText="1"/>
    </xf>
    <xf borderId="11" fillId="0" fontId="2" numFmtId="0" xfId="0" applyBorder="1" applyFont="1"/>
    <xf borderId="10" fillId="0" fontId="2" numFmtId="0" xfId="0" applyBorder="1" applyFont="1"/>
    <xf borderId="0" fillId="0" fontId="7" numFmtId="0" xfId="0" applyFont="1"/>
    <xf borderId="12" fillId="0" fontId="3" numFmtId="0" xfId="0" applyBorder="1" applyFont="1"/>
    <xf borderId="13" fillId="0" fontId="8" numFmtId="0" xfId="0" applyAlignment="1" applyBorder="1" applyFont="1">
      <alignment horizontal="left" vertic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4" fillId="0" fontId="3" numFmtId="0" xfId="0" applyBorder="1" applyFont="1"/>
    <xf borderId="16" fillId="0" fontId="3" numFmtId="0" xfId="0" applyBorder="1" applyFont="1"/>
    <xf borderId="17" fillId="4" fontId="9" numFmtId="49" xfId="0" applyAlignment="1" applyBorder="1" applyFill="1" applyFont="1" applyNumberForma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0" fillId="0" fontId="10" numFmtId="0" xfId="0" applyFont="1"/>
    <xf borderId="20" fillId="5" fontId="11" numFmtId="0" xfId="0" applyAlignment="1" applyBorder="1" applyFill="1" applyFont="1">
      <alignment horizontal="center"/>
    </xf>
    <xf borderId="21" fillId="3" fontId="12" numFmtId="0" xfId="0" applyAlignment="1" applyBorder="1" applyFont="1">
      <alignment horizontal="center"/>
    </xf>
    <xf borderId="22" fillId="5" fontId="11" numFmtId="0" xfId="0" applyBorder="1" applyFont="1"/>
    <xf borderId="23" fillId="5" fontId="11" numFmtId="0" xfId="0" applyAlignment="1" applyBorder="1" applyFont="1">
      <alignment horizontal="center" vertical="center"/>
    </xf>
    <xf borderId="24" fillId="3" fontId="10" numFmtId="1" xfId="0" applyAlignment="1" applyBorder="1" applyFont="1" applyNumberFormat="1">
      <alignment horizontal="center" vertical="center"/>
    </xf>
    <xf borderId="25" fillId="6" fontId="13" numFmtId="0" xfId="0" applyAlignment="1" applyBorder="1" applyFill="1" applyFont="1">
      <alignment horizontal="center" vertical="center"/>
    </xf>
    <xf borderId="26" fillId="0" fontId="2" numFmtId="0" xfId="0" applyBorder="1" applyFont="1"/>
    <xf borderId="22" fillId="5" fontId="13" numFmtId="0" xfId="0" applyBorder="1" applyFont="1"/>
    <xf borderId="22" fillId="5" fontId="14" numFmtId="0" xfId="0" applyBorder="1" applyFont="1"/>
    <xf borderId="22" fillId="5" fontId="12" numFmtId="0" xfId="0" applyBorder="1" applyFont="1"/>
    <xf borderId="23" fillId="5" fontId="11" numFmtId="0" xfId="0" applyAlignment="1" applyBorder="1" applyFont="1">
      <alignment horizontal="center"/>
    </xf>
    <xf borderId="24" fillId="3" fontId="12" numFmtId="0" xfId="0" applyAlignment="1" applyBorder="1" applyFont="1">
      <alignment horizontal="center" readingOrder="0"/>
    </xf>
    <xf borderId="23" fillId="5" fontId="15" numFmtId="0" xfId="0" applyAlignment="1" applyBorder="1" applyFont="1">
      <alignment horizontal="center" vertical="center"/>
    </xf>
    <xf borderId="24" fillId="5" fontId="15" numFmtId="2" xfId="0" applyAlignment="1" applyBorder="1" applyFont="1" applyNumberFormat="1">
      <alignment horizontal="center" vertical="center"/>
    </xf>
    <xf borderId="22" fillId="5" fontId="10" numFmtId="0" xfId="0" applyBorder="1" applyFont="1"/>
    <xf borderId="23" fillId="5" fontId="16" numFmtId="0" xfId="0" applyAlignment="1" applyBorder="1" applyFont="1">
      <alignment horizontal="center" vertical="center"/>
    </xf>
    <xf borderId="24" fillId="5" fontId="16" numFmtId="164" xfId="0" applyAlignment="1" applyBorder="1" applyFont="1" applyNumberFormat="1">
      <alignment horizontal="center" vertical="center"/>
    </xf>
    <xf borderId="24" fillId="3" fontId="12" numFmtId="0" xfId="0" applyAlignment="1" applyBorder="1" applyFont="1">
      <alignment horizontal="center"/>
    </xf>
    <xf borderId="24" fillId="5" fontId="16" numFmtId="2" xfId="0" applyAlignment="1" applyBorder="1" applyFont="1" applyNumberFormat="1">
      <alignment horizontal="center" vertical="center"/>
    </xf>
    <xf borderId="24" fillId="5" fontId="16" numFmtId="165" xfId="0" applyAlignment="1" applyBorder="1" applyFont="1" applyNumberFormat="1">
      <alignment horizontal="center" vertical="center"/>
    </xf>
    <xf borderId="22" fillId="5" fontId="12" numFmtId="0" xfId="0" applyAlignment="1" applyBorder="1" applyFont="1">
      <alignment horizontal="center"/>
    </xf>
    <xf borderId="24" fillId="5" fontId="16" numFmtId="9" xfId="0" applyAlignment="1" applyBorder="1" applyFont="1" applyNumberFormat="1">
      <alignment horizontal="center" vertical="center"/>
    </xf>
    <xf borderId="22" fillId="5" fontId="10" numFmtId="9" xfId="0" applyBorder="1" applyFont="1" applyNumberFormat="1"/>
    <xf borderId="24" fillId="5" fontId="16" numFmtId="166" xfId="0" applyAlignment="1" applyBorder="1" applyFont="1" applyNumberFormat="1">
      <alignment horizontal="center" vertical="center"/>
    </xf>
    <xf borderId="24" fillId="5" fontId="16" numFmtId="10" xfId="0" applyAlignment="1" applyBorder="1" applyFont="1" applyNumberFormat="1">
      <alignment horizontal="center" vertical="center"/>
    </xf>
    <xf borderId="22" fillId="5" fontId="10" numFmtId="10" xfId="0" applyBorder="1" applyFont="1" applyNumberFormat="1"/>
    <xf borderId="27" fillId="5" fontId="11" numFmtId="0" xfId="0" applyAlignment="1" applyBorder="1" applyFont="1">
      <alignment horizontal="center" vertical="center"/>
    </xf>
    <xf borderId="28" fillId="5" fontId="12" numFmtId="2" xfId="0" applyAlignment="1" applyBorder="1" applyFont="1" applyNumberFormat="1">
      <alignment horizontal="center" vertical="top"/>
    </xf>
    <xf borderId="27" fillId="5" fontId="16" numFmtId="0" xfId="0" applyAlignment="1" applyBorder="1" applyFont="1">
      <alignment horizontal="center" vertical="center"/>
    </xf>
    <xf borderId="28" fillId="5" fontId="16" numFmtId="166" xfId="0" applyAlignment="1" applyBorder="1" applyFont="1" applyNumberFormat="1">
      <alignment horizontal="center" vertical="center"/>
    </xf>
    <xf borderId="22" fillId="5" fontId="10" numFmtId="0" xfId="0" applyAlignment="1" applyBorder="1" applyFont="1">
      <alignment horizontal="center"/>
    </xf>
    <xf borderId="20" fillId="5" fontId="11" numFmtId="0" xfId="0" applyAlignment="1" applyBorder="1" applyFont="1">
      <alignment horizontal="center" vertical="center"/>
    </xf>
    <xf borderId="29" fillId="5" fontId="11" numFmtId="0" xfId="0" applyAlignment="1" applyBorder="1" applyFont="1">
      <alignment horizontal="center" vertical="center"/>
    </xf>
    <xf borderId="29" fillId="5" fontId="11" numFmtId="0" xfId="0" applyAlignment="1" applyBorder="1" applyFont="1">
      <alignment horizontal="center" shrinkToFit="0" vertical="center" wrapText="1"/>
    </xf>
    <xf borderId="29" fillId="5" fontId="17" numFmtId="0" xfId="0" applyAlignment="1" applyBorder="1" applyFont="1">
      <alignment horizontal="center" vertical="center"/>
    </xf>
    <xf borderId="30" fillId="5" fontId="17" numFmtId="0" xfId="0" applyAlignment="1" applyBorder="1" applyFont="1">
      <alignment horizontal="center" vertical="center"/>
    </xf>
    <xf borderId="22" fillId="5" fontId="17" numFmtId="0" xfId="0" applyAlignment="1" applyBorder="1" applyFont="1">
      <alignment horizontal="center" vertical="center"/>
    </xf>
    <xf borderId="22" fillId="5" fontId="3" numFmtId="0" xfId="0" applyBorder="1" applyFont="1"/>
    <xf borderId="28" fillId="5" fontId="16" numFmtId="164" xfId="0" applyAlignment="1" applyBorder="1" applyFont="1" applyNumberFormat="1">
      <alignment horizontal="center" vertical="center"/>
    </xf>
    <xf borderId="31" fillId="3" fontId="12" numFmtId="164" xfId="0" applyAlignment="1" applyBorder="1" applyFont="1" applyNumberFormat="1">
      <alignment horizontal="center"/>
    </xf>
    <xf borderId="31" fillId="5" fontId="12" numFmtId="0" xfId="0" applyAlignment="1" applyBorder="1" applyFont="1">
      <alignment horizontal="center"/>
    </xf>
    <xf borderId="31" fillId="5" fontId="17" numFmtId="0" xfId="0" applyAlignment="1" applyBorder="1" applyFont="1">
      <alignment horizontal="center"/>
    </xf>
    <xf borderId="32" fillId="5" fontId="17" numFmtId="165" xfId="0" applyAlignment="1" applyBorder="1" applyFont="1" applyNumberFormat="1">
      <alignment horizontal="center"/>
    </xf>
    <xf borderId="33" fillId="0" fontId="2" numFmtId="0" xfId="0" applyBorder="1" applyFont="1"/>
    <xf borderId="22" fillId="5" fontId="17" numFmtId="165" xfId="0" applyAlignment="1" applyBorder="1" applyFont="1" applyNumberFormat="1">
      <alignment horizontal="center"/>
    </xf>
    <xf borderId="34" fillId="3" fontId="12" numFmtId="0" xfId="0" applyAlignment="1" applyBorder="1" applyFont="1">
      <alignment horizontal="center"/>
    </xf>
    <xf borderId="35" fillId="5" fontId="18" numFmtId="0" xfId="0" applyAlignment="1" applyBorder="1" applyFont="1">
      <alignment horizontal="center"/>
    </xf>
    <xf borderId="36" fillId="0" fontId="2" numFmtId="0" xfId="0" applyBorder="1" applyFont="1"/>
    <xf borderId="37" fillId="0" fontId="2" numFmtId="0" xfId="0" applyBorder="1" applyFont="1"/>
    <xf borderId="22" fillId="5" fontId="18" numFmtId="0" xfId="0" applyAlignment="1" applyBorder="1" applyFont="1">
      <alignment horizontal="center"/>
    </xf>
    <xf borderId="22" fillId="5" fontId="19" numFmtId="0" xfId="0" applyBorder="1" applyFont="1"/>
    <xf borderId="22" fillId="5" fontId="20" numFmtId="0" xfId="0" applyBorder="1" applyFont="1"/>
    <xf borderId="0" fillId="0" fontId="5" numFmtId="0" xfId="0" applyAlignment="1" applyFont="1">
      <alignment horizontal="center" vertical="center"/>
    </xf>
    <xf borderId="38" fillId="0" fontId="21" numFmtId="0" xfId="0" applyAlignment="1" applyBorder="1" applyFont="1">
      <alignment horizontal="center"/>
    </xf>
    <xf borderId="39" fillId="0" fontId="22" numFmtId="0" xfId="0" applyAlignment="1" applyBorder="1" applyFont="1">
      <alignment horizontal="center"/>
    </xf>
    <xf borderId="39" fillId="0" fontId="23" numFmtId="2" xfId="0" applyAlignment="1" applyBorder="1" applyFont="1" applyNumberFormat="1">
      <alignment horizontal="center"/>
    </xf>
    <xf borderId="39" fillId="0" fontId="24" numFmtId="164" xfId="0" applyAlignment="1" applyBorder="1" applyFont="1" applyNumberFormat="1">
      <alignment horizontal="center"/>
    </xf>
    <xf borderId="40" fillId="0" fontId="25" numFmtId="164" xfId="0" applyAlignment="1" applyBorder="1" applyFont="1" applyNumberFormat="1">
      <alignment horizontal="center"/>
    </xf>
    <xf borderId="40" fillId="0" fontId="26" numFmtId="2" xfId="0" applyAlignment="1" applyBorder="1" applyFont="1" applyNumberFormat="1">
      <alignment horizontal="center"/>
    </xf>
    <xf borderId="41" fillId="0" fontId="3" numFmtId="0" xfId="0" applyAlignment="1" applyBorder="1" applyFont="1">
      <alignment horizontal="center"/>
    </xf>
    <xf borderId="0" fillId="0" fontId="3" numFmtId="1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42" fillId="0" fontId="3" numFmtId="164" xfId="0" applyAlignment="1" applyBorder="1" applyFont="1" applyNumberFormat="1">
      <alignment horizontal="center"/>
    </xf>
    <xf borderId="42" fillId="0" fontId="3" numFmtId="0" xfId="0" applyAlignment="1" applyBorder="1" applyFont="1">
      <alignment horizontal="center"/>
    </xf>
    <xf borderId="0" fillId="0" fontId="3" numFmtId="2" xfId="0" applyAlignment="1" applyFont="1" applyNumberFormat="1">
      <alignment horizontal="center"/>
    </xf>
    <xf borderId="43" fillId="0" fontId="3" numFmtId="0" xfId="0" applyAlignment="1" applyBorder="1" applyFont="1">
      <alignment horizontal="center"/>
    </xf>
    <xf borderId="44" fillId="0" fontId="3" numFmtId="1" xfId="0" applyAlignment="1" applyBorder="1" applyFont="1" applyNumberFormat="1">
      <alignment horizontal="center"/>
    </xf>
    <xf borderId="44" fillId="0" fontId="3" numFmtId="2" xfId="0" applyAlignment="1" applyBorder="1" applyFont="1" applyNumberFormat="1">
      <alignment horizontal="center"/>
    </xf>
    <xf borderId="44" fillId="0" fontId="3" numFmtId="0" xfId="0" applyAlignment="1" applyBorder="1" applyFont="1">
      <alignment horizontal="center"/>
    </xf>
    <xf borderId="44" fillId="0" fontId="3" numFmtId="166" xfId="0" applyAlignment="1" applyBorder="1" applyFont="1" applyNumberFormat="1">
      <alignment horizontal="center"/>
    </xf>
    <xf borderId="45" fillId="0" fontId="3" numFmtId="164" xfId="0" applyAlignment="1" applyBorder="1" applyFont="1" applyNumberFormat="1">
      <alignment horizontal="center"/>
    </xf>
    <xf borderId="45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3</xdr:row>
      <xdr:rowOff>9525</xdr:rowOff>
    </xdr:from>
    <xdr:ext cx="866775" cy="8096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1457325</xdr:colOff>
      <xdr:row>3</xdr:row>
      <xdr:rowOff>47625</xdr:rowOff>
    </xdr:from>
    <xdr:ext cx="180975" cy="1905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95275" cy="2952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eng.waltnerwagner/" TargetMode="External"/><Relationship Id="rId2" Type="http://schemas.openxmlformats.org/officeDocument/2006/relationships/hyperlink" Target="https://www.youtube.com/c/EngenheiroWaltnerWagner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27.57"/>
    <col customWidth="1" min="3" max="3" width="12.86"/>
    <col customWidth="1" min="4" max="4" width="16.14"/>
    <col customWidth="1" min="5" max="5" width="14.29"/>
    <col customWidth="1" min="6" max="6" width="9.14"/>
    <col customWidth="1" min="7" max="7" width="3.86"/>
    <col customWidth="1" min="8" max="8" width="21.86"/>
    <col customWidth="1" min="9" max="10" width="9.14"/>
    <col customWidth="1" min="11" max="12" width="12.14"/>
    <col customWidth="1" min="13" max="13" width="10.86"/>
    <col customWidth="1" min="14" max="14" width="15.43"/>
    <col customWidth="1" min="15" max="15" width="13.0"/>
    <col customWidth="1" min="16" max="21" width="9.14"/>
    <col customWidth="1" min="22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</row>
    <row r="2" ht="15.0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4"/>
      <c r="T2" s="4"/>
      <c r="U2" s="4"/>
      <c r="V2" s="4"/>
      <c r="W2" s="4"/>
      <c r="X2" s="4"/>
      <c r="Y2" s="4"/>
      <c r="Z2" s="4"/>
    </row>
    <row r="3" ht="14.25" customHeight="1">
      <c r="A3" s="8" t="s">
        <v>1</v>
      </c>
      <c r="B3" s="9"/>
      <c r="C3" s="10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0.25" customHeight="1">
      <c r="A4" s="11"/>
      <c r="B4" s="12" t="s">
        <v>2</v>
      </c>
      <c r="C4" s="4"/>
      <c r="D4" s="13" t="s">
        <v>3</v>
      </c>
      <c r="E4" s="14"/>
      <c r="F4" s="14"/>
      <c r="G4" s="14"/>
      <c r="H4" s="14"/>
      <c r="I4" s="14"/>
      <c r="J4" s="14"/>
      <c r="K4" s="14"/>
      <c r="L4" s="14"/>
      <c r="M4" s="15"/>
      <c r="N4" s="4"/>
      <c r="O4" s="4"/>
      <c r="P4" s="16"/>
      <c r="Q4" s="4"/>
      <c r="R4" s="4"/>
      <c r="S4" s="4"/>
      <c r="T4" s="4"/>
      <c r="U4" s="4"/>
      <c r="V4" s="4"/>
      <c r="W4" s="4"/>
      <c r="X4" s="4"/>
      <c r="Y4" s="4"/>
      <c r="Z4" s="4"/>
    </row>
    <row r="5" ht="23.25" customHeight="1">
      <c r="A5" s="17"/>
      <c r="B5" s="18" t="s">
        <v>4</v>
      </c>
      <c r="C5" s="4"/>
      <c r="D5" s="19"/>
      <c r="E5" s="20"/>
      <c r="F5" s="20"/>
      <c r="G5" s="20"/>
      <c r="H5" s="20"/>
      <c r="I5" s="20"/>
      <c r="J5" s="20"/>
      <c r="K5" s="20"/>
      <c r="L5" s="20"/>
      <c r="M5" s="21"/>
      <c r="N5" s="16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22"/>
      <c r="B6" s="23"/>
      <c r="C6" s="4"/>
      <c r="D6" s="4"/>
      <c r="E6" s="1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0" customHeight="1">
      <c r="A8" s="24" t="s">
        <v>5</v>
      </c>
      <c r="B8" s="25"/>
      <c r="C8" s="25"/>
      <c r="D8" s="25"/>
      <c r="E8" s="26"/>
      <c r="F8" s="4"/>
      <c r="G8" s="4"/>
      <c r="H8" s="24" t="s">
        <v>6</v>
      </c>
      <c r="I8" s="25"/>
      <c r="J8" s="25"/>
      <c r="K8" s="25"/>
      <c r="L8" s="25"/>
      <c r="M8" s="25"/>
      <c r="N8" s="25"/>
      <c r="O8" s="25"/>
      <c r="P8" s="25"/>
      <c r="Q8" s="25"/>
      <c r="R8" s="26"/>
      <c r="S8" s="4"/>
      <c r="T8" s="4"/>
      <c r="U8" s="4"/>
      <c r="V8" s="4"/>
      <c r="W8" s="4"/>
      <c r="X8" s="4"/>
      <c r="Y8" s="4"/>
      <c r="Z8" s="4"/>
    </row>
    <row r="9" ht="13.5" customHeight="1">
      <c r="A9" s="27"/>
      <c r="B9" s="27"/>
      <c r="C9" s="27"/>
      <c r="D9" s="27"/>
      <c r="E9" s="27"/>
      <c r="F9" s="4"/>
      <c r="G9" s="4"/>
      <c r="H9" s="27"/>
      <c r="I9" s="27"/>
      <c r="J9" s="27"/>
      <c r="K9" s="27"/>
      <c r="L9" s="27"/>
      <c r="M9" s="27"/>
      <c r="N9" s="27"/>
      <c r="O9" s="27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27"/>
      <c r="B10" s="28" t="s">
        <v>7</v>
      </c>
      <c r="C10" s="29" t="s">
        <v>8</v>
      </c>
      <c r="D10" s="4"/>
      <c r="E10" s="4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0.25" customHeight="1">
      <c r="A11" s="30"/>
      <c r="B11" s="31" t="s">
        <v>9</v>
      </c>
      <c r="C11" s="32">
        <v>8.0</v>
      </c>
      <c r="D11" s="30"/>
      <c r="E11" s="30"/>
      <c r="F11" s="30"/>
      <c r="G11" s="30"/>
      <c r="H11" s="33" t="s">
        <v>10</v>
      </c>
      <c r="I11" s="34"/>
      <c r="J11" s="35"/>
      <c r="K11" s="33" t="s">
        <v>11</v>
      </c>
      <c r="L11" s="34"/>
      <c r="M11" s="36"/>
      <c r="N11" s="33" t="s">
        <v>12</v>
      </c>
      <c r="O11" s="34"/>
      <c r="P11" s="36"/>
      <c r="Q11" s="35"/>
      <c r="R11" s="36"/>
      <c r="S11" s="36"/>
      <c r="T11" s="36"/>
      <c r="U11" s="36"/>
      <c r="V11" s="36"/>
      <c r="W11" s="36"/>
      <c r="X11" s="36"/>
      <c r="Y11" s="36"/>
      <c r="Z11" s="36"/>
    </row>
    <row r="12" ht="16.5" customHeight="1">
      <c r="A12" s="37"/>
      <c r="B12" s="38" t="s">
        <v>13</v>
      </c>
      <c r="C12" s="39">
        <v>5.0</v>
      </c>
      <c r="D12" s="30"/>
      <c r="E12" s="30"/>
      <c r="F12" s="30"/>
      <c r="G12" s="30"/>
      <c r="H12" s="40" t="s">
        <v>14</v>
      </c>
      <c r="I12" s="41">
        <f>C11+C12</f>
        <v>13</v>
      </c>
      <c r="J12" s="42"/>
      <c r="K12" s="43" t="s">
        <v>15</v>
      </c>
      <c r="L12" s="44">
        <f>B21/1.4</f>
        <v>0.3714285714</v>
      </c>
      <c r="M12" s="36"/>
      <c r="N12" s="43" t="s">
        <v>16</v>
      </c>
      <c r="O12" s="44">
        <f>B22/1.4</f>
        <v>0.1428571429</v>
      </c>
      <c r="P12" s="36"/>
      <c r="Q12" s="42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7"/>
      <c r="B13" s="38" t="s">
        <v>17</v>
      </c>
      <c r="C13" s="45">
        <v>50.0</v>
      </c>
      <c r="D13" s="37"/>
      <c r="E13" s="37"/>
      <c r="F13" s="37"/>
      <c r="G13" s="37"/>
      <c r="H13" s="43" t="s">
        <v>18</v>
      </c>
      <c r="I13" s="46">
        <f>C14/C13*C11+C12</f>
        <v>7.24</v>
      </c>
      <c r="J13" s="42"/>
      <c r="K13" s="43" t="s">
        <v>19</v>
      </c>
      <c r="L13" s="47">
        <f>L12*1.4*100/I19^2/100/I14</f>
        <v>0.02706870007</v>
      </c>
      <c r="M13" s="36"/>
      <c r="N13" s="43" t="s">
        <v>20</v>
      </c>
      <c r="O13" s="44">
        <f>(O14*O15*(1.2+40*O16)*C14*100/C13*MAX(I19:J19))</f>
        <v>1.80276886</v>
      </c>
      <c r="P13" s="36"/>
      <c r="Q13" s="42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7"/>
      <c r="B14" s="38" t="s">
        <v>21</v>
      </c>
      <c r="C14" s="45">
        <v>14.0</v>
      </c>
      <c r="D14" s="37"/>
      <c r="E14" s="37"/>
      <c r="F14" s="37"/>
      <c r="G14" s="37"/>
      <c r="H14" s="43" t="s">
        <v>22</v>
      </c>
      <c r="I14" s="44">
        <f>C15/100/1.4*0.85</f>
        <v>0.1517857143</v>
      </c>
      <c r="J14" s="42"/>
      <c r="K14" s="43" t="s">
        <v>23</v>
      </c>
      <c r="L14" s="47">
        <f>1-(1-2*L13)^0.5</f>
        <v>0.02744532295</v>
      </c>
      <c r="M14" s="36"/>
      <c r="N14" s="43" t="s">
        <v>24</v>
      </c>
      <c r="O14" s="44">
        <f>0.25*0.3*C15^(2/3)*0.7/1.4/100</f>
        <v>0.0032062049</v>
      </c>
      <c r="P14" s="36"/>
      <c r="Q14" s="42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7"/>
      <c r="B15" s="38" t="s">
        <v>25</v>
      </c>
      <c r="C15" s="45">
        <v>25.0</v>
      </c>
      <c r="D15" s="48"/>
      <c r="E15" s="48"/>
      <c r="F15" s="48"/>
      <c r="G15" s="48"/>
      <c r="H15" s="43" t="s">
        <v>26</v>
      </c>
      <c r="I15" s="46">
        <f>VLOOKUP(C10,B28:H37,2,FALSE)</f>
        <v>8</v>
      </c>
      <c r="J15" s="42"/>
      <c r="K15" s="43" t="s">
        <v>27</v>
      </c>
      <c r="L15" s="44">
        <f>VLOOKUP(I17,J27:K40,2,FALSE)/100/1.15</f>
        <v>5.217391304</v>
      </c>
      <c r="M15" s="36"/>
      <c r="N15" s="43" t="s">
        <v>28</v>
      </c>
      <c r="O15" s="49">
        <f>1.6-I19/100</f>
        <v>1.4875</v>
      </c>
      <c r="P15" s="36"/>
      <c r="Q15" s="50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7"/>
      <c r="B16" s="38" t="s">
        <v>29</v>
      </c>
      <c r="C16" s="45">
        <v>1.5</v>
      </c>
      <c r="D16" s="48"/>
      <c r="E16" s="48"/>
      <c r="F16" s="48"/>
      <c r="G16" s="48"/>
      <c r="H16" s="43" t="s">
        <v>30</v>
      </c>
      <c r="I16" s="51">
        <f>VLOOKUP(C10,B28:H37,3,FALSE)</f>
        <v>6</v>
      </c>
      <c r="J16" s="42"/>
      <c r="K16" s="43" t="s">
        <v>31</v>
      </c>
      <c r="L16" s="44">
        <f>L14*100*I19*I14/L15*C13/100</f>
        <v>0.4491261693</v>
      </c>
      <c r="M16" s="36"/>
      <c r="N16" s="43" t="s">
        <v>32</v>
      </c>
      <c r="O16" s="52">
        <f>MIN(MAX(M20)/C14*100/C13/MAX(I19:J19),0.02)</f>
        <v>0</v>
      </c>
      <c r="P16" s="36"/>
      <c r="Q16" s="53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7"/>
      <c r="B17" s="54" t="s">
        <v>33</v>
      </c>
      <c r="C17" s="55">
        <f>ROUNDDOWN(L17/L16*B21/L13*L14,2)-0.01</f>
        <v>0.45</v>
      </c>
      <c r="D17" s="48"/>
      <c r="E17" s="48"/>
      <c r="F17" s="48"/>
      <c r="G17" s="48"/>
      <c r="H17" s="43" t="s">
        <v>34</v>
      </c>
      <c r="I17" s="51">
        <f>VLOOKUP(C10,B28:H37,4,FALSE)</f>
        <v>5</v>
      </c>
      <c r="J17" s="42"/>
      <c r="K17" s="43" t="s">
        <v>35</v>
      </c>
      <c r="L17" s="44">
        <f>I17^2*PI()/400*2</f>
        <v>0.3926990817</v>
      </c>
      <c r="M17" s="36"/>
      <c r="N17" s="43" t="s">
        <v>36</v>
      </c>
      <c r="O17" s="44">
        <f>O14*4</f>
        <v>0.0128248196</v>
      </c>
      <c r="P17" s="36"/>
      <c r="Q17" s="42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7"/>
      <c r="B18" s="37"/>
      <c r="C18" s="37"/>
      <c r="D18" s="48"/>
      <c r="E18" s="48"/>
      <c r="F18" s="48"/>
      <c r="G18" s="48"/>
      <c r="H18" s="43" t="s">
        <v>37</v>
      </c>
      <c r="I18" s="51">
        <f>VLOOKUP(C10,B28:H37,5,FALSE)</f>
        <v>4.2</v>
      </c>
      <c r="J18" s="42"/>
      <c r="K18" s="43" t="s">
        <v>38</v>
      </c>
      <c r="L18" s="44">
        <f>VLOOKUP(C21,J27:K40,2,FALSE)/100/1.15</f>
        <v>5.217391304</v>
      </c>
      <c r="M18" s="36"/>
      <c r="N18" s="43" t="s">
        <v>39</v>
      </c>
      <c r="O18" s="44">
        <f>0.6*O17*C14*100/C13*MAX(I19:J19)</f>
        <v>2.423890904</v>
      </c>
      <c r="P18" s="36"/>
      <c r="Q18" s="42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7"/>
      <c r="B19" s="37"/>
      <c r="C19" s="37"/>
      <c r="D19" s="48"/>
      <c r="E19" s="48"/>
      <c r="F19" s="48"/>
      <c r="G19" s="48"/>
      <c r="H19" s="56" t="s">
        <v>40</v>
      </c>
      <c r="I19" s="57">
        <f>I12-C16-I17/20</f>
        <v>11.25</v>
      </c>
      <c r="J19" s="58"/>
      <c r="K19" s="43" t="s">
        <v>41</v>
      </c>
      <c r="L19" s="44">
        <f>C21^2*PI()/400</f>
        <v>0.1963495408</v>
      </c>
      <c r="M19" s="36"/>
      <c r="N19" s="43" t="s">
        <v>42</v>
      </c>
      <c r="O19" s="44">
        <f>I18^2*PI()/400*2/20*0.9*MAX(I19:J19)*(5/1.15)*100/C13*(SIN((I15/O20)+COS((I15/O20))))*I15/C11</f>
        <v>1.208699767</v>
      </c>
      <c r="P19" s="36"/>
      <c r="Q19" s="42"/>
      <c r="R19" s="36"/>
      <c r="S19" s="36"/>
      <c r="T19" s="36"/>
      <c r="U19" s="36"/>
      <c r="V19" s="36"/>
      <c r="W19" s="36"/>
      <c r="X19" s="36"/>
      <c r="Y19" s="36"/>
      <c r="Z19" s="36"/>
    </row>
    <row r="20" ht="25.5" customHeight="1">
      <c r="A20" s="59" t="s">
        <v>43</v>
      </c>
      <c r="B20" s="60" t="s">
        <v>44</v>
      </c>
      <c r="C20" s="61" t="s">
        <v>45</v>
      </c>
      <c r="D20" s="62" t="s">
        <v>46</v>
      </c>
      <c r="E20" s="63" t="s">
        <v>47</v>
      </c>
      <c r="F20" s="34"/>
      <c r="G20" s="64"/>
      <c r="H20" s="36"/>
      <c r="I20" s="36"/>
      <c r="J20" s="65"/>
      <c r="K20" s="56" t="s">
        <v>48</v>
      </c>
      <c r="L20" s="66">
        <f>L17*100/C13+L19*D21*100/C13</f>
        <v>1.178097245</v>
      </c>
      <c r="M20" s="36"/>
      <c r="N20" s="43" t="s">
        <v>49</v>
      </c>
      <c r="O20" s="51">
        <f>(10^2+I15^2)^0.5</f>
        <v>12.80624847</v>
      </c>
      <c r="P20" s="36"/>
      <c r="Q20" s="42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1" t="s">
        <v>50</v>
      </c>
      <c r="B21" s="67">
        <v>0.52</v>
      </c>
      <c r="C21" s="68">
        <v>5.0</v>
      </c>
      <c r="D21" s="69">
        <f>MAX(ROUNDUP((L16-L17)*L15/L18/L19,0),0)</f>
        <v>1</v>
      </c>
      <c r="E21" s="70">
        <f>(L16-L17)*L15/L18/L19/D21</f>
        <v>0.2873807975</v>
      </c>
      <c r="F21" s="71"/>
      <c r="G21" s="72"/>
      <c r="H21" s="65"/>
      <c r="I21" s="65"/>
      <c r="J21" s="65"/>
      <c r="K21" s="65"/>
      <c r="L21" s="65"/>
      <c r="M21" s="65"/>
      <c r="N21" s="56" t="s">
        <v>51</v>
      </c>
      <c r="O21" s="66">
        <f>MAX(O13,O18+O19)</f>
        <v>3.632590671</v>
      </c>
      <c r="P21" s="36"/>
      <c r="Q21" s="42"/>
      <c r="R21" s="36"/>
      <c r="S21" s="36"/>
      <c r="T21" s="36"/>
      <c r="U21" s="36"/>
      <c r="V21" s="36"/>
      <c r="W21" s="36"/>
      <c r="X21" s="36"/>
      <c r="Y21" s="36"/>
      <c r="Z21" s="36"/>
    </row>
    <row r="22" ht="15.0" customHeight="1">
      <c r="A22" s="54" t="s">
        <v>52</v>
      </c>
      <c r="B22" s="73">
        <v>0.2</v>
      </c>
      <c r="C22" s="74" t="str">
        <f>IF(O12*1.4&lt;O21,"OK","Não passa no cortante")</f>
        <v>OK</v>
      </c>
      <c r="D22" s="75"/>
      <c r="E22" s="75"/>
      <c r="F22" s="76"/>
      <c r="G22" s="77"/>
      <c r="H22" s="36"/>
      <c r="I22" s="36"/>
      <c r="J22" s="36"/>
      <c r="K22" s="78"/>
      <c r="L22" s="78"/>
      <c r="M22" s="78"/>
      <c r="N22" s="78"/>
      <c r="O22" s="78"/>
      <c r="P22" s="79"/>
      <c r="Q22" s="79"/>
      <c r="R22" s="79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7"/>
      <c r="B23" s="37"/>
      <c r="C23" s="48"/>
      <c r="D23" s="37"/>
      <c r="E23" s="37"/>
      <c r="F23" s="37"/>
      <c r="G23" s="37"/>
      <c r="H23" s="36"/>
      <c r="I23" s="36"/>
      <c r="J23" s="36"/>
      <c r="K23" s="78"/>
      <c r="L23" s="78"/>
      <c r="M23" s="78"/>
      <c r="N23" s="78"/>
      <c r="O23" s="78"/>
      <c r="P23" s="79"/>
      <c r="Q23" s="79"/>
      <c r="R23" s="79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7"/>
      <c r="B24" s="37"/>
      <c r="C24" s="37"/>
      <c r="D24" s="37"/>
      <c r="E24" s="37"/>
      <c r="F24" s="37"/>
      <c r="G24" s="37"/>
      <c r="H24" s="36"/>
      <c r="I24" s="36"/>
      <c r="J24" s="36"/>
      <c r="K24" s="78"/>
      <c r="L24" s="78"/>
      <c r="M24" s="78"/>
      <c r="N24" s="78"/>
      <c r="O24" s="78"/>
      <c r="P24" s="79"/>
      <c r="Q24" s="79"/>
      <c r="R24" s="79"/>
      <c r="S24" s="79"/>
      <c r="T24" s="79"/>
      <c r="U24" s="79"/>
      <c r="V24" s="36"/>
      <c r="W24" s="36"/>
      <c r="X24" s="36"/>
      <c r="Y24" s="36"/>
      <c r="Z24" s="36"/>
    </row>
    <row r="25" ht="18.75" customHeight="1">
      <c r="A25" s="24" t="s">
        <v>53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6"/>
      <c r="S25" s="80"/>
      <c r="T25" s="80"/>
      <c r="U25" s="80"/>
      <c r="V25" s="80"/>
      <c r="W25" s="80"/>
      <c r="X25" s="80"/>
      <c r="Y25" s="80"/>
      <c r="Z25" s="80"/>
    </row>
    <row r="26" ht="15.75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15.75" customHeight="1">
      <c r="A27" s="80"/>
      <c r="B27" s="81" t="s">
        <v>54</v>
      </c>
      <c r="C27" s="82" t="s">
        <v>55</v>
      </c>
      <c r="D27" s="83" t="s">
        <v>56</v>
      </c>
      <c r="E27" s="82" t="s">
        <v>57</v>
      </c>
      <c r="F27" s="84" t="s">
        <v>58</v>
      </c>
      <c r="G27" s="84"/>
      <c r="H27" s="85" t="s">
        <v>59</v>
      </c>
      <c r="I27" s="80"/>
      <c r="J27" s="81" t="s">
        <v>60</v>
      </c>
      <c r="K27" s="86" t="s">
        <v>61</v>
      </c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15.75" customHeight="1">
      <c r="A28" s="80"/>
      <c r="B28" s="87" t="s">
        <v>62</v>
      </c>
      <c r="C28" s="88">
        <v>8.0</v>
      </c>
      <c r="D28" s="89">
        <v>6.0</v>
      </c>
      <c r="E28" s="90">
        <v>4.2</v>
      </c>
      <c r="F28" s="90">
        <v>4.2</v>
      </c>
      <c r="G28" s="90"/>
      <c r="H28" s="91">
        <v>0.735</v>
      </c>
      <c r="I28" s="80"/>
      <c r="J28" s="87">
        <v>3.4</v>
      </c>
      <c r="K28" s="92">
        <v>600.0</v>
      </c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ht="15.75" customHeight="1">
      <c r="A29" s="80"/>
      <c r="B29" s="87" t="s">
        <v>8</v>
      </c>
      <c r="C29" s="88">
        <v>8.0</v>
      </c>
      <c r="D29" s="89">
        <v>6.0</v>
      </c>
      <c r="E29" s="90">
        <v>5.0</v>
      </c>
      <c r="F29" s="90">
        <v>4.2</v>
      </c>
      <c r="G29" s="90"/>
      <c r="H29" s="91">
        <v>0.825</v>
      </c>
      <c r="I29" s="80"/>
      <c r="J29" s="87">
        <v>3.8</v>
      </c>
      <c r="K29" s="92">
        <v>600.0</v>
      </c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ht="15.75" customHeight="1">
      <c r="A30" s="80"/>
      <c r="B30" s="87" t="s">
        <v>63</v>
      </c>
      <c r="C30" s="88">
        <v>12.0</v>
      </c>
      <c r="D30" s="89">
        <v>6.0</v>
      </c>
      <c r="E30" s="90">
        <v>5.0</v>
      </c>
      <c r="F30" s="90">
        <v>4.2</v>
      </c>
      <c r="G30" s="90"/>
      <c r="H30" s="91">
        <v>0.886</v>
      </c>
      <c r="I30" s="80"/>
      <c r="J30" s="87">
        <v>4.2</v>
      </c>
      <c r="K30" s="92">
        <v>600.0</v>
      </c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ht="15.75" customHeight="1">
      <c r="A31" s="80"/>
      <c r="B31" s="87" t="s">
        <v>64</v>
      </c>
      <c r="C31" s="88">
        <v>12.0</v>
      </c>
      <c r="D31" s="89">
        <v>6.0</v>
      </c>
      <c r="E31" s="90">
        <v>6.0</v>
      </c>
      <c r="F31" s="90">
        <v>4.2</v>
      </c>
      <c r="G31" s="90"/>
      <c r="H31" s="91">
        <f>1.016</f>
        <v>1.016</v>
      </c>
      <c r="I31" s="80"/>
      <c r="J31" s="87">
        <v>5.0</v>
      </c>
      <c r="K31" s="92">
        <v>600.0</v>
      </c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5.75" customHeight="1">
      <c r="A32" s="80"/>
      <c r="B32" s="87" t="s">
        <v>65</v>
      </c>
      <c r="C32" s="88">
        <v>16.0</v>
      </c>
      <c r="D32" s="89">
        <v>7.0</v>
      </c>
      <c r="E32" s="90">
        <v>5.0</v>
      </c>
      <c r="F32" s="90">
        <v>4.2</v>
      </c>
      <c r="G32" s="90"/>
      <c r="H32" s="91">
        <f>1.032</f>
        <v>1.032</v>
      </c>
      <c r="I32" s="80"/>
      <c r="J32" s="87">
        <v>6.0</v>
      </c>
      <c r="K32" s="92">
        <v>600.0</v>
      </c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15.75" customHeight="1">
      <c r="A33" s="80"/>
      <c r="B33" s="87" t="s">
        <v>66</v>
      </c>
      <c r="C33" s="88">
        <v>16.0</v>
      </c>
      <c r="D33" s="89">
        <v>7.0</v>
      </c>
      <c r="E33" s="90">
        <v>6.0</v>
      </c>
      <c r="F33" s="90">
        <v>4.2</v>
      </c>
      <c r="G33" s="90"/>
      <c r="H33" s="91">
        <f>1.168</f>
        <v>1.168</v>
      </c>
      <c r="I33" s="80"/>
      <c r="J33" s="87">
        <v>6.3</v>
      </c>
      <c r="K33" s="92">
        <v>500.0</v>
      </c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15.75" customHeight="1">
      <c r="A34" s="80"/>
      <c r="B34" s="87" t="s">
        <v>67</v>
      </c>
      <c r="C34" s="88">
        <v>20.0</v>
      </c>
      <c r="D34" s="93">
        <v>7.0</v>
      </c>
      <c r="E34" s="90">
        <v>5.0</v>
      </c>
      <c r="F34" s="89">
        <v>4.2</v>
      </c>
      <c r="G34" s="89"/>
      <c r="H34" s="91">
        <f>1.111</f>
        <v>1.111</v>
      </c>
      <c r="I34" s="80"/>
      <c r="J34" s="87">
        <v>7.0</v>
      </c>
      <c r="K34" s="92">
        <v>600.0</v>
      </c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15.75" customHeight="1">
      <c r="A35" s="80"/>
      <c r="B35" s="87" t="s">
        <v>68</v>
      </c>
      <c r="C35" s="88">
        <v>20.0</v>
      </c>
      <c r="D35" s="93">
        <v>7.0</v>
      </c>
      <c r="E35" s="90">
        <v>6.0</v>
      </c>
      <c r="F35" s="89">
        <v>5.0</v>
      </c>
      <c r="G35" s="89"/>
      <c r="H35" s="91">
        <f>1.446</f>
        <v>1.446</v>
      </c>
      <c r="I35" s="80"/>
      <c r="J35" s="87">
        <v>8.0</v>
      </c>
      <c r="K35" s="92">
        <v>500.0</v>
      </c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ht="15.75" customHeight="1">
      <c r="A36" s="80"/>
      <c r="B36" s="87" t="s">
        <v>69</v>
      </c>
      <c r="C36" s="88">
        <v>25.0</v>
      </c>
      <c r="D36" s="93">
        <v>7.0</v>
      </c>
      <c r="E36" s="90">
        <v>6.0</v>
      </c>
      <c r="F36" s="89">
        <v>5.0</v>
      </c>
      <c r="G36" s="89"/>
      <c r="H36" s="91">
        <f>1.602</f>
        <v>1.602</v>
      </c>
      <c r="I36" s="80"/>
      <c r="J36" s="87">
        <v>10.0</v>
      </c>
      <c r="K36" s="92">
        <v>500.0</v>
      </c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5.75" customHeight="1">
      <c r="A37" s="80"/>
      <c r="B37" s="94" t="s">
        <v>70</v>
      </c>
      <c r="C37" s="95">
        <v>25.0</v>
      </c>
      <c r="D37" s="96">
        <v>8.0</v>
      </c>
      <c r="E37" s="97">
        <v>7.0</v>
      </c>
      <c r="F37" s="98">
        <v>5.0</v>
      </c>
      <c r="G37" s="98"/>
      <c r="H37" s="99">
        <f>1.855</f>
        <v>1.855</v>
      </c>
      <c r="I37" s="80"/>
      <c r="J37" s="87">
        <v>12.5</v>
      </c>
      <c r="K37" s="92">
        <v>500.0</v>
      </c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5.75" customHeight="1">
      <c r="A38" s="80"/>
      <c r="B38" s="80"/>
      <c r="C38" s="80"/>
      <c r="D38" s="80"/>
      <c r="E38" s="80"/>
      <c r="F38" s="80"/>
      <c r="G38" s="80"/>
      <c r="H38" s="80"/>
      <c r="I38" s="80"/>
      <c r="J38" s="87">
        <v>16.0</v>
      </c>
      <c r="K38" s="92">
        <v>500.0</v>
      </c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ht="15.75" customHeight="1">
      <c r="A39" s="80"/>
      <c r="B39" s="80"/>
      <c r="C39" s="80"/>
      <c r="D39" s="80"/>
      <c r="E39" s="80"/>
      <c r="F39" s="80"/>
      <c r="G39" s="80"/>
      <c r="H39" s="80"/>
      <c r="I39" s="80"/>
      <c r="J39" s="94">
        <v>20.0</v>
      </c>
      <c r="K39" s="100">
        <v>500.0</v>
      </c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ht="15.75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ht="15.75" customHeight="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ht="15.75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ht="15.75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ht="15.7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ht="15.75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ht="15.75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ht="15.75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ht="15.75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ht="15.75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ht="15.7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ht="15.75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ht="15.7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ht="15.7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ht="15.7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ht="15.7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ht="15.75" customHeight="1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ht="15.75" customHeight="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ht="15.75" customHeight="1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ht="15.75" customHeight="1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ht="15.75" customHeight="1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ht="15.75" customHeight="1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ht="15.75" customHeight="1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 ht="15.75" customHeight="1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 ht="15.75" customHeight="1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ht="15.75" customHeight="1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 ht="15.75" customHeight="1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</sheetData>
  <mergeCells count="12">
    <mergeCell ref="H11:I11"/>
    <mergeCell ref="E20:F20"/>
    <mergeCell ref="E21:F21"/>
    <mergeCell ref="C22:F22"/>
    <mergeCell ref="A25:R25"/>
    <mergeCell ref="A1:R2"/>
    <mergeCell ref="A3:B3"/>
    <mergeCell ref="D4:M5"/>
    <mergeCell ref="A8:E8"/>
    <mergeCell ref="H8:R8"/>
    <mergeCell ref="K11:L11"/>
    <mergeCell ref="N11:O11"/>
  </mergeCells>
  <dataValidations>
    <dataValidation type="list" allowBlank="1" showErrorMessage="1" sqref="C21">
      <formula1>"5,6,3,8,10,12,5"</formula1>
    </dataValidation>
    <dataValidation type="list" allowBlank="1" showErrorMessage="1" sqref="C10">
      <formula1>$B$28:$B$37</formula1>
    </dataValidation>
  </dataValidations>
  <hyperlinks>
    <hyperlink r:id="rId1" ref="B4"/>
    <hyperlink r:id="rId2" ref="B5"/>
  </hyperlinks>
  <printOptions/>
  <pageMargins bottom="0.787401575" footer="0.0" header="0.0" left="0.511811024" right="0.511811024" top="0.787401575"/>
  <pageSetup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2015-07-15T20:43:48Z</dcterms:created>
  <dc:creator>Caio</dc:creator>
</cp:coreProperties>
</file>