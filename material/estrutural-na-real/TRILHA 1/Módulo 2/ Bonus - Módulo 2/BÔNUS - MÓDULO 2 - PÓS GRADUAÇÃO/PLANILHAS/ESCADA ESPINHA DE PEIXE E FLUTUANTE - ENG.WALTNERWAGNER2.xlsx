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ÍCIO" sheetId="1" r:id="rId4"/>
    <sheet state="visible" name="ESPINHA DE PEIXEFLUTUANTE" sheetId="2" r:id="rId5"/>
  </sheets>
  <definedNames>
    <definedName name="Fck">#REF!</definedName>
    <definedName name="fyk">#REF!</definedName>
  </definedNames>
  <calcPr/>
  <extLst>
    <ext uri="GoogleSheetsCustomDataVersion1">
      <go:sheetsCustomData xmlns:go="http://customooxmlschemas.google.com/" r:id="rId6" roundtripDataSignature="AMtx7mgZ/h9xw8Ct7Yp3UWec8L4yCXIWJg=="/>
    </ext>
  </extLst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A17">
      <text>
        <t xml:space="preserve">======
ID#AAAARpBaxhc
Autor    (2021-11-08 17:22:21)
Apoio - apoio estará a favor da segurança</t>
      </text>
    </comment>
    <comment authorId="0" ref="A10">
      <text>
        <t xml:space="preserve">======
ID#AAAARpBaxhg
Autor    (2021-11-08 17:22:21)
Dimensão horizontal (Projeção)</t>
      </text>
    </comment>
    <comment authorId="0" ref="E14">
      <text>
        <t xml:space="preserve">======
ID#AAAARpBaxhQ
Autor    (2021-11-08 17:22:21)
1,2 -&gt; Basalto e Diabásio
1 -&gt; Granito e Gnaisse
0,9 -&gt; Calcário
0,7 -&gt; Arenito</t>
      </text>
    </comment>
    <comment authorId="0" ref="A24">
      <text>
        <t xml:space="preserve">======
ID#AAAARpBaxhU
Autor    (2021-11-08 17:22:21)
Ajuda a combater a torção</t>
      </text>
    </comment>
    <comment authorId="0" ref="A15">
      <text>
        <t xml:space="preserve">======
ID#AAAARpBaxhY
Autor    (2021-11-08 17:22:21)
Utilizar no mínimo 8cm</t>
      </text>
    </comment>
  </commentList>
  <extLst>
    <ext uri="GoogleSheetsCustomDataVersion1">
      <go:sheetsCustomData xmlns:go="http://customooxmlschemas.google.com/" r:id="rId1" roundtripDataSignature="AMtx7miAEqyqXrkfTEMHaUj08J2OvvAZ4w=="/>
    </ext>
  </extLst>
</comments>
</file>

<file path=xl/sharedStrings.xml><?xml version="1.0" encoding="utf-8"?>
<sst xmlns="http://schemas.openxmlformats.org/spreadsheetml/2006/main" count="127" uniqueCount="117">
  <si>
    <t xml:space="preserve">  Bem-vindo à Planilha de Cálculo de Escada Espinha de Peixe do engenheiro Waltner Wagner. </t>
  </si>
  <si>
    <t xml:space="preserve">  Esse modelo de planilha permite dimensionar uma escada espinha de peixe e flutuante em concreto armado</t>
  </si>
  <si>
    <t xml:space="preserve">DIMENSIONAMENTO ESCADA ESPINHA DE PEIXE </t>
  </si>
  <si>
    <t>Preencha apenas as células com essa cor de fundo!</t>
  </si>
  <si>
    <t xml:space="preserve">DADOS INICIAIS </t>
  </si>
  <si>
    <t>MOMENTO FLETOR - VIGA</t>
  </si>
  <si>
    <t>MOMENTO FLETOR - DEGRAU</t>
  </si>
  <si>
    <t xml:space="preserve">DADOS DE VINCULAÇÃO </t>
  </si>
  <si>
    <t>Vinculação</t>
  </si>
  <si>
    <t> αx (m+)</t>
  </si>
  <si>
    <t>βx (m-)</t>
  </si>
  <si>
    <t xml:space="preserve"> γ (flecha)</t>
  </si>
  <si>
    <t>δ(V)</t>
  </si>
  <si>
    <t>Φ (mm)</t>
  </si>
  <si>
    <t>Fyk (Mpa)</t>
  </si>
  <si>
    <t>GEOMETRIA DA ESCADA</t>
  </si>
  <si>
    <t xml:space="preserve">CARREGAMENTO </t>
  </si>
  <si>
    <t>Ocd (tf/cm²)</t>
  </si>
  <si>
    <t>Peso proprio deg (tf/m)</t>
  </si>
  <si>
    <t>Vão da escada(m)</t>
  </si>
  <si>
    <t>Sobrecarga (tf/m²)</t>
  </si>
  <si>
    <t>Comprimento inclinado - Viga (m)</t>
  </si>
  <si>
    <t>Md - Momento Fletor (Degrau) (tf.cm)</t>
  </si>
  <si>
    <t>Apoio/Apoio</t>
  </si>
  <si>
    <t>Altura da escada (m)</t>
  </si>
  <si>
    <t>Carga Permanente (Tf/m²)</t>
  </si>
  <si>
    <t>Peso próprio - Viga e Degrau (tf/m)</t>
  </si>
  <si>
    <t>d (cm)</t>
  </si>
  <si>
    <t xml:space="preserve">Apoio/Engaste </t>
  </si>
  <si>
    <t>Largura escada (m)</t>
  </si>
  <si>
    <t>+</t>
  </si>
  <si>
    <t>-</t>
  </si>
  <si>
    <t>mu</t>
  </si>
  <si>
    <t>Engaste/Engaste</t>
  </si>
  <si>
    <t>Largura da viga (cm)</t>
  </si>
  <si>
    <t>FCK Concreto (Mpa)</t>
  </si>
  <si>
    <t>Mk - Momento Fletor Característico (Tfm/m)</t>
  </si>
  <si>
    <t>xi</t>
  </si>
  <si>
    <t>Livre/Balanço</t>
  </si>
  <si>
    <t>Altura da viga (cm)</t>
  </si>
  <si>
    <t> αe (agregado)</t>
  </si>
  <si>
    <t>Fyd aço (tf/cm²)</t>
  </si>
  <si>
    <t>fyd aço (tf/cm²)</t>
  </si>
  <si>
    <t>Eng. Red/Eng. Redist</t>
  </si>
  <si>
    <t>Espessura degrau (cm)</t>
  </si>
  <si>
    <t>Tempo de Escoramento (dias)</t>
  </si>
  <si>
    <t>As. Necessário  (cm²/degrau)</t>
  </si>
  <si>
    <t>Apoio/Eng. Redist</t>
  </si>
  <si>
    <t>Largura do degrau (cm)</t>
  </si>
  <si>
    <t>Contra Flecha (cm)</t>
  </si>
  <si>
    <t>As. Barra - Degrau (cm²)</t>
  </si>
  <si>
    <t>Eng Red/Eng.</t>
  </si>
  <si>
    <t>Vinculação da viga da escada</t>
  </si>
  <si>
    <t>Cobrimento da viga e degrau(cm)</t>
  </si>
  <si>
    <t>Tipo da escada</t>
  </si>
  <si>
    <t>Espinha de Peixe</t>
  </si>
  <si>
    <t>As. necessário (cm²)</t>
  </si>
  <si>
    <t>TIPO ESCADA</t>
  </si>
  <si>
    <t>Vão degrau</t>
  </si>
  <si>
    <t>Mk degrau</t>
  </si>
  <si>
    <t>Torção</t>
  </si>
  <si>
    <t>As. barras (cm²)</t>
  </si>
  <si>
    <t>As. Efetivo (cm²)</t>
  </si>
  <si>
    <t>Flutuante</t>
  </si>
  <si>
    <t>RESUMO ARMADURAS E VERIFICAÇÕES</t>
  </si>
  <si>
    <t>Fy resistente (tf/cm²)</t>
  </si>
  <si>
    <t>fctd (tf/cm²)</t>
  </si>
  <si>
    <t>Φ Negativa - Viga (mm)</t>
  </si>
  <si>
    <t>Qnt. barras (unid.)</t>
  </si>
  <si>
    <t>fbd (tf/cm²)</t>
  </si>
  <si>
    <t>Φ pele - Viga (mm)</t>
  </si>
  <si>
    <t>Qnt. barras - por lado (unid)</t>
  </si>
  <si>
    <t>Comp. ancoragem (cm)</t>
  </si>
  <si>
    <t>Φ Positiva - Viga (mm)</t>
  </si>
  <si>
    <t>Φ Estribo - Viga (mm)</t>
  </si>
  <si>
    <t>Espaçamento (cm)</t>
  </si>
  <si>
    <t>Φ Negativa - Degrau (mm)</t>
  </si>
  <si>
    <t xml:space="preserve">CÁLCULO CORTANTE - TORÇÃO </t>
  </si>
  <si>
    <t>CÁLCULO FLECHA</t>
  </si>
  <si>
    <t>Verificação flexão excessiva (viga)</t>
  </si>
  <si>
    <t>Vd (tf)</t>
  </si>
  <si>
    <t>E (tf/cm²)</t>
  </si>
  <si>
    <t>Verificação flexão excessiva (degrau)</t>
  </si>
  <si>
    <t>Vrd2 (Tf)</t>
  </si>
  <si>
    <t>Ic (cm^4)</t>
  </si>
  <si>
    <t>Verificação Contra Flecha</t>
  </si>
  <si>
    <t>Vc (tf)</t>
  </si>
  <si>
    <t>As comprim (cm)</t>
  </si>
  <si>
    <t>Verificação Flecha</t>
  </si>
  <si>
    <t>Vsw (Tf)</t>
  </si>
  <si>
    <t>Alt cent (cm)</t>
  </si>
  <si>
    <t>As. necessário  (cm²)</t>
  </si>
  <si>
    <t>Ac eq aço (cm²)</t>
  </si>
  <si>
    <t>Flecha Total (cm)</t>
  </si>
  <si>
    <t>fct,m (tf/cm²)</t>
  </si>
  <si>
    <t>Alt cent aço (cm)</t>
  </si>
  <si>
    <t>Flecha Limite (cm)</t>
  </si>
  <si>
    <t>psw</t>
  </si>
  <si>
    <t>Centroide (cm^4)</t>
  </si>
  <si>
    <t>As. Estribo (cm²)</t>
  </si>
  <si>
    <t>I fissurada (tf/cm²)</t>
  </si>
  <si>
    <t>Espaçamento máximo (cm)</t>
  </si>
  <si>
    <t>Td (tf.m)</t>
  </si>
  <si>
    <t>Mr conc (tf.m)</t>
  </si>
  <si>
    <t>Trd2 (tf.m)</t>
  </si>
  <si>
    <t>EI eq</t>
  </si>
  <si>
    <t>A90</t>
  </si>
  <si>
    <t>Flecha Imediata (cm)</t>
  </si>
  <si>
    <t>As pele (cm²)</t>
  </si>
  <si>
    <t>Flecha sobrecarga (cm)</t>
  </si>
  <si>
    <t>As arm pele (cm²)</t>
  </si>
  <si>
    <t>p'</t>
  </si>
  <si>
    <t>Qt barras pele</t>
  </si>
  <si>
    <t>Flecha Dif (cm)</t>
  </si>
  <si>
    <t>Meses escorados</t>
  </si>
  <si>
    <t>δt</t>
  </si>
  <si>
    <t>C. Flecha Limite (cm)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</si>
</sst>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"/>
    <numFmt numFmtId="165" formatCode="0.0"/>
  </numFmts>
  <fonts count="19">
    <font>
      <sz val="11.0"/>
      <color theme="1"/>
      <name val="Calibri"/>
      <scheme val="minor"/>
    </font>
    <font>
      <b/>
      <sz val="18.0"/>
      <color theme="0"/>
      <name val="Calibri"/>
    </font>
    <font/>
    <font>
      <b/>
      <sz val="18.0"/>
      <color rgb="FFFFFF00"/>
      <name val="Calibri"/>
    </font>
    <font>
      <sz val="10.0"/>
      <color rgb="FF17365D"/>
      <name val="Calibri"/>
    </font>
    <font>
      <sz val="10.0"/>
      <color theme="1"/>
      <name val="Calibri"/>
    </font>
    <font>
      <sz val="11.0"/>
      <color theme="1"/>
      <name val="Calibri"/>
    </font>
    <font>
      <sz val="14.0"/>
      <color theme="1"/>
      <name val="Calibri"/>
    </font>
    <font>
      <sz val="12.0"/>
      <color theme="1"/>
      <name val="Calibri"/>
      <scheme val="minor"/>
    </font>
    <font>
      <sz val="12.0"/>
      <color theme="1"/>
      <name val="Calibri"/>
    </font>
    <font>
      <sz val="8.0"/>
      <color theme="1"/>
      <name val="Arial"/>
    </font>
    <font>
      <b/>
      <sz val="16.0"/>
      <color rgb="FFFF0000"/>
      <name val="Calibri"/>
      <scheme val="minor"/>
    </font>
    <font>
      <b/>
      <sz val="14.0"/>
      <color theme="1"/>
      <name val="Calibri"/>
      <scheme val="minor"/>
    </font>
    <font>
      <b/>
      <sz val="11.0"/>
      <color rgb="FFFF0000"/>
      <name val="Calibri"/>
      <scheme val="minor"/>
    </font>
    <font>
      <b/>
      <sz val="11.0"/>
      <color theme="1"/>
      <name val="Calibri"/>
      <scheme val="minor"/>
    </font>
    <font>
      <b/>
      <sz val="11.0"/>
      <color rgb="FF5F497A"/>
      <name val="Calibri"/>
      <scheme val="minor"/>
    </font>
    <font>
      <sz val="11.0"/>
      <color rgb="FFA5A5A5"/>
      <name val="Calibri"/>
      <scheme val="minor"/>
    </font>
    <font>
      <sz val="12.0"/>
      <color rgb="FFA5A5A5"/>
      <name val="Arial"/>
    </font>
    <font>
      <b/>
      <sz val="20.0"/>
      <color rgb="FFFF0000"/>
      <name val="Calibri"/>
      <scheme val="minor"/>
    </font>
  </fonts>
  <fills count="11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F07070"/>
        <bgColor rgb="FFF07070"/>
      </patternFill>
    </fill>
    <fill>
      <patternFill patternType="solid">
        <fgColor rgb="FF0C0C0C"/>
        <bgColor rgb="FF0C0C0C"/>
      </patternFill>
    </fill>
    <fill>
      <patternFill patternType="solid">
        <fgColor rgb="FF7F7F7F"/>
        <bgColor rgb="FF7F7F7F"/>
      </patternFill>
    </fill>
    <fill>
      <patternFill patternType="solid">
        <fgColor rgb="FFA5A5A5"/>
        <bgColor rgb="FFA5A5A5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BFBFBF"/>
        <bgColor rgb="FFBFBFBF"/>
      </patternFill>
    </fill>
  </fills>
  <borders count="32">
    <border/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/>
    </border>
    <border>
      <left style="thin">
        <color rgb="FF000000"/>
      </left>
      <bottom/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/>
      <bottom/>
    </border>
    <border>
      <left style="medium">
        <color rgb="FF000000"/>
      </left>
      <right style="medium">
        <color rgb="FF000000"/>
      </right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/>
      <bottom/>
    </border>
    <border>
      <right style="medium">
        <color rgb="FF000000"/>
      </right>
      <top/>
      <bottom/>
    </border>
    <border>
      <left style="medium">
        <color rgb="FF000000"/>
      </left>
      <right/>
      <top/>
      <bottom style="medium">
        <color rgb="FF000000"/>
      </bottom>
    </border>
    <border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center"/>
    </xf>
    <xf borderId="0" fillId="0" fontId="0" numFmtId="0" xfId="0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3" fontId="0" numFmtId="0" xfId="0" applyBorder="1" applyFill="1" applyFont="1"/>
    <xf borderId="8" fillId="3" fontId="4" numFmtId="0" xfId="0" applyAlignment="1" applyBorder="1" applyFont="1">
      <alignment horizontal="center" vertical="center"/>
    </xf>
    <xf borderId="9" fillId="0" fontId="2" numFmtId="0" xfId="0" applyBorder="1" applyFont="1"/>
    <xf borderId="10" fillId="0" fontId="2" numFmtId="0" xfId="0" applyBorder="1" applyFont="1"/>
    <xf borderId="1" fillId="3" fontId="5" numFmtId="0" xfId="0" applyAlignment="1" applyBorder="1" applyFont="1">
      <alignment horizontal="center" readingOrder="0" shrinkToFit="0" vertical="center" wrapText="1"/>
    </xf>
    <xf borderId="7" fillId="3" fontId="6" numFmtId="0" xfId="0" applyAlignment="1" applyBorder="1" applyFont="1">
      <alignment shrinkToFit="0" vertical="center" wrapText="1"/>
    </xf>
    <xf borderId="7" fillId="3" fontId="7" numFmtId="0" xfId="0" applyBorder="1" applyFont="1"/>
    <xf borderId="8" fillId="3" fontId="5" numFmtId="0" xfId="0" applyAlignment="1" applyBorder="1" applyFont="1">
      <alignment horizontal="center"/>
    </xf>
    <xf borderId="7" fillId="3" fontId="6" numFmtId="0" xfId="0" applyBorder="1" applyFont="1"/>
    <xf borderId="7" fillId="3" fontId="8" numFmtId="0" xfId="0" applyBorder="1" applyFont="1"/>
    <xf borderId="7" fillId="3" fontId="9" numFmtId="0" xfId="0" applyBorder="1" applyFont="1"/>
    <xf borderId="7" fillId="3" fontId="10" numFmtId="0" xfId="0" applyBorder="1" applyFont="1"/>
    <xf borderId="7" fillId="3" fontId="3" numFmtId="0" xfId="0" applyAlignment="1" applyBorder="1" applyFont="1">
      <alignment vertical="center"/>
    </xf>
    <xf borderId="11" fillId="4" fontId="11" numFmtId="0" xfId="0" applyAlignment="1" applyBorder="1" applyFill="1" applyFont="1">
      <alignment horizontal="center" vertical="center"/>
    </xf>
    <xf borderId="0" fillId="0" fontId="0" numFmtId="0" xfId="0" applyAlignment="1" applyFont="1">
      <alignment horizontal="center" vertical="center"/>
    </xf>
    <xf borderId="12" fillId="0" fontId="2" numFmtId="0" xfId="0" applyBorder="1" applyFont="1"/>
    <xf borderId="13" fillId="3" fontId="12" numFmtId="49" xfId="0" applyAlignment="1" applyBorder="1" applyFont="1" applyNumberFormat="1">
      <alignment horizontal="center" shrinkToFit="0" vertical="center" wrapText="1"/>
    </xf>
    <xf borderId="14" fillId="0" fontId="2" numFmtId="0" xfId="0" applyBorder="1" applyFont="1"/>
    <xf borderId="15" fillId="0" fontId="2" numFmtId="0" xfId="0" applyBorder="1" applyFont="1"/>
    <xf borderId="16" fillId="0" fontId="2" numFmtId="0" xfId="0" applyBorder="1" applyFont="1"/>
    <xf borderId="17" fillId="0" fontId="2" numFmtId="0" xfId="0" applyBorder="1" applyFont="1"/>
    <xf borderId="18" fillId="0" fontId="2" numFmtId="0" xfId="0" applyBorder="1" applyFont="1"/>
    <xf borderId="8" fillId="2" fontId="13" numFmtId="49" xfId="0" applyAlignment="1" applyBorder="1" applyFont="1" applyNumberFormat="1">
      <alignment horizontal="center" shrinkToFit="0" vertical="center" wrapText="1"/>
    </xf>
    <xf borderId="0" fillId="0" fontId="14" numFmtId="49" xfId="0" applyAlignment="1" applyFont="1" applyNumberFormat="1">
      <alignment horizontal="left" shrinkToFit="0" vertical="center" wrapText="1"/>
    </xf>
    <xf borderId="0" fillId="0" fontId="15" numFmtId="49" xfId="0" applyAlignment="1" applyFont="1" applyNumberFormat="1">
      <alignment horizontal="center" shrinkToFit="0" vertical="center" wrapText="1"/>
    </xf>
    <xf borderId="0" fillId="0" fontId="16" numFmtId="0" xfId="0" applyAlignment="1" applyFont="1">
      <alignment horizontal="center" vertical="center"/>
    </xf>
    <xf borderId="0" fillId="0" fontId="17" numFmtId="0" xfId="0" applyAlignment="1" applyFont="1">
      <alignment horizontal="center" vertical="center"/>
    </xf>
    <xf borderId="19" fillId="5" fontId="14" numFmtId="0" xfId="0" applyAlignment="1" applyBorder="1" applyFill="1" applyFont="1">
      <alignment horizontal="center" vertical="center"/>
    </xf>
    <xf borderId="20" fillId="0" fontId="2" numFmtId="0" xfId="0" applyBorder="1" applyFont="1"/>
    <xf borderId="19" fillId="6" fontId="14" numFmtId="0" xfId="0" applyAlignment="1" applyBorder="1" applyFill="1" applyFont="1">
      <alignment horizontal="center" vertical="center"/>
    </xf>
    <xf borderId="21" fillId="7" fontId="14" numFmtId="0" xfId="0" applyAlignment="1" applyBorder="1" applyFill="1" applyFont="1">
      <alignment horizontal="center" vertical="center"/>
    </xf>
    <xf borderId="19" fillId="8" fontId="0" numFmtId="164" xfId="0" applyAlignment="1" applyBorder="1" applyFill="1" applyFont="1" applyNumberFormat="1">
      <alignment horizontal="center" vertical="center"/>
    </xf>
    <xf borderId="21" fillId="0" fontId="0" numFmtId="0" xfId="0" applyAlignment="1" applyBorder="1" applyFont="1">
      <alignment horizontal="center" vertical="center"/>
    </xf>
    <xf borderId="22" fillId="3" fontId="0" numFmtId="0" xfId="0" applyAlignment="1" applyBorder="1" applyFont="1">
      <alignment horizontal="center" vertical="center"/>
    </xf>
    <xf borderId="21" fillId="3" fontId="0" numFmtId="0" xfId="0" applyAlignment="1" applyBorder="1" applyFont="1">
      <alignment horizontal="center" vertical="center"/>
    </xf>
    <xf borderId="21" fillId="7" fontId="14" numFmtId="0" xfId="0" applyAlignment="1" applyBorder="1" applyFont="1">
      <alignment horizontal="center" shrinkToFit="0" vertical="center" wrapText="1"/>
    </xf>
    <xf borderId="19" fillId="8" fontId="0" numFmtId="2" xfId="0" applyAlignment="1" applyBorder="1" applyFont="1" applyNumberFormat="1">
      <alignment horizontal="center" vertical="center"/>
    </xf>
    <xf borderId="0" fillId="0" fontId="0" numFmtId="49" xfId="0" applyAlignment="1" applyFont="1" applyNumberFormat="1">
      <alignment shrinkToFit="0" vertical="center" wrapText="1"/>
    </xf>
    <xf borderId="23" fillId="7" fontId="14" numFmtId="0" xfId="0" applyAlignment="1" applyBorder="1" applyFont="1">
      <alignment horizontal="center" vertical="center"/>
    </xf>
    <xf borderId="21" fillId="9" fontId="18" numFmtId="0" xfId="0" applyAlignment="1" applyBorder="1" applyFill="1" applyFont="1">
      <alignment horizontal="center" vertical="center"/>
    </xf>
    <xf borderId="21" fillId="8" fontId="0" numFmtId="164" xfId="0" applyAlignment="1" applyBorder="1" applyFont="1" applyNumberFormat="1">
      <alignment horizontal="center" vertical="center"/>
    </xf>
    <xf borderId="21" fillId="8" fontId="0" numFmtId="2" xfId="0" applyAlignment="1" applyBorder="1" applyFont="1" applyNumberFormat="1">
      <alignment horizontal="center" vertical="center"/>
    </xf>
    <xf borderId="21" fillId="0" fontId="0" numFmtId="164" xfId="0" applyAlignment="1" applyBorder="1" applyFont="1" applyNumberFormat="1">
      <alignment horizontal="center" vertical="center"/>
    </xf>
    <xf borderId="0" fillId="0" fontId="0" numFmtId="0" xfId="0" applyAlignment="1" applyFont="1">
      <alignment horizontal="center" shrinkToFit="0" wrapText="1"/>
    </xf>
    <xf borderId="24" fillId="7" fontId="14" numFmtId="0" xfId="0" applyAlignment="1" applyBorder="1" applyFont="1">
      <alignment horizontal="center" vertical="center"/>
    </xf>
    <xf borderId="25" fillId="3" fontId="0" numFmtId="0" xfId="0" applyAlignment="1" applyBorder="1" applyFont="1">
      <alignment horizontal="center" vertical="center"/>
    </xf>
    <xf borderId="26" fillId="7" fontId="14" numFmtId="0" xfId="0" applyAlignment="1" applyBorder="1" applyFont="1">
      <alignment horizontal="center" vertical="center"/>
    </xf>
    <xf borderId="27" fillId="0" fontId="0" numFmtId="2" xfId="0" applyAlignment="1" applyBorder="1" applyFont="1" applyNumberFormat="1">
      <alignment horizontal="center" vertical="center"/>
    </xf>
    <xf borderId="19" fillId="3" fontId="0" numFmtId="0" xfId="0" applyAlignment="1" applyBorder="1" applyFont="1">
      <alignment horizontal="center" vertical="center"/>
    </xf>
    <xf borderId="0" fillId="0" fontId="0" numFmtId="0" xfId="0" applyAlignment="1" applyFont="1">
      <alignment horizontal="center" shrinkToFit="0" vertical="center" wrapText="1"/>
    </xf>
    <xf borderId="19" fillId="3" fontId="0" numFmtId="0" xfId="0" applyAlignment="1" applyBorder="1" applyFont="1">
      <alignment horizontal="center" readingOrder="0" vertical="center"/>
    </xf>
    <xf borderId="0" fillId="0" fontId="16" numFmtId="164" xfId="0" applyAlignment="1" applyFont="1" applyNumberFormat="1">
      <alignment horizontal="center" vertical="center"/>
    </xf>
    <xf borderId="21" fillId="8" fontId="0" numFmtId="165" xfId="0" applyAlignment="1" applyBorder="1" applyFont="1" applyNumberFormat="1">
      <alignment horizontal="center" vertical="center"/>
    </xf>
    <xf borderId="7" fillId="8" fontId="16" numFmtId="164" xfId="0" applyAlignment="1" applyBorder="1" applyFont="1" applyNumberFormat="1">
      <alignment horizontal="center" vertical="center"/>
    </xf>
    <xf borderId="0" fillId="0" fontId="16" numFmtId="0" xfId="0" applyFont="1"/>
    <xf borderId="0" fillId="0" fontId="14" numFmtId="0" xfId="0" applyAlignment="1" applyFont="1">
      <alignment horizontal="left"/>
    </xf>
    <xf borderId="21" fillId="0" fontId="14" numFmtId="0" xfId="0" applyAlignment="1" applyBorder="1" applyFont="1">
      <alignment horizontal="center" vertical="center"/>
    </xf>
    <xf borderId="28" fillId="8" fontId="0" numFmtId="164" xfId="0" applyAlignment="1" applyBorder="1" applyFont="1" applyNumberFormat="1">
      <alignment horizontal="center" vertical="center"/>
    </xf>
    <xf borderId="29" fillId="0" fontId="2" numFmtId="0" xfId="0" applyBorder="1" applyFont="1"/>
    <xf borderId="30" fillId="7" fontId="14" numFmtId="0" xfId="0" applyAlignment="1" applyBorder="1" applyFont="1">
      <alignment horizontal="center" vertical="center"/>
    </xf>
    <xf borderId="26" fillId="3" fontId="0" numFmtId="0" xfId="0" applyAlignment="1" applyBorder="1" applyFont="1">
      <alignment horizontal="center" vertical="center"/>
    </xf>
    <xf borderId="13" fillId="2" fontId="13" numFmtId="49" xfId="0" applyAlignment="1" applyBorder="1" applyFont="1" applyNumberFormat="1">
      <alignment horizontal="center" shrinkToFit="0" vertical="center" wrapText="1"/>
    </xf>
    <xf borderId="21" fillId="10" fontId="14" numFmtId="0" xfId="0" applyAlignment="1" applyBorder="1" applyFill="1" applyFont="1">
      <alignment horizontal="center" shrinkToFit="0" vertical="center" wrapText="1"/>
    </xf>
    <xf borderId="19" fillId="8" fontId="0" numFmtId="0" xfId="0" applyAlignment="1" applyBorder="1" applyFont="1">
      <alignment horizontal="center" vertical="center"/>
    </xf>
    <xf borderId="31" fillId="0" fontId="2" numFmtId="0" xfId="0" applyBorder="1" applyFont="1"/>
    <xf borderId="21" fillId="10" fontId="14" numFmtId="0" xfId="0" applyAlignment="1" applyBorder="1" applyFont="1">
      <alignment horizontal="center" vertical="center"/>
    </xf>
    <xf borderId="21" fillId="8" fontId="0" numFmtId="0" xfId="0" applyAlignment="1" applyBorder="1" applyFont="1">
      <alignment horizontal="center" vertical="center"/>
    </xf>
    <xf borderId="21" fillId="0" fontId="0" numFmtId="2" xfId="0" applyAlignment="1" applyBorder="1" applyFont="1" applyNumberFormat="1">
      <alignment horizontal="center" vertical="center"/>
    </xf>
    <xf borderId="21" fillId="9" fontId="14" numFmtId="0" xfId="0" applyAlignment="1" applyBorder="1" applyFont="1">
      <alignment horizontal="center" vertical="center"/>
    </xf>
    <xf borderId="21" fillId="9" fontId="14" numFmtId="2" xfId="0" applyAlignment="1" applyBorder="1" applyFont="1" applyNumberFormat="1">
      <alignment horizontal="center" vertical="center"/>
    </xf>
    <xf borderId="21" fillId="0" fontId="0" numFmtId="10" xfId="0" applyAlignment="1" applyBorder="1" applyFont="1" applyNumberFormat="1">
      <alignment horizontal="center" vertical="center"/>
    </xf>
    <xf borderId="24" fillId="8" fontId="0" numFmtId="1" xfId="0" applyAlignment="1" applyBorder="1" applyFont="1" applyNumberFormat="1">
      <alignment horizontal="center" vertical="center"/>
    </xf>
    <xf borderId="24" fillId="8" fontId="0" numFmtId="2" xfId="0" applyAlignment="1" applyBorder="1" applyFont="1" applyNumberFormat="1">
      <alignment horizontal="center" vertical="center"/>
    </xf>
    <xf borderId="21" fillId="8" fontId="0" numFmtId="10" xfId="0" applyAlignment="1" applyBorder="1" applyFont="1" applyNumberFormat="1">
      <alignment horizontal="center" vertical="center"/>
    </xf>
    <xf borderId="21" fillId="8" fontId="14" numFmtId="2" xfId="0" applyAlignment="1" applyBorder="1" applyFont="1" applyNumberFormat="1">
      <alignment horizontal="center" vertical="center"/>
    </xf>
    <xf borderId="26" fillId="10" fontId="14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hyperlink" Target="#'DET.%20ESCADA%20ESPINHA%20DE%20PEIXE'!A1" TargetMode="External"/><Relationship Id="rId2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85725</xdr:colOff>
      <xdr:row>8</xdr:row>
      <xdr:rowOff>9525</xdr:rowOff>
    </xdr:from>
    <xdr:ext cx="1276350" cy="762000"/>
    <xdr:sp>
      <xdr:nvSpPr>
        <xdr:cNvPr id="3" name="Shape 3">
          <a:hlinkClick r:id="rId1"/>
        </xdr:cNvPr>
        <xdr:cNvSpPr/>
      </xdr:nvSpPr>
      <xdr:spPr>
        <a:xfrm>
          <a:off x="4717350" y="3408525"/>
          <a:ext cx="1257300" cy="742950"/>
        </a:xfrm>
        <a:prstGeom prst="roundRect">
          <a:avLst>
            <a:gd fmla="val 16667" name="adj"/>
          </a:avLst>
        </a:prstGeom>
        <a:solidFill>
          <a:schemeClr val="dk1"/>
        </a:solidFill>
        <a:ln cap="flat" cmpd="sng" w="254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lang="en-US" sz="1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Ex. Detalhamento </a:t>
          </a:r>
          <a:r>
            <a:rPr b="1"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ESCADA</a:t>
          </a:r>
          <a:r>
            <a:rPr b="1"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ESPINHA DE PEIXE</a:t>
          </a:r>
          <a:endParaRPr b="1" sz="1000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11</xdr:col>
      <xdr:colOff>342900</xdr:colOff>
      <xdr:row>2</xdr:row>
      <xdr:rowOff>95250</xdr:rowOff>
    </xdr:from>
    <xdr:ext cx="1076325" cy="1162050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4.0" ySplit="15.0" topLeftCell="O16" activePane="bottomRight" state="frozen"/>
      <selection activeCell="O1" sqref="O1" pane="topRight"/>
      <selection activeCell="A16" sqref="A16" pane="bottomLeft"/>
      <selection activeCell="O16" sqref="O16" pane="bottomRight"/>
    </sheetView>
  </sheetViews>
  <sheetFormatPr customHeight="1" defaultColWidth="14.43" defaultRowHeight="15.0"/>
  <cols>
    <col customWidth="1" min="1" max="1" width="8.71"/>
    <col customWidth="1" min="2" max="2" width="9.14"/>
    <col customWidth="1" min="3" max="3" width="8.71"/>
    <col customWidth="1" min="4" max="4" width="3.29"/>
    <col customWidth="1" min="5" max="10" width="8.71"/>
    <col customWidth="1" min="11" max="11" width="13.57"/>
    <col customWidth="1" min="12" max="26" width="8.71"/>
  </cols>
  <sheetData>
    <row r="1" ht="15.0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5"/>
    </row>
    <row r="2" ht="15.0" customHeight="1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8"/>
      <c r="S2" s="4"/>
      <c r="T2" s="4"/>
      <c r="U2" s="5"/>
    </row>
    <row r="3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</row>
    <row r="4">
      <c r="A4" s="9"/>
      <c r="B4" s="9"/>
      <c r="C4" s="10" t="s">
        <v>0</v>
      </c>
      <c r="D4" s="11"/>
      <c r="E4" s="11"/>
      <c r="F4" s="11"/>
      <c r="G4" s="11"/>
      <c r="H4" s="11"/>
      <c r="I4" s="11"/>
      <c r="J4" s="11"/>
      <c r="K4" s="12"/>
      <c r="L4" s="9"/>
      <c r="M4" s="9"/>
      <c r="N4" s="9"/>
      <c r="O4" s="9"/>
      <c r="P4" s="9"/>
      <c r="Q4" s="9"/>
      <c r="R4" s="9"/>
    </row>
    <row r="5" ht="18.0" customHeight="1">
      <c r="A5" s="9"/>
      <c r="B5" s="9"/>
      <c r="C5" s="13" t="s">
        <v>1</v>
      </c>
      <c r="D5" s="2"/>
      <c r="E5" s="2"/>
      <c r="F5" s="2"/>
      <c r="G5" s="2"/>
      <c r="H5" s="2"/>
      <c r="I5" s="2"/>
      <c r="J5" s="2"/>
      <c r="K5" s="3"/>
      <c r="L5" s="14"/>
      <c r="M5" s="14"/>
      <c r="N5" s="14"/>
      <c r="O5" s="15"/>
      <c r="P5" s="9"/>
      <c r="Q5" s="9"/>
      <c r="R5" s="9"/>
    </row>
    <row r="6">
      <c r="A6" s="9"/>
      <c r="B6" s="9"/>
      <c r="C6" s="6"/>
      <c r="D6" s="7"/>
      <c r="E6" s="7"/>
      <c r="F6" s="7"/>
      <c r="G6" s="7"/>
      <c r="H6" s="7"/>
      <c r="I6" s="7"/>
      <c r="J6" s="7"/>
      <c r="K6" s="8"/>
      <c r="L6" s="14"/>
      <c r="M6" s="14"/>
      <c r="N6" s="14"/>
      <c r="O6" s="9"/>
      <c r="P6" s="9"/>
      <c r="Q6" s="9"/>
      <c r="R6" s="9"/>
    </row>
    <row r="7" ht="15.0" customHeight="1">
      <c r="A7" s="9"/>
      <c r="B7" s="16"/>
      <c r="C7" s="11"/>
      <c r="D7" s="11"/>
      <c r="E7" s="11"/>
      <c r="F7" s="11"/>
      <c r="G7" s="11"/>
      <c r="H7" s="11"/>
      <c r="I7" s="11"/>
      <c r="J7" s="11"/>
      <c r="K7" s="11"/>
      <c r="L7" s="12"/>
      <c r="M7" s="14"/>
      <c r="N7" s="14"/>
      <c r="O7" s="9"/>
      <c r="P7" s="9"/>
      <c r="Q7" s="9"/>
      <c r="R7" s="9"/>
    </row>
    <row r="8" ht="15.0" customHeight="1">
      <c r="A8" s="9"/>
      <c r="B8" s="9"/>
      <c r="C8" s="17"/>
      <c r="D8" s="17"/>
      <c r="E8" s="17"/>
      <c r="F8" s="17"/>
      <c r="G8" s="17"/>
      <c r="H8" s="17"/>
      <c r="I8" s="17"/>
      <c r="J8" s="17"/>
      <c r="K8" s="17"/>
      <c r="L8" s="17"/>
      <c r="M8" s="14"/>
      <c r="N8" s="14"/>
      <c r="O8" s="9"/>
      <c r="P8" s="9"/>
      <c r="Q8" s="9"/>
      <c r="R8" s="9"/>
    </row>
    <row r="9">
      <c r="A9" s="9"/>
      <c r="B9" s="9"/>
      <c r="C9" s="17"/>
      <c r="D9" s="17"/>
      <c r="E9" s="17"/>
      <c r="F9" s="17"/>
      <c r="G9" s="17"/>
      <c r="H9" s="17"/>
      <c r="I9" s="17"/>
      <c r="J9" s="17"/>
      <c r="K9" s="17"/>
      <c r="L9" s="17"/>
      <c r="M9" s="9"/>
      <c r="N9" s="9"/>
      <c r="O9" s="9"/>
      <c r="P9" s="9"/>
      <c r="Q9" s="9"/>
      <c r="R9" s="9"/>
    </row>
    <row r="10">
      <c r="A10" s="9"/>
      <c r="B10" s="18"/>
      <c r="C10" s="9"/>
      <c r="D10" s="9"/>
      <c r="E10" s="9"/>
      <c r="F10" s="9"/>
      <c r="G10" s="9"/>
      <c r="H10" s="9"/>
      <c r="I10" s="9"/>
      <c r="J10" s="19"/>
      <c r="K10" s="19"/>
      <c r="L10" s="17"/>
      <c r="M10" s="20"/>
      <c r="N10" s="9"/>
      <c r="O10" s="9"/>
      <c r="P10" s="9"/>
      <c r="Q10" s="9"/>
      <c r="R10" s="9"/>
    </row>
    <row r="1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</row>
    <row r="1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</row>
    <row r="13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</row>
    <row r="14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</row>
    <row r="1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</row>
    <row r="16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5"/>
      <c r="T16" s="5"/>
      <c r="U16" s="5"/>
    </row>
    <row r="17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5"/>
      <c r="T17" s="5"/>
      <c r="U17" s="5"/>
    </row>
    <row r="18" ht="15.0" customHeight="1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4"/>
      <c r="T18" s="4"/>
      <c r="U18" s="5"/>
    </row>
    <row r="19" ht="15.0" customHeight="1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4"/>
      <c r="T19" s="4"/>
      <c r="U19" s="5"/>
    </row>
    <row r="20" ht="15.0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4"/>
      <c r="T20" s="4"/>
      <c r="U20" s="5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5"/>
      <c r="T21" s="5"/>
      <c r="U21" s="5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R2"/>
    <mergeCell ref="C4:K4"/>
    <mergeCell ref="C5:K6"/>
    <mergeCell ref="B7:L7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14"/>
    <col customWidth="1" min="2" max="3" width="9.14"/>
    <col customWidth="1" min="4" max="4" width="19.43"/>
    <col customWidth="1" min="5" max="5" width="28.0"/>
    <col customWidth="1" min="6" max="6" width="9.14"/>
    <col customWidth="1" min="7" max="7" width="16.14"/>
    <col customWidth="1" min="8" max="8" width="10.71"/>
    <col customWidth="1" min="9" max="9" width="11.0"/>
    <col customWidth="1" min="10" max="10" width="26.0"/>
    <col customWidth="1" min="11" max="11" width="11.0"/>
    <col customWidth="1" min="12" max="12" width="10.57"/>
    <col customWidth="1" min="13" max="13" width="8.57"/>
    <col customWidth="1" min="14" max="14" width="24.0"/>
    <col customWidth="1" min="15" max="15" width="12.29"/>
    <col customWidth="1" min="16" max="16" width="24.86"/>
    <col customWidth="1" min="17" max="17" width="11.57"/>
    <col customWidth="1" min="18" max="18" width="22.71"/>
    <col customWidth="1" min="19" max="19" width="12.0"/>
    <col customWidth="1" min="20" max="20" width="11.71"/>
    <col customWidth="1" min="21" max="21" width="11.0"/>
    <col customWidth="1" min="22" max="23" width="9.14"/>
    <col customWidth="1" min="24" max="24" width="11.29"/>
    <col customWidth="1" min="25" max="26" width="8.71"/>
  </cols>
  <sheetData>
    <row r="1" ht="15.0" customHeight="1">
      <c r="A1" s="22" t="s">
        <v>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3"/>
      <c r="Y1" s="23"/>
      <c r="Z1" s="23"/>
    </row>
    <row r="2" ht="25.5" customHeight="1">
      <c r="A2" s="24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8"/>
      <c r="Y2" s="23"/>
      <c r="Z2" s="23"/>
    </row>
    <row r="3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 ht="15.0" customHeight="1">
      <c r="A4" s="23"/>
      <c r="B4" s="23"/>
      <c r="C4" s="23"/>
      <c r="D4" s="23"/>
      <c r="E4" s="25" t="s">
        <v>3</v>
      </c>
      <c r="F4" s="26"/>
      <c r="G4" s="26"/>
      <c r="H4" s="26"/>
      <c r="I4" s="26"/>
      <c r="J4" s="27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 ht="23.25" customHeight="1">
      <c r="A5" s="23"/>
      <c r="B5" s="23"/>
      <c r="C5" s="23"/>
      <c r="D5" s="23"/>
      <c r="E5" s="28"/>
      <c r="F5" s="29"/>
      <c r="G5" s="29"/>
      <c r="H5" s="29"/>
      <c r="I5" s="29"/>
      <c r="J5" s="30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 ht="23.25" customHeight="1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 ht="23.25" customHeight="1">
      <c r="A7" s="31" t="s">
        <v>4</v>
      </c>
      <c r="B7" s="11"/>
      <c r="C7" s="11"/>
      <c r="D7" s="11"/>
      <c r="E7" s="11"/>
      <c r="F7" s="11"/>
      <c r="G7" s="12"/>
      <c r="H7" s="23"/>
      <c r="I7" s="23"/>
      <c r="J7" s="31" t="s">
        <v>5</v>
      </c>
      <c r="K7" s="11"/>
      <c r="L7" s="12"/>
      <c r="M7" s="23"/>
      <c r="N7" s="31" t="s">
        <v>6</v>
      </c>
      <c r="O7" s="11"/>
      <c r="P7" s="12"/>
      <c r="Q7" s="23"/>
      <c r="R7" s="31" t="s">
        <v>7</v>
      </c>
      <c r="S7" s="11"/>
      <c r="T7" s="11"/>
      <c r="U7" s="11"/>
      <c r="V7" s="11"/>
      <c r="W7" s="11"/>
      <c r="X7" s="12"/>
      <c r="Y7" s="23"/>
      <c r="Z7" s="23"/>
    </row>
    <row r="8" ht="23.25" customHeight="1">
      <c r="A8" s="32"/>
      <c r="B8" s="32"/>
      <c r="C8" s="33"/>
      <c r="D8" s="3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34" t="s">
        <v>8</v>
      </c>
      <c r="S8" s="35" t="s">
        <v>9</v>
      </c>
      <c r="T8" s="35" t="s">
        <v>10</v>
      </c>
      <c r="U8" s="34" t="s">
        <v>11</v>
      </c>
      <c r="V8" s="34" t="s">
        <v>12</v>
      </c>
      <c r="W8" s="34" t="s">
        <v>13</v>
      </c>
      <c r="X8" s="34" t="s">
        <v>14</v>
      </c>
      <c r="Y8" s="23"/>
      <c r="Z8" s="23"/>
    </row>
    <row r="9" ht="23.25" customHeight="1">
      <c r="A9" s="36" t="s">
        <v>15</v>
      </c>
      <c r="B9" s="37"/>
      <c r="C9" s="23"/>
      <c r="D9" s="33"/>
      <c r="E9" s="38" t="s">
        <v>16</v>
      </c>
      <c r="F9" s="37"/>
      <c r="G9" s="23"/>
      <c r="H9" s="23"/>
      <c r="I9" s="23"/>
      <c r="J9" s="39" t="s">
        <v>17</v>
      </c>
      <c r="K9" s="40">
        <f>F13/100/1.4*0.85</f>
        <v>0.1517857143</v>
      </c>
      <c r="L9" s="37"/>
      <c r="M9" s="23"/>
      <c r="N9" s="39" t="s">
        <v>18</v>
      </c>
      <c r="O9" s="41">
        <f>B16/100*B15/100*2.5</f>
        <v>0.06</v>
      </c>
      <c r="P9" s="23"/>
      <c r="Q9" s="23"/>
      <c r="W9" s="34">
        <v>5.0</v>
      </c>
      <c r="X9" s="34">
        <v>600.0</v>
      </c>
      <c r="Y9" s="23"/>
      <c r="Z9" s="23"/>
    </row>
    <row r="10" ht="39.75" customHeight="1">
      <c r="A10" s="39" t="s">
        <v>19</v>
      </c>
      <c r="B10" s="42">
        <v>5.1</v>
      </c>
      <c r="C10" s="23"/>
      <c r="D10" s="23"/>
      <c r="E10" s="39" t="s">
        <v>20</v>
      </c>
      <c r="F10" s="43">
        <v>0.25</v>
      </c>
      <c r="G10" s="23"/>
      <c r="H10" s="23"/>
      <c r="I10" s="23"/>
      <c r="J10" s="44" t="s">
        <v>21</v>
      </c>
      <c r="K10" s="45">
        <f>(B10^2+B11^2)^0.5</f>
        <v>5.957885531</v>
      </c>
      <c r="L10" s="37"/>
      <c r="M10" s="23"/>
      <c r="N10" s="44" t="s">
        <v>22</v>
      </c>
      <c r="O10" s="41">
        <f>VLOOKUP(B18,R19:T20,3,FALSE)*1.4*100</f>
        <v>16.6005</v>
      </c>
      <c r="P10" s="23"/>
      <c r="Q10" s="23"/>
      <c r="R10" s="34" t="s">
        <v>23</v>
      </c>
      <c r="S10" s="34">
        <v>8.0</v>
      </c>
      <c r="T10" s="34">
        <v>99999.0</v>
      </c>
      <c r="U10" s="34">
        <v>76.8</v>
      </c>
      <c r="V10" s="34">
        <v>0.5</v>
      </c>
      <c r="W10" s="34">
        <v>6.0</v>
      </c>
      <c r="X10" s="34">
        <v>600.0</v>
      </c>
      <c r="Y10" s="23"/>
      <c r="Z10" s="23"/>
    </row>
    <row r="11" ht="34.5" customHeight="1">
      <c r="A11" s="39" t="s">
        <v>24</v>
      </c>
      <c r="B11" s="42">
        <v>3.08</v>
      </c>
      <c r="C11" s="23"/>
      <c r="D11" s="46"/>
      <c r="E11" s="39" t="s">
        <v>25</v>
      </c>
      <c r="F11" s="43">
        <v>0.1</v>
      </c>
      <c r="G11" s="23"/>
      <c r="H11" s="23"/>
      <c r="I11" s="23"/>
      <c r="J11" s="44" t="s">
        <v>26</v>
      </c>
      <c r="K11" s="40">
        <f>(B13*B14)/100^2*2.5*K10/B10+B12*B15/100*2.5</f>
        <v>0.3552319274</v>
      </c>
      <c r="L11" s="37"/>
      <c r="M11" s="23"/>
      <c r="N11" s="39" t="s">
        <v>27</v>
      </c>
      <c r="O11" s="41">
        <f>B15-F17-B27/20</f>
        <v>5.1</v>
      </c>
      <c r="P11" s="23"/>
      <c r="Q11" s="23"/>
      <c r="R11" s="34" t="s">
        <v>28</v>
      </c>
      <c r="S11" s="34">
        <v>14.2</v>
      </c>
      <c r="T11" s="34">
        <v>8.0</v>
      </c>
      <c r="U11" s="34">
        <v>184.8</v>
      </c>
      <c r="V11" s="34">
        <v>0.625</v>
      </c>
      <c r="W11" s="34">
        <v>6.3</v>
      </c>
      <c r="X11" s="34">
        <v>500.0</v>
      </c>
      <c r="Y11" s="23"/>
      <c r="Z11" s="23"/>
    </row>
    <row r="12" ht="23.25" customHeight="1">
      <c r="A12" s="39" t="s">
        <v>29</v>
      </c>
      <c r="B12" s="42">
        <v>0.9</v>
      </c>
      <c r="C12" s="23"/>
      <c r="D12" s="46"/>
      <c r="E12" s="23"/>
      <c r="F12" s="23"/>
      <c r="G12" s="23"/>
      <c r="H12" s="23"/>
      <c r="I12" s="23"/>
      <c r="J12" s="47"/>
      <c r="K12" s="48" t="s">
        <v>30</v>
      </c>
      <c r="L12" s="48" t="s">
        <v>31</v>
      </c>
      <c r="M12" s="23"/>
      <c r="N12" s="39" t="s">
        <v>32</v>
      </c>
      <c r="O12" s="49">
        <f>O10/O11^2/B16/K9</f>
        <v>0.1401614764</v>
      </c>
      <c r="P12" s="23"/>
      <c r="Q12" s="23"/>
      <c r="R12" s="34" t="s">
        <v>33</v>
      </c>
      <c r="S12" s="34">
        <v>24.0</v>
      </c>
      <c r="T12" s="34">
        <v>12.0</v>
      </c>
      <c r="U12" s="34">
        <v>384.0</v>
      </c>
      <c r="V12" s="34">
        <v>0.5</v>
      </c>
      <c r="W12" s="34">
        <v>8.0</v>
      </c>
      <c r="X12" s="34">
        <v>500.0</v>
      </c>
      <c r="Y12" s="23"/>
      <c r="Z12" s="23"/>
    </row>
    <row r="13" ht="42.0" customHeight="1">
      <c r="A13" s="39" t="s">
        <v>34</v>
      </c>
      <c r="B13" s="42">
        <v>20.0</v>
      </c>
      <c r="C13" s="23"/>
      <c r="D13" s="5"/>
      <c r="E13" s="39" t="s">
        <v>35</v>
      </c>
      <c r="F13" s="43">
        <v>25.0</v>
      </c>
      <c r="G13" s="23"/>
      <c r="H13" s="23"/>
      <c r="I13" s="23"/>
      <c r="J13" s="44" t="s">
        <v>36</v>
      </c>
      <c r="K13" s="49">
        <f>(B10^2*(K11+F10*B12+F11*B12)/VLOOKUP(B17,R10:X16,2,FALSE))</f>
        <v>2.179091554</v>
      </c>
      <c r="L13" s="49">
        <f>(B10^2*(K11+F10*B12+F11*B12)/VLOOKUP(B17,R10:X16,3,FALSE))</f>
        <v>0.0001743290676</v>
      </c>
      <c r="M13" s="23"/>
      <c r="N13" s="39" t="s">
        <v>37</v>
      </c>
      <c r="O13" s="49">
        <f>1-(1-2*O12)^0.5</f>
        <v>0.1516621856</v>
      </c>
      <c r="P13" s="23"/>
      <c r="Q13" s="23"/>
      <c r="R13" s="34" t="s">
        <v>38</v>
      </c>
      <c r="S13" s="34">
        <v>99999.0</v>
      </c>
      <c r="T13" s="34">
        <v>2.0</v>
      </c>
      <c r="U13" s="34">
        <v>8.0</v>
      </c>
      <c r="V13" s="34">
        <v>1.0</v>
      </c>
      <c r="W13" s="34">
        <v>10.0</v>
      </c>
      <c r="X13" s="34">
        <v>500.0</v>
      </c>
      <c r="Y13" s="23"/>
      <c r="Z13" s="23"/>
    </row>
    <row r="14" ht="23.25" customHeight="1">
      <c r="A14" s="39" t="s">
        <v>39</v>
      </c>
      <c r="B14" s="42">
        <v>30.0</v>
      </c>
      <c r="C14" s="23"/>
      <c r="D14" s="5"/>
      <c r="E14" s="39" t="s">
        <v>40</v>
      </c>
      <c r="F14" s="43">
        <v>1.0</v>
      </c>
      <c r="G14" s="23"/>
      <c r="H14" s="23"/>
      <c r="I14" s="23"/>
      <c r="J14" s="39" t="s">
        <v>41</v>
      </c>
      <c r="K14" s="50">
        <f>VLOOKUP(B25,W9:X16,2,FALSE)/100/1.15</f>
        <v>4.347826087</v>
      </c>
      <c r="L14" s="50">
        <f>VLOOKUP(B23,W9:X16,2,FALSE)/100/1.15</f>
        <v>4.347826087</v>
      </c>
      <c r="M14" s="23"/>
      <c r="N14" s="39" t="s">
        <v>42</v>
      </c>
      <c r="O14" s="51">
        <f>VLOOKUP(B27,W9:X16,2,FALSE)/100/1.15</f>
        <v>4.347826087</v>
      </c>
      <c r="P14" s="23"/>
      <c r="Q14" s="23"/>
      <c r="R14" s="34" t="s">
        <v>43</v>
      </c>
      <c r="S14" s="34">
        <v>16.0</v>
      </c>
      <c r="T14" s="34">
        <v>16.0</v>
      </c>
      <c r="U14" s="34">
        <v>172.0</v>
      </c>
      <c r="V14" s="34">
        <v>0.5</v>
      </c>
      <c r="W14" s="34">
        <v>12.5</v>
      </c>
      <c r="X14" s="34">
        <v>500.0</v>
      </c>
      <c r="Y14" s="23"/>
      <c r="Z14" s="23"/>
    </row>
    <row r="15" ht="33.0" customHeight="1">
      <c r="A15" s="39" t="s">
        <v>44</v>
      </c>
      <c r="B15" s="42">
        <v>8.0</v>
      </c>
      <c r="C15" s="23"/>
      <c r="D15" s="52"/>
      <c r="E15" s="39" t="s">
        <v>45</v>
      </c>
      <c r="F15" s="43">
        <v>28.0</v>
      </c>
      <c r="G15" s="23"/>
      <c r="H15" s="23"/>
      <c r="I15" s="23"/>
      <c r="J15" s="39" t="s">
        <v>27</v>
      </c>
      <c r="K15" s="50">
        <f>B14-F17-B26/10-B25/20</f>
        <v>26.245</v>
      </c>
      <c r="L15" s="50">
        <f>B14-F17-B26/10-B23/20</f>
        <v>26.555</v>
      </c>
      <c r="M15" s="23"/>
      <c r="N15" s="44" t="s">
        <v>46</v>
      </c>
      <c r="O15" s="50">
        <f>MAX(O13*O11*B16*K9/O14,0.15*B16*B15/100)</f>
        <v>0.8100791903</v>
      </c>
      <c r="P15" s="23"/>
      <c r="Q15" s="23"/>
      <c r="R15" s="34" t="s">
        <v>47</v>
      </c>
      <c r="S15" s="34">
        <v>12.0</v>
      </c>
      <c r="T15" s="34">
        <v>10.67</v>
      </c>
      <c r="U15" s="34">
        <v>137.0</v>
      </c>
      <c r="V15" s="34">
        <v>0.6</v>
      </c>
      <c r="W15" s="34">
        <v>16.0</v>
      </c>
      <c r="X15" s="34">
        <v>500.0</v>
      </c>
      <c r="Y15" s="23"/>
      <c r="Z15" s="23"/>
    </row>
    <row r="16" ht="50.25" customHeight="1">
      <c r="A16" s="53" t="s">
        <v>48</v>
      </c>
      <c r="B16" s="54">
        <v>30.0</v>
      </c>
      <c r="C16" s="23"/>
      <c r="D16" s="23"/>
      <c r="E16" s="39" t="s">
        <v>49</v>
      </c>
      <c r="F16" s="43">
        <v>1.0</v>
      </c>
      <c r="G16" s="23"/>
      <c r="H16" s="23"/>
      <c r="I16" s="23"/>
      <c r="J16" s="39" t="s">
        <v>32</v>
      </c>
      <c r="K16" s="49">
        <f>K13*140/B13/K15^2/K9</f>
        <v>0.1458980423</v>
      </c>
      <c r="L16" s="49">
        <f>L13*140/B13/L15^2/K9</f>
        <v>0.00001140103653</v>
      </c>
      <c r="M16" s="23"/>
      <c r="N16" s="55" t="s">
        <v>50</v>
      </c>
      <c r="O16" s="56">
        <f>B27^2*PI()/400</f>
        <v>0.5026548246</v>
      </c>
      <c r="P16" s="23"/>
      <c r="Q16" s="23"/>
      <c r="R16" s="34" t="s">
        <v>51</v>
      </c>
      <c r="S16" s="34">
        <v>21.05</v>
      </c>
      <c r="T16" s="34">
        <v>10.7</v>
      </c>
      <c r="U16" s="34">
        <v>277.4</v>
      </c>
      <c r="V16" s="34">
        <v>0.531</v>
      </c>
      <c r="W16" s="34">
        <v>20.0</v>
      </c>
      <c r="X16" s="34">
        <v>500.0</v>
      </c>
      <c r="Y16" s="23"/>
      <c r="Z16" s="23"/>
    </row>
    <row r="17" ht="30.75" customHeight="1">
      <c r="A17" s="44" t="s">
        <v>52</v>
      </c>
      <c r="B17" s="57" t="s">
        <v>23</v>
      </c>
      <c r="C17" s="37"/>
      <c r="D17" s="5"/>
      <c r="E17" s="44" t="s">
        <v>53</v>
      </c>
      <c r="F17" s="42">
        <v>2.5</v>
      </c>
      <c r="G17" s="58"/>
      <c r="I17" s="23"/>
      <c r="J17" s="39" t="s">
        <v>37</v>
      </c>
      <c r="K17" s="49">
        <f t="shared" ref="K17:L17" si="1">1-(1-2*K16)^0.5</f>
        <v>0.1584514777</v>
      </c>
      <c r="L17" s="49">
        <f t="shared" si="1"/>
        <v>0.00001140110152</v>
      </c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ht="30.75" customHeight="1">
      <c r="A18" s="39" t="s">
        <v>54</v>
      </c>
      <c r="B18" s="59" t="s">
        <v>55</v>
      </c>
      <c r="C18" s="37"/>
      <c r="D18" s="23"/>
      <c r="E18" s="23"/>
      <c r="F18" s="23"/>
      <c r="G18" s="58"/>
      <c r="H18" s="58"/>
      <c r="I18" s="23"/>
      <c r="J18" s="39" t="s">
        <v>56</v>
      </c>
      <c r="K18" s="50">
        <f>MAX(0.15/100*B13*B14,K17*K15*B13*K9/K14)</f>
        <v>2.903565324</v>
      </c>
      <c r="L18" s="49">
        <f>MAX(0.15/100*B13*B14,L17*L15*B13*K9/L14)</f>
        <v>0.9</v>
      </c>
      <c r="M18" s="23"/>
      <c r="N18" s="23"/>
      <c r="O18" s="23"/>
      <c r="P18" s="23"/>
      <c r="Q18" s="23"/>
      <c r="R18" s="34" t="s">
        <v>57</v>
      </c>
      <c r="S18" s="34" t="s">
        <v>58</v>
      </c>
      <c r="T18" s="34" t="s">
        <v>59</v>
      </c>
      <c r="U18" s="34" t="s">
        <v>60</v>
      </c>
      <c r="V18" s="23"/>
      <c r="W18" s="23"/>
      <c r="X18" s="23"/>
      <c r="Y18" s="23"/>
      <c r="Z18" s="23"/>
    </row>
    <row r="19" ht="30.75" customHeight="1">
      <c r="A19" s="23"/>
      <c r="B19" s="23"/>
      <c r="C19" s="23"/>
      <c r="D19" s="23"/>
      <c r="E19" s="23"/>
      <c r="F19" s="23"/>
      <c r="G19" s="58"/>
      <c r="H19" s="58"/>
      <c r="I19" s="23"/>
      <c r="J19" s="39" t="s">
        <v>61</v>
      </c>
      <c r="K19" s="49">
        <f>B25^2*PI()/400</f>
        <v>1.22718463</v>
      </c>
      <c r="L19" s="49">
        <f>B23^2*PI()/400</f>
        <v>0.3117245311</v>
      </c>
      <c r="M19" s="23"/>
      <c r="N19" s="23"/>
      <c r="O19" s="23"/>
      <c r="P19" s="23"/>
      <c r="Q19" s="23"/>
      <c r="R19" s="34" t="s">
        <v>55</v>
      </c>
      <c r="S19" s="60">
        <f>B12/2</f>
        <v>0.45</v>
      </c>
      <c r="T19" s="60">
        <f>O9*S19^2/2+S19*0.25</f>
        <v>0.118575</v>
      </c>
      <c r="U19" s="34">
        <f>MAX(0.25*S19,S19*B10*F10*S19/2/2)</f>
        <v>0.1125</v>
      </c>
      <c r="V19" s="23"/>
      <c r="W19" s="23"/>
      <c r="X19" s="23"/>
      <c r="Y19" s="23"/>
      <c r="Z19" s="23"/>
    </row>
    <row r="20" ht="23.25" customHeight="1">
      <c r="A20" s="23"/>
      <c r="B20" s="23"/>
      <c r="C20" s="23"/>
      <c r="D20" s="23"/>
      <c r="E20" s="23"/>
      <c r="F20" s="23"/>
      <c r="G20" s="23"/>
      <c r="H20" s="23"/>
      <c r="I20" s="23"/>
      <c r="J20" s="39" t="s">
        <v>62</v>
      </c>
      <c r="K20" s="50">
        <f>K19*E25</f>
        <v>3.681553891</v>
      </c>
      <c r="L20" s="61">
        <f>L19*E25</f>
        <v>0.9351735932</v>
      </c>
      <c r="M20" s="23"/>
      <c r="N20" s="23"/>
      <c r="O20" s="23"/>
      <c r="P20" s="23"/>
      <c r="Q20" s="23"/>
      <c r="R20" s="34" t="s">
        <v>63</v>
      </c>
      <c r="S20" s="60">
        <f>B12+B13/2/100</f>
        <v>1</v>
      </c>
      <c r="T20" s="60">
        <f>O9*S20^2/2+S20*0.25</f>
        <v>0.28</v>
      </c>
      <c r="U20" s="62">
        <f>MAX(0.25*S20,S20*B10*(F10+F11+K11-B13*B14*2.5/100^2)*S20/2/2)</f>
        <v>0.7079207074</v>
      </c>
      <c r="V20" s="23"/>
      <c r="W20" s="23"/>
      <c r="X20" s="23"/>
      <c r="Y20" s="23"/>
      <c r="Z20" s="23"/>
    </row>
    <row r="21" ht="23.25" customHeight="1">
      <c r="A21" s="31" t="s">
        <v>64</v>
      </c>
      <c r="B21" s="11"/>
      <c r="C21" s="11"/>
      <c r="D21" s="11"/>
      <c r="E21" s="11"/>
      <c r="F21" s="12"/>
      <c r="G21" s="23"/>
      <c r="H21" s="23"/>
      <c r="I21" s="23"/>
      <c r="J21" s="39" t="s">
        <v>65</v>
      </c>
      <c r="K21" s="50">
        <f t="shared" ref="K21:L21" si="2">K20*K14</f>
        <v>16.00675605</v>
      </c>
      <c r="L21" s="50">
        <f t="shared" si="2"/>
        <v>4.065972144</v>
      </c>
      <c r="M21" s="23"/>
      <c r="N21" s="23"/>
      <c r="O21" s="23"/>
      <c r="P21" s="23"/>
      <c r="Q21" s="23"/>
      <c r="R21" s="63"/>
      <c r="S21" s="63"/>
      <c r="T21" s="63"/>
      <c r="U21" s="63"/>
      <c r="V21" s="23"/>
      <c r="W21" s="23"/>
      <c r="X21" s="23"/>
      <c r="Y21" s="23"/>
      <c r="Z21" s="23"/>
    </row>
    <row r="22" ht="23.25" customHeight="1">
      <c r="A22" s="64"/>
      <c r="C22" s="23"/>
      <c r="D22" s="23"/>
      <c r="E22" s="23"/>
      <c r="F22" s="23"/>
      <c r="G22" s="23"/>
      <c r="H22" s="23"/>
      <c r="I22" s="23"/>
      <c r="J22" s="39" t="s">
        <v>66</v>
      </c>
      <c r="K22" s="40">
        <f>0.21*F13^(2/3)/100/1.4</f>
        <v>0.0128248196</v>
      </c>
      <c r="L22" s="37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 ht="23.25" customHeight="1">
      <c r="A23" s="39" t="s">
        <v>67</v>
      </c>
      <c r="B23" s="43">
        <v>6.3</v>
      </c>
      <c r="C23" s="23"/>
      <c r="D23" s="39" t="s">
        <v>68</v>
      </c>
      <c r="E23" s="65">
        <f>MAX(ROUNDUP((L18/L19),0),2)</f>
        <v>3</v>
      </c>
      <c r="F23" s="23"/>
      <c r="G23" s="23"/>
      <c r="H23" s="23"/>
      <c r="I23" s="23"/>
      <c r="J23" s="39" t="s">
        <v>69</v>
      </c>
      <c r="K23" s="66">
        <f>K22*2.25*1</f>
        <v>0.0288558441</v>
      </c>
      <c r="L23" s="67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 ht="31.5" customHeight="1">
      <c r="A24" s="39" t="s">
        <v>70</v>
      </c>
      <c r="B24" s="43">
        <v>6.3</v>
      </c>
      <c r="C24" s="23"/>
      <c r="D24" s="44" t="s">
        <v>71</v>
      </c>
      <c r="E24" s="65">
        <f>MAX(K44,2)</f>
        <v>2</v>
      </c>
      <c r="F24" s="23"/>
      <c r="G24" s="23"/>
      <c r="H24" s="23"/>
      <c r="I24" s="23"/>
      <c r="J24" s="39" t="s">
        <v>72</v>
      </c>
      <c r="K24" s="50">
        <f>B25/4*K14/K23*K18/K20/10</f>
        <v>37.1354629</v>
      </c>
      <c r="L24" s="50">
        <f>B23/4*L14/K23*L18/L20/10</f>
        <v>22.83858608</v>
      </c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 ht="23.25" customHeight="1">
      <c r="A25" s="39" t="s">
        <v>73</v>
      </c>
      <c r="B25" s="43">
        <v>12.5</v>
      </c>
      <c r="C25" s="23"/>
      <c r="D25" s="39" t="s">
        <v>68</v>
      </c>
      <c r="E25" s="65">
        <f>MAX(ROUNDUP((K18/K19),0),2)</f>
        <v>3</v>
      </c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 ht="25.5" customHeight="1">
      <c r="A26" s="39" t="s">
        <v>74</v>
      </c>
      <c r="B26" s="43">
        <v>6.3</v>
      </c>
      <c r="C26" s="23"/>
      <c r="D26" s="39" t="s">
        <v>75</v>
      </c>
      <c r="E26" s="65">
        <f>ROUNDDOWN(K38,0)</f>
        <v>15</v>
      </c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 ht="26.25" customHeight="1">
      <c r="A27" s="68" t="s">
        <v>76</v>
      </c>
      <c r="B27" s="69">
        <v>8.0</v>
      </c>
      <c r="C27" s="23"/>
      <c r="D27" s="39" t="s">
        <v>68</v>
      </c>
      <c r="E27" s="65">
        <f>ROUNDUP(O15/O16,0)</f>
        <v>2</v>
      </c>
      <c r="F27" s="23"/>
      <c r="G27" s="23"/>
      <c r="H27" s="23"/>
      <c r="I27" s="23"/>
      <c r="J27" s="70" t="s">
        <v>77</v>
      </c>
      <c r="K27" s="26"/>
      <c r="L27" s="27"/>
      <c r="M27" s="23"/>
      <c r="N27" s="70" t="s">
        <v>78</v>
      </c>
      <c r="O27" s="27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 ht="15.0" customHeight="1">
      <c r="A28" s="23"/>
      <c r="B28" s="23"/>
      <c r="C28" s="23"/>
      <c r="D28" s="23"/>
      <c r="E28" s="23"/>
      <c r="F28" s="23"/>
      <c r="G28" s="23"/>
      <c r="H28" s="23"/>
      <c r="I28" s="23"/>
      <c r="J28" s="28"/>
      <c r="K28" s="29"/>
      <c r="L28" s="30"/>
      <c r="M28" s="23"/>
      <c r="N28" s="28"/>
      <c r="O28" s="30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 ht="15.75" customHeight="1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 ht="35.25" customHeight="1">
      <c r="A30" s="71" t="s">
        <v>79</v>
      </c>
      <c r="B30" s="72" t="str">
        <f>IF(MAX(K17:L17)&gt;0.36,"Flexão excessiva - Viga","OK")</f>
        <v>OK</v>
      </c>
      <c r="C30" s="73"/>
      <c r="D30" s="37"/>
      <c r="E30" s="23"/>
      <c r="F30" s="23"/>
      <c r="G30" s="23"/>
      <c r="H30" s="23"/>
      <c r="I30" s="23"/>
      <c r="J30" s="39" t="s">
        <v>80</v>
      </c>
      <c r="K30" s="51">
        <f>(K11+F10*B12+F11*B12)*B12*B10*VLOOKUP(B17,R10:V16,5,FALSE)*1.4</f>
        <v>2.153455183</v>
      </c>
      <c r="L30" s="23"/>
      <c r="M30" s="23"/>
      <c r="N30" s="74" t="s">
        <v>81</v>
      </c>
      <c r="O30" s="75">
        <f>56*(0.8+0.2*F13/80)*F13^0.5</f>
        <v>241.5</v>
      </c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 ht="15.75" customHeight="1">
      <c r="A31" s="71" t="s">
        <v>82</v>
      </c>
      <c r="B31" s="72" t="str">
        <f>IF(MAX(O13)&gt;0.36,"Flexão excessiva - Degrau","OK")</f>
        <v>OK</v>
      </c>
      <c r="C31" s="73"/>
      <c r="D31" s="37"/>
      <c r="E31" s="23"/>
      <c r="F31" s="23"/>
      <c r="G31" s="23"/>
      <c r="H31" s="23"/>
      <c r="I31" s="23"/>
      <c r="J31" s="39" t="s">
        <v>83</v>
      </c>
      <c r="K31" s="76">
        <f>0.27*(1-F13/250)*K9*B13*K15</f>
        <v>19.36037411</v>
      </c>
      <c r="L31" s="23"/>
      <c r="M31" s="23"/>
      <c r="N31" s="74" t="s">
        <v>84</v>
      </c>
      <c r="O31" s="75">
        <f>(B13*B14^3/12)</f>
        <v>45000</v>
      </c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 ht="15.75" customHeight="1">
      <c r="A32" s="74" t="s">
        <v>85</v>
      </c>
      <c r="B32" s="72" t="str">
        <f>IF(F16&gt;O49,"Contra flecha acima do limite","OK")</f>
        <v>OK</v>
      </c>
      <c r="C32" s="73"/>
      <c r="D32" s="37"/>
      <c r="E32" s="23"/>
      <c r="F32" s="23"/>
      <c r="G32" s="23"/>
      <c r="H32" s="23"/>
      <c r="I32" s="23"/>
      <c r="J32" s="39" t="s">
        <v>86</v>
      </c>
      <c r="K32" s="51">
        <f>0.6*O38*B13*K15</f>
        <v>5.77006955</v>
      </c>
      <c r="L32" s="23"/>
      <c r="M32" s="23"/>
      <c r="N32" s="74" t="s">
        <v>87</v>
      </c>
      <c r="O32" s="50">
        <f>K21/K9</f>
        <v>105.4562751</v>
      </c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 ht="15.75" customHeight="1">
      <c r="A33" s="74" t="s">
        <v>88</v>
      </c>
      <c r="B33" s="72" t="str">
        <f>IF(O45&gt;O46," Flecha acima do limite","OK")</f>
        <v>OK</v>
      </c>
      <c r="C33" s="73"/>
      <c r="D33" s="37"/>
      <c r="E33" s="23"/>
      <c r="F33" s="23"/>
      <c r="G33" s="23"/>
      <c r="H33" s="23"/>
      <c r="I33" s="23"/>
      <c r="J33" s="39" t="s">
        <v>89</v>
      </c>
      <c r="K33" s="51">
        <f>MAX(0.001,K30-K32)</f>
        <v>0.001</v>
      </c>
      <c r="L33" s="23"/>
      <c r="M33" s="23"/>
      <c r="N33" s="74" t="s">
        <v>90</v>
      </c>
      <c r="O33" s="61">
        <f>B14-O32/2/B13</f>
        <v>27.36359312</v>
      </c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 ht="15.75" customHeight="1">
      <c r="A34" s="23"/>
      <c r="B34" s="23"/>
      <c r="C34" s="23"/>
      <c r="D34" s="23"/>
      <c r="E34" s="23"/>
      <c r="F34" s="23"/>
      <c r="G34" s="23"/>
      <c r="H34" s="23"/>
      <c r="I34" s="23"/>
      <c r="J34" s="39" t="s">
        <v>91</v>
      </c>
      <c r="K34" s="51">
        <f>MAX(K33/(5/1.15)/(K15/100)/0.9+K41,K36*B13*100)</f>
        <v>2.051971136</v>
      </c>
      <c r="L34" s="23"/>
      <c r="M34" s="23"/>
      <c r="N34" s="74" t="s">
        <v>92</v>
      </c>
      <c r="O34" s="50">
        <f>K20*2100/O30</f>
        <v>32.0135121</v>
      </c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 ht="15.75" customHeight="1">
      <c r="A35" s="77" t="s">
        <v>93</v>
      </c>
      <c r="B35" s="78">
        <f>O44+O42+O41-F16</f>
        <v>1.078898457</v>
      </c>
      <c r="C35" s="23"/>
      <c r="D35" s="23"/>
      <c r="E35" s="23"/>
      <c r="F35" s="23"/>
      <c r="G35" s="23"/>
      <c r="H35" s="23"/>
      <c r="I35" s="23"/>
      <c r="J35" s="39" t="s">
        <v>94</v>
      </c>
      <c r="K35" s="51">
        <f>0.3*F13^(2/3)/100</f>
        <v>0.0256496392</v>
      </c>
      <c r="L35" s="23"/>
      <c r="M35" s="23"/>
      <c r="N35" s="74" t="s">
        <v>95</v>
      </c>
      <c r="O35" s="75">
        <f>F17+B25/20</f>
        <v>3.125</v>
      </c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 ht="15.75" customHeight="1">
      <c r="A36" s="77" t="s">
        <v>96</v>
      </c>
      <c r="B36" s="78">
        <f>B10/250*100</f>
        <v>2.04</v>
      </c>
      <c r="C36" s="23"/>
      <c r="D36" s="23"/>
      <c r="E36" s="23"/>
      <c r="F36" s="23"/>
      <c r="G36" s="23"/>
      <c r="H36" s="23"/>
      <c r="I36" s="23"/>
      <c r="J36" s="39" t="s">
        <v>97</v>
      </c>
      <c r="K36" s="79">
        <f>K35/5*0.2</f>
        <v>0.001025985568</v>
      </c>
      <c r="L36" s="23"/>
      <c r="M36" s="23"/>
      <c r="N36" s="74" t="s">
        <v>98</v>
      </c>
      <c r="O36" s="61">
        <f>(O35*O34+O33*O32)/(O32+O34)</f>
        <v>21.71898924</v>
      </c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 ht="15.75" customHeight="1">
      <c r="A37" s="23"/>
      <c r="B37" s="23"/>
      <c r="C37" s="23"/>
      <c r="D37" s="23"/>
      <c r="E37" s="23"/>
      <c r="F37" s="23"/>
      <c r="G37" s="23"/>
      <c r="H37" s="23"/>
      <c r="I37" s="23"/>
      <c r="J37" s="39" t="s">
        <v>99</v>
      </c>
      <c r="K37" s="51">
        <f>B26^2*PI()/400*2</f>
        <v>0.6234490621</v>
      </c>
      <c r="L37" s="23"/>
      <c r="M37" s="23"/>
      <c r="N37" s="74" t="s">
        <v>100</v>
      </c>
      <c r="O37" s="80">
        <f>(O32/100)^3*100+O32*(O33-O36)^2+O34*(O36-O35)^2</f>
        <v>14545.51647</v>
      </c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 ht="15.75" customHeight="1">
      <c r="A38" s="23"/>
      <c r="B38" s="23"/>
      <c r="C38" s="23"/>
      <c r="D38" s="23"/>
      <c r="E38" s="23"/>
      <c r="F38" s="23"/>
      <c r="G38" s="23"/>
      <c r="H38" s="23"/>
      <c r="I38" s="23"/>
      <c r="J38" s="39" t="s">
        <v>101</v>
      </c>
      <c r="K38" s="41">
        <f>MIN(30,0.6*K15,K37/K34*100)</f>
        <v>15.747</v>
      </c>
      <c r="L38" s="23"/>
      <c r="M38" s="23"/>
      <c r="N38" s="74" t="s">
        <v>66</v>
      </c>
      <c r="O38" s="50">
        <f>0.3*F13^(2/3)/100/1.4</f>
        <v>0.01832117086</v>
      </c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 ht="15.75" customHeight="1">
      <c r="A39" s="23"/>
      <c r="B39" s="23"/>
      <c r="C39" s="23"/>
      <c r="D39" s="23"/>
      <c r="E39" s="23"/>
      <c r="F39" s="23"/>
      <c r="G39" s="23"/>
      <c r="H39" s="23"/>
      <c r="I39" s="23"/>
      <c r="J39" s="39" t="s">
        <v>102</v>
      </c>
      <c r="K39" s="41">
        <f>VLOOKUP(B18,R19:U20,4,FALSE)*1.4</f>
        <v>0.1575</v>
      </c>
      <c r="L39" s="23"/>
      <c r="M39" s="23"/>
      <c r="N39" s="74" t="s">
        <v>103</v>
      </c>
      <c r="O39" s="81">
        <f>(B13^2/6*O38)</f>
        <v>1.22141139</v>
      </c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 ht="15.75" customHeight="1">
      <c r="A40" s="23"/>
      <c r="B40" s="23"/>
      <c r="C40" s="23"/>
      <c r="D40" s="23"/>
      <c r="E40" s="23"/>
      <c r="F40" s="23"/>
      <c r="G40" s="23"/>
      <c r="H40" s="23"/>
      <c r="I40" s="23"/>
      <c r="J40" s="39" t="s">
        <v>104</v>
      </c>
      <c r="K40" s="51">
        <f>0.5*(1-F13/250)*K9*B13/2*B14*MIN(B13:B14)/100</f>
        <v>4.098214286</v>
      </c>
      <c r="L40" s="23"/>
      <c r="M40" s="23"/>
      <c r="N40" s="74" t="s">
        <v>105</v>
      </c>
      <c r="O40" s="61">
        <f>MIN((O30*((O39/K13)^3*O31+(1-(O39/K13)^3)*O37)),O30*O31)</f>
        <v>4807915.396</v>
      </c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 ht="15.75" customHeight="1">
      <c r="A41" s="23"/>
      <c r="B41" s="23"/>
      <c r="C41" s="23"/>
      <c r="D41" s="23"/>
      <c r="E41" s="23"/>
      <c r="F41" s="23"/>
      <c r="G41" s="23"/>
      <c r="H41" s="23"/>
      <c r="I41" s="23"/>
      <c r="J41" s="39" t="s">
        <v>106</v>
      </c>
      <c r="K41" s="51">
        <f>K39/2/((B13-F17*2-B26/10)/100)</f>
        <v>0.5480167015</v>
      </c>
      <c r="L41" s="23"/>
      <c r="M41" s="23"/>
      <c r="N41" s="74" t="s">
        <v>107</v>
      </c>
      <c r="O41" s="50">
        <f>(K11/100*(B10*100)^4/O40/VLOOKUP(B17,R10:X16,4,FALSE))</f>
        <v>0.6508406343</v>
      </c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 ht="15.75" customHeight="1">
      <c r="A42" s="23"/>
      <c r="B42" s="23"/>
      <c r="C42" s="23"/>
      <c r="D42" s="23"/>
      <c r="E42" s="23"/>
      <c r="F42" s="23"/>
      <c r="G42" s="23"/>
      <c r="H42" s="23"/>
      <c r="I42" s="23"/>
      <c r="J42" s="39" t="s">
        <v>108</v>
      </c>
      <c r="K42" s="51">
        <f>MAX(K41-MIN(K20:L20),B13*B14*0.1/100*2)</f>
        <v>1.2</v>
      </c>
      <c r="L42" s="23"/>
      <c r="M42" s="23"/>
      <c r="N42" s="74" t="s">
        <v>109</v>
      </c>
      <c r="O42" s="50">
        <f>(F10/100*(B10*100)^4/O40/VLOOKUP(B17,R10:X16,4,FALSE))</f>
        <v>0.4580392303</v>
      </c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 ht="15.75" customHeight="1">
      <c r="A43" s="23"/>
      <c r="B43" s="23"/>
      <c r="C43" s="23"/>
      <c r="D43" s="23"/>
      <c r="E43" s="23"/>
      <c r="F43" s="23"/>
      <c r="G43" s="23"/>
      <c r="H43" s="23"/>
      <c r="I43" s="23"/>
      <c r="J43" s="39" t="s">
        <v>110</v>
      </c>
      <c r="K43" s="51">
        <f>B24^2*PI()/400</f>
        <v>0.3117245311</v>
      </c>
      <c r="L43" s="23"/>
      <c r="M43" s="23"/>
      <c r="N43" s="74" t="s">
        <v>111</v>
      </c>
      <c r="O43" s="82">
        <f>(L20/B13/K15)</f>
        <v>0.001781622391</v>
      </c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 ht="15.75" customHeight="1">
      <c r="A44" s="23"/>
      <c r="B44" s="23"/>
      <c r="C44" s="23"/>
      <c r="D44" s="23"/>
      <c r="E44" s="23"/>
      <c r="F44" s="23"/>
      <c r="G44" s="23"/>
      <c r="H44" s="23"/>
      <c r="I44" s="23"/>
      <c r="J44" s="39" t="s">
        <v>112</v>
      </c>
      <c r="K44" s="41">
        <f>MAX(ROUNDUP(K42/2/K43,0),2)</f>
        <v>2</v>
      </c>
      <c r="L44" s="23"/>
      <c r="M44" s="23"/>
      <c r="N44" s="74" t="s">
        <v>113</v>
      </c>
      <c r="O44" s="50">
        <f>((2-O48)/(1+50*O43))*(O41+O42*0.3)</f>
        <v>0.9700185925</v>
      </c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 ht="15.75" customHeight="1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74" t="s">
        <v>93</v>
      </c>
      <c r="O45" s="83">
        <f>O44+O42+O41-F16</f>
        <v>1.078898457</v>
      </c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 ht="15.75" customHeight="1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74" t="s">
        <v>96</v>
      </c>
      <c r="O46" s="83">
        <f>B10/250*100</f>
        <v>2.04</v>
      </c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 ht="15.75" customHeight="1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74" t="s">
        <v>114</v>
      </c>
      <c r="O47" s="81">
        <f>F15*12/365</f>
        <v>0.9205479452</v>
      </c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 ht="15.75" customHeight="1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74" t="s">
        <v>115</v>
      </c>
      <c r="O48" s="49">
        <f>MIN(2,0.68*(0.996^O47)*O47^0.32)</f>
        <v>0.6597834271</v>
      </c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 ht="15.75" customHeight="1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84" t="s">
        <v>116</v>
      </c>
      <c r="O49" s="50">
        <f>O46*0.8+O41</f>
        <v>2.282840634</v>
      </c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 ht="15.75" customHeight="1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 ht="15.75" customHeight="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 ht="15.75" customHeight="1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ht="15.75" customHeight="1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ht="15.75" customHeight="1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ht="15.75" customHeight="1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ht="15.75" customHeight="1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ht="15.75" customHeight="1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ht="15.75" customHeight="1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ht="15.75" customHeight="1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ht="15.75" customHeight="1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ht="15.75" customHeight="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ht="15.75" customHeight="1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ht="15.75" customHeight="1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ht="15.75" customHeight="1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ht="15.75" customHeight="1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ht="15.75" customHeight="1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ht="15.75" customHeight="1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ht="15.75" customHeight="1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ht="15.75" customHeight="1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ht="15.75" customHeight="1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ht="15.75" customHeight="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ht="15.75" customHeight="1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ht="15.75" customHeight="1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ht="15.75" customHeight="1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ht="15.75" customHeight="1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ht="15.75" customHeight="1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ht="15.75" customHeight="1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ht="15.75" customHeight="1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ht="15.75" customHeight="1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ht="15.75" customHeight="1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ht="15.75" customHeight="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ht="15.75" customHeight="1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ht="15.75" customHeight="1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ht="15.75" customHeight="1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ht="15.75" customHeight="1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ht="15.75" customHeight="1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ht="15.75" customHeight="1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ht="15.75" customHeight="1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 ht="15.75" customHeight="1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 ht="15.75" customHeight="1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 ht="15.75" customHeight="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 ht="15.75" customHeight="1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 ht="15.75" customHeight="1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 ht="15.75" customHeight="1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 ht="15.75" customHeight="1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 ht="15.75" customHeight="1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 ht="15.75" customHeight="1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 ht="15.75" customHeight="1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 ht="15.75" customHeight="1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 ht="15.75" customHeight="1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 ht="15.75" customHeight="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 ht="15.75" customHeight="1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 ht="15.75" customHeight="1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 ht="15.75" customHeight="1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 ht="15.75" customHeight="1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 ht="15.75" customHeight="1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 ht="15.75" customHeight="1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 ht="15.75" customHeight="1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 ht="15.75" customHeight="1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 ht="15.75" customHeight="1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 ht="15.75" customHeight="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 ht="15.75" customHeight="1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 ht="15.75" customHeight="1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 ht="15.75" customHeight="1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 ht="15.75" customHeight="1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 ht="15.75" customHeight="1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 ht="15.75" customHeight="1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 ht="15.75" customHeight="1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 ht="15.75" customHeight="1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 ht="15.75" customHeight="1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 ht="15.75" customHeight="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 ht="15.75" customHeight="1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 ht="15.75" customHeight="1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 ht="15.75" customHeight="1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 ht="15.75" customHeight="1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 ht="15.75" customHeight="1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 ht="15.75" customHeight="1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 ht="15.75" customHeight="1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 ht="15.75" customHeight="1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 ht="15.75" customHeight="1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 ht="15.75" customHeight="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 ht="15.75" customHeight="1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 ht="15.75" customHeight="1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 ht="15.75" customHeight="1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 ht="15.75" customHeight="1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 ht="15.75" customHeight="1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 ht="15.75" customHeight="1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 ht="15.75" customHeight="1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 ht="15.75" customHeight="1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 ht="15.75" customHeight="1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 ht="15.75" customHeight="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 ht="15.75" customHeight="1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 ht="15.75" customHeight="1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 ht="15.75" customHeight="1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 ht="15.75" customHeight="1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 ht="15.75" customHeight="1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 ht="15.75" customHeight="1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 ht="15.75" customHeight="1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 ht="15.75" customHeight="1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 ht="15.75" customHeight="1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 ht="15.75" customHeight="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 ht="15.75" customHeight="1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 ht="15.75" customHeight="1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 ht="15.75" customHeight="1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 ht="15.75" customHeight="1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 ht="15.75" customHeight="1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 ht="15.75" customHeight="1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 ht="15.75" customHeight="1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 ht="15.75" customHeight="1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 ht="15.75" customHeight="1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 ht="15.75" customHeight="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 ht="15.75" customHeight="1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 ht="15.75" customHeight="1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 ht="15.75" customHeight="1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 ht="15.75" customHeight="1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 ht="15.75" customHeight="1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 ht="15.75" customHeight="1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 ht="15.75" customHeight="1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 ht="15.75" customHeight="1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 ht="15.75" customHeight="1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 ht="15.75" customHeight="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 ht="15.75" customHeight="1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 ht="15.75" customHeight="1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 ht="15.75" customHeight="1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 ht="15.75" customHeight="1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 ht="15.75" customHeight="1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 ht="15.75" customHeight="1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 ht="15.75" customHeight="1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 ht="15.75" customHeight="1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 ht="15.75" customHeight="1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 ht="15.75" customHeight="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 ht="15.75" customHeight="1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 ht="15.75" customHeight="1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 ht="15.75" customHeight="1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 ht="15.75" customHeight="1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 ht="15.75" customHeight="1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 ht="15.75" customHeight="1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 ht="15.75" customHeight="1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 ht="15.75" customHeight="1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 ht="15.75" customHeight="1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 ht="15.75" customHeight="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 ht="15.75" customHeight="1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 ht="15.75" customHeight="1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 ht="15.75" customHeight="1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 ht="15.75" customHeight="1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 ht="15.75" customHeight="1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 ht="15.75" customHeight="1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 ht="15.75" customHeight="1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 ht="15.75" customHeight="1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 ht="15.75" customHeight="1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 ht="15.75" customHeight="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 ht="15.75" customHeight="1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 ht="15.75" customHeight="1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 ht="15.75" customHeight="1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 ht="15.75" customHeight="1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 ht="15.75" customHeight="1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 ht="15.75" customHeight="1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 ht="15.75" customHeight="1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 ht="15.75" customHeight="1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 ht="15.75" customHeight="1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 ht="15.75" customHeight="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 ht="15.75" customHeight="1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 ht="15.75" customHeight="1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 ht="15.75" customHeight="1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 ht="15.75" customHeight="1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 ht="15.75" customHeight="1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 ht="15.75" customHeight="1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 ht="15.75" customHeight="1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 ht="15.75" customHeight="1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 ht="15.75" customHeight="1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 ht="15.75" customHeight="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 ht="15.75" customHeight="1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 ht="15.75" customHeight="1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 ht="15.75" customHeight="1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 ht="15.75" customHeight="1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 ht="15.75" customHeight="1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 ht="15.75" customHeight="1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 ht="15.75" customHeight="1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 ht="15.75" customHeight="1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 ht="15.75" customHeight="1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 ht="15.75" customHeight="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 ht="15.75" customHeight="1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 ht="15.75" customHeight="1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 ht="15.75" customHeight="1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 ht="15.75" customHeight="1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 ht="15.75" customHeight="1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 ht="15.75" customHeight="1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 ht="15.75" customHeight="1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 ht="15.75" customHeight="1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 ht="15.75" customHeight="1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 ht="15.75" customHeight="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 ht="15.75" customHeight="1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 ht="15.75" customHeight="1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 ht="15.75" customHeight="1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 ht="15.75" customHeight="1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 ht="15.75" customHeight="1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 ht="15.75" customHeight="1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 ht="15.75" customHeight="1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 ht="15.75" customHeight="1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 ht="15.75" customHeight="1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 ht="15.75" customHeight="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 ht="15.75" customHeight="1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 ht="15.75" customHeight="1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 ht="15.75" customHeight="1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 ht="15.75" customHeight="1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 ht="15.75" customHeight="1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 ht="15.75" customHeight="1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 ht="15.75" customHeight="1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 ht="15.75" customHeight="1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 ht="15.75" customHeight="1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 ht="15.75" customHeight="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 ht="15.75" customHeight="1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 ht="15.75" customHeight="1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 ht="15.75" customHeight="1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 ht="15.75" customHeight="1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 ht="15.75" customHeight="1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 ht="15.75" customHeight="1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 ht="15.75" customHeight="1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 ht="15.75" customHeight="1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 ht="15.75" customHeight="1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</row>
    <row r="271" ht="15.75" customHeight="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</row>
    <row r="272" ht="15.75" customHeight="1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</row>
    <row r="273" ht="15.75" customHeight="1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</row>
    <row r="274" ht="15.75" customHeight="1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</row>
    <row r="275" ht="15.75" customHeight="1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</row>
    <row r="276" ht="15.75" customHeight="1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</row>
    <row r="277" ht="15.75" customHeight="1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</row>
    <row r="278" ht="15.75" customHeight="1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</row>
    <row r="279" ht="15.75" customHeight="1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</row>
    <row r="280" ht="15.75" customHeight="1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</row>
    <row r="281" ht="15.75" customHeight="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</row>
    <row r="282" ht="15.75" customHeight="1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</row>
    <row r="283" ht="15.75" customHeight="1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</row>
    <row r="284" ht="15.75" customHeight="1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</row>
    <row r="285" ht="15.75" customHeight="1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</row>
    <row r="286" ht="15.75" customHeight="1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</row>
    <row r="287" ht="15.75" customHeight="1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</row>
    <row r="288" ht="15.75" customHeight="1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</row>
    <row r="289" ht="15.75" customHeight="1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</row>
    <row r="290" ht="15.75" customHeight="1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</row>
    <row r="291" ht="15.75" customHeight="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</row>
    <row r="292" ht="15.75" customHeight="1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</row>
    <row r="293" ht="15.75" customHeight="1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</row>
    <row r="294" ht="15.75" customHeight="1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</row>
    <row r="295" ht="15.75" customHeight="1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</row>
    <row r="296" ht="15.75" customHeight="1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</row>
    <row r="297" ht="15.75" customHeight="1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</row>
    <row r="298" ht="15.75" customHeight="1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</row>
    <row r="299" ht="15.75" customHeight="1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</row>
    <row r="300" ht="15.75" customHeight="1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</row>
    <row r="301" ht="15.75" customHeight="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</row>
    <row r="302" ht="15.75" customHeight="1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</row>
    <row r="303" ht="15.75" customHeight="1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</row>
    <row r="304" ht="15.75" customHeight="1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</row>
    <row r="305" ht="15.75" customHeight="1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</row>
    <row r="306" ht="15.75" customHeight="1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</row>
    <row r="307" ht="15.75" customHeight="1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</row>
    <row r="308" ht="15.75" customHeight="1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</row>
    <row r="309" ht="15.75" customHeight="1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</row>
    <row r="310" ht="15.75" customHeight="1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</row>
    <row r="311" ht="15.75" customHeight="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</row>
    <row r="312" ht="15.75" customHeight="1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</row>
    <row r="313" ht="15.75" customHeight="1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</row>
    <row r="314" ht="15.75" customHeight="1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</row>
    <row r="315" ht="15.75" customHeight="1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</row>
    <row r="316" ht="15.75" customHeight="1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</row>
    <row r="317" ht="15.75" customHeight="1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</row>
    <row r="318" ht="15.75" customHeight="1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</row>
    <row r="319" ht="15.75" customHeight="1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</row>
    <row r="320" ht="15.75" customHeight="1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</row>
    <row r="321" ht="15.75" customHeight="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</row>
    <row r="322" ht="15.75" customHeight="1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</row>
    <row r="323" ht="15.75" customHeight="1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</row>
    <row r="324" ht="15.75" customHeight="1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</row>
    <row r="325" ht="15.75" customHeight="1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</row>
    <row r="326" ht="15.75" customHeight="1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</row>
    <row r="327" ht="15.75" customHeight="1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</row>
    <row r="328" ht="15.75" customHeight="1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</row>
    <row r="329" ht="15.75" customHeight="1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</row>
    <row r="330" ht="15.75" customHeight="1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</row>
    <row r="331" ht="15.75" customHeight="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</row>
    <row r="332" ht="15.75" customHeight="1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</row>
    <row r="333" ht="15.75" customHeight="1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</row>
    <row r="334" ht="15.75" customHeight="1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</row>
    <row r="335" ht="15.75" customHeight="1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</row>
    <row r="336" ht="15.75" customHeight="1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</row>
    <row r="337" ht="15.75" customHeight="1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</row>
    <row r="338" ht="15.75" customHeight="1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</row>
    <row r="339" ht="15.75" customHeight="1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</row>
    <row r="340" ht="15.75" customHeight="1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</row>
    <row r="341" ht="15.75" customHeight="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</row>
    <row r="342" ht="15.75" customHeight="1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</row>
    <row r="343" ht="15.75" customHeight="1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</row>
    <row r="344" ht="15.75" customHeight="1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</row>
    <row r="345" ht="15.75" customHeight="1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</row>
    <row r="346" ht="15.75" customHeight="1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</row>
    <row r="347" ht="15.75" customHeight="1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</row>
    <row r="348" ht="15.75" customHeight="1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</row>
    <row r="349" ht="15.75" customHeight="1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</row>
    <row r="350" ht="15.75" customHeight="1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</row>
    <row r="351" ht="15.75" customHeight="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</row>
    <row r="352" ht="15.75" customHeight="1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</row>
    <row r="353" ht="15.75" customHeight="1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</row>
    <row r="354" ht="15.75" customHeight="1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</row>
    <row r="355" ht="15.75" customHeight="1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</row>
    <row r="356" ht="15.75" customHeight="1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</row>
    <row r="357" ht="15.75" customHeight="1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</row>
    <row r="358" ht="15.75" customHeight="1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</row>
    <row r="359" ht="15.75" customHeight="1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</row>
    <row r="360" ht="15.75" customHeight="1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</row>
    <row r="361" ht="15.75" customHeight="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</row>
    <row r="362" ht="15.75" customHeight="1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</row>
    <row r="363" ht="15.75" customHeight="1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</row>
    <row r="364" ht="15.75" customHeight="1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</row>
    <row r="365" ht="15.75" customHeight="1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</row>
    <row r="366" ht="15.75" customHeight="1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</row>
    <row r="367" ht="15.75" customHeight="1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</row>
    <row r="368" ht="15.75" customHeight="1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</row>
    <row r="369" ht="15.75" customHeight="1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</row>
    <row r="370" ht="15.75" customHeight="1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</row>
    <row r="371" ht="15.75" customHeight="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</row>
    <row r="372" ht="15.75" customHeight="1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</row>
    <row r="373" ht="15.75" customHeight="1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</row>
    <row r="374" ht="15.75" customHeight="1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</row>
    <row r="375" ht="15.75" customHeight="1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</row>
    <row r="376" ht="15.75" customHeight="1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</row>
    <row r="377" ht="15.75" customHeight="1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</row>
    <row r="378" ht="15.75" customHeight="1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</row>
    <row r="379" ht="15.75" customHeight="1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</row>
    <row r="380" ht="15.75" customHeight="1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</row>
    <row r="381" ht="15.75" customHeight="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</row>
    <row r="382" ht="15.75" customHeight="1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</row>
    <row r="383" ht="15.75" customHeight="1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</row>
    <row r="384" ht="15.75" customHeight="1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</row>
    <row r="385" ht="15.75" customHeight="1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</row>
    <row r="386" ht="15.75" customHeight="1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</row>
    <row r="387" ht="15.75" customHeight="1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</row>
    <row r="388" ht="15.75" customHeight="1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</row>
    <row r="389" ht="15.75" customHeight="1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</row>
    <row r="390" ht="15.75" customHeight="1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</row>
    <row r="391" ht="15.75" customHeight="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</row>
    <row r="392" ht="15.75" customHeight="1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</row>
    <row r="393" ht="15.75" customHeight="1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</row>
    <row r="394" ht="15.75" customHeight="1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</row>
    <row r="395" ht="15.75" customHeight="1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</row>
    <row r="396" ht="15.75" customHeight="1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</row>
    <row r="397" ht="15.75" customHeight="1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</row>
    <row r="398" ht="15.75" customHeight="1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</row>
    <row r="399" ht="15.75" customHeight="1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</row>
    <row r="400" ht="15.75" customHeight="1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</row>
    <row r="401" ht="15.75" customHeight="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</row>
    <row r="402" ht="15.75" customHeight="1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</row>
    <row r="403" ht="15.75" customHeight="1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</row>
    <row r="404" ht="15.75" customHeight="1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</row>
    <row r="405" ht="15.75" customHeight="1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</row>
    <row r="406" ht="15.75" customHeight="1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</row>
    <row r="407" ht="15.75" customHeight="1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</row>
    <row r="408" ht="15.75" customHeight="1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</row>
    <row r="409" ht="15.75" customHeight="1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</row>
    <row r="410" ht="15.75" customHeight="1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</row>
    <row r="411" ht="15.75" customHeight="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</row>
    <row r="412" ht="15.75" customHeight="1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</row>
    <row r="413" ht="15.75" customHeight="1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</row>
    <row r="414" ht="15.75" customHeight="1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</row>
    <row r="415" ht="15.75" customHeight="1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</row>
    <row r="416" ht="15.75" customHeight="1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</row>
    <row r="417" ht="15.75" customHeight="1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</row>
    <row r="418" ht="15.75" customHeight="1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</row>
    <row r="419" ht="15.75" customHeight="1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</row>
    <row r="420" ht="15.75" customHeight="1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</row>
    <row r="421" ht="15.75" customHeight="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</row>
    <row r="422" ht="15.75" customHeight="1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</row>
    <row r="423" ht="15.75" customHeight="1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</row>
    <row r="424" ht="15.75" customHeight="1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</row>
    <row r="425" ht="15.75" customHeight="1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</row>
    <row r="426" ht="15.75" customHeight="1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</row>
    <row r="427" ht="15.75" customHeight="1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</row>
    <row r="428" ht="15.75" customHeight="1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</row>
    <row r="429" ht="15.75" customHeight="1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</row>
    <row r="430" ht="15.75" customHeight="1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</row>
    <row r="431" ht="15.75" customHeight="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</row>
    <row r="432" ht="15.75" customHeight="1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</row>
    <row r="433" ht="15.75" customHeight="1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</row>
    <row r="434" ht="15.75" customHeight="1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</row>
    <row r="435" ht="15.75" customHeight="1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</row>
    <row r="436" ht="15.75" customHeight="1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</row>
    <row r="437" ht="15.75" customHeight="1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</row>
    <row r="438" ht="15.75" customHeight="1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</row>
    <row r="439" ht="15.75" customHeight="1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</row>
    <row r="440" ht="15.75" customHeight="1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</row>
    <row r="441" ht="15.75" customHeight="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</row>
    <row r="442" ht="15.75" customHeight="1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</row>
    <row r="443" ht="15.75" customHeight="1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</row>
    <row r="444" ht="15.75" customHeight="1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</row>
    <row r="445" ht="15.75" customHeight="1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</row>
    <row r="446" ht="15.75" customHeight="1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</row>
    <row r="447" ht="15.75" customHeight="1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</row>
    <row r="448" ht="15.75" customHeight="1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</row>
    <row r="449" ht="15.75" customHeight="1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</row>
    <row r="450" ht="15.75" customHeight="1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</row>
    <row r="451" ht="15.75" customHeight="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</row>
    <row r="452" ht="15.75" customHeight="1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</row>
    <row r="453" ht="15.75" customHeight="1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</row>
    <row r="454" ht="15.75" customHeight="1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</row>
    <row r="455" ht="15.75" customHeight="1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</row>
    <row r="456" ht="15.75" customHeight="1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</row>
    <row r="457" ht="15.75" customHeight="1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</row>
    <row r="458" ht="15.75" customHeight="1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</row>
    <row r="459" ht="15.75" customHeight="1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</row>
    <row r="460" ht="15.75" customHeight="1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</row>
    <row r="461" ht="15.75" customHeight="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</row>
    <row r="462" ht="15.75" customHeight="1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</row>
    <row r="463" ht="15.75" customHeight="1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</row>
    <row r="464" ht="15.75" customHeight="1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</row>
    <row r="465" ht="15.75" customHeight="1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</row>
    <row r="466" ht="15.75" customHeight="1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</row>
    <row r="467" ht="15.75" customHeight="1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</row>
    <row r="468" ht="15.75" customHeight="1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</row>
    <row r="469" ht="15.75" customHeight="1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</row>
    <row r="470" ht="15.75" customHeight="1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</row>
    <row r="471" ht="15.75" customHeight="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</row>
    <row r="472" ht="15.75" customHeight="1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</row>
    <row r="473" ht="15.75" customHeight="1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</row>
    <row r="474" ht="15.75" customHeight="1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</row>
    <row r="475" ht="15.75" customHeight="1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</row>
    <row r="476" ht="15.75" customHeight="1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</row>
    <row r="477" ht="15.75" customHeight="1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</row>
    <row r="478" ht="15.75" customHeight="1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</row>
    <row r="479" ht="15.75" customHeight="1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</row>
    <row r="480" ht="15.75" customHeight="1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</row>
    <row r="481" ht="15.75" customHeight="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</row>
    <row r="482" ht="15.75" customHeight="1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</row>
    <row r="483" ht="15.75" customHeight="1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</row>
    <row r="484" ht="15.75" customHeight="1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</row>
    <row r="485" ht="15.75" customHeight="1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</row>
    <row r="486" ht="15.75" customHeight="1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</row>
    <row r="487" ht="15.75" customHeight="1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</row>
    <row r="488" ht="15.75" customHeight="1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</row>
    <row r="489" ht="15.75" customHeight="1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</row>
    <row r="490" ht="15.75" customHeight="1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</row>
    <row r="491" ht="15.75" customHeight="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</row>
    <row r="492" ht="15.75" customHeight="1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</row>
    <row r="493" ht="15.75" customHeight="1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</row>
    <row r="494" ht="15.75" customHeight="1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</row>
    <row r="495" ht="15.75" customHeight="1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</row>
    <row r="496" ht="15.75" customHeight="1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</row>
    <row r="497" ht="15.75" customHeight="1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</row>
    <row r="498" ht="15.75" customHeight="1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</row>
    <row r="499" ht="15.75" customHeight="1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</row>
    <row r="500" ht="15.75" customHeight="1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</row>
    <row r="501" ht="15.75" customHeight="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</row>
    <row r="502" ht="15.75" customHeight="1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</row>
    <row r="503" ht="15.75" customHeight="1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</row>
    <row r="504" ht="15.75" customHeight="1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</row>
    <row r="505" ht="15.75" customHeight="1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</row>
    <row r="506" ht="15.75" customHeight="1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</row>
    <row r="507" ht="15.75" customHeight="1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</row>
    <row r="508" ht="15.75" customHeight="1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</row>
    <row r="509" ht="15.75" customHeight="1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</row>
    <row r="510" ht="15.75" customHeight="1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</row>
    <row r="511" ht="15.75" customHeight="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</row>
    <row r="512" ht="15.75" customHeight="1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</row>
    <row r="513" ht="15.75" customHeight="1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</row>
    <row r="514" ht="15.75" customHeight="1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</row>
    <row r="515" ht="15.75" customHeight="1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</row>
    <row r="516" ht="15.75" customHeight="1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</row>
    <row r="517" ht="15.75" customHeight="1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</row>
    <row r="518" ht="15.75" customHeight="1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</row>
    <row r="519" ht="15.75" customHeight="1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</row>
    <row r="520" ht="15.75" customHeight="1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</row>
    <row r="521" ht="15.75" customHeight="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</row>
    <row r="522" ht="15.75" customHeight="1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</row>
    <row r="523" ht="15.75" customHeight="1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</row>
    <row r="524" ht="15.75" customHeight="1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</row>
    <row r="525" ht="15.75" customHeight="1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</row>
    <row r="526" ht="15.75" customHeight="1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</row>
    <row r="527" ht="15.75" customHeight="1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</row>
    <row r="528" ht="15.75" customHeight="1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</row>
    <row r="529" ht="15.75" customHeight="1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</row>
    <row r="530" ht="15.75" customHeight="1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</row>
    <row r="531" ht="15.75" customHeight="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</row>
    <row r="532" ht="15.75" customHeight="1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</row>
    <row r="533" ht="15.75" customHeight="1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</row>
    <row r="534" ht="15.75" customHeight="1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</row>
    <row r="535" ht="15.75" customHeight="1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</row>
    <row r="536" ht="15.75" customHeight="1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</row>
    <row r="537" ht="15.75" customHeight="1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</row>
    <row r="538" ht="15.75" customHeight="1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</row>
    <row r="539" ht="15.75" customHeight="1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</row>
    <row r="540" ht="15.75" customHeight="1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</row>
    <row r="541" ht="15.75" customHeight="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</row>
    <row r="542" ht="15.75" customHeight="1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</row>
    <row r="543" ht="15.75" customHeight="1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</row>
    <row r="544" ht="15.75" customHeight="1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</row>
    <row r="545" ht="15.75" customHeight="1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</row>
    <row r="546" ht="15.75" customHeight="1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</row>
    <row r="547" ht="15.75" customHeight="1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</row>
    <row r="548" ht="15.75" customHeight="1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</row>
    <row r="549" ht="15.75" customHeight="1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</row>
    <row r="550" ht="15.75" customHeight="1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</row>
    <row r="551" ht="15.75" customHeight="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</row>
    <row r="552" ht="15.75" customHeight="1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</row>
    <row r="553" ht="15.75" customHeight="1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</row>
    <row r="554" ht="15.75" customHeight="1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</row>
    <row r="555" ht="15.75" customHeight="1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</row>
    <row r="556" ht="15.75" customHeight="1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</row>
    <row r="557" ht="15.75" customHeight="1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</row>
    <row r="558" ht="15.75" customHeight="1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</row>
    <row r="559" ht="15.75" customHeight="1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</row>
    <row r="560" ht="15.75" customHeight="1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</row>
    <row r="561" ht="15.75" customHeight="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</row>
    <row r="562" ht="15.75" customHeight="1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</row>
    <row r="563" ht="15.75" customHeight="1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</row>
    <row r="564" ht="15.75" customHeight="1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</row>
    <row r="565" ht="15.75" customHeight="1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</row>
    <row r="566" ht="15.75" customHeight="1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</row>
    <row r="567" ht="15.75" customHeight="1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</row>
    <row r="568" ht="15.75" customHeight="1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</row>
    <row r="569" ht="15.75" customHeight="1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</row>
    <row r="570" ht="15.75" customHeight="1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</row>
    <row r="571" ht="15.75" customHeight="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</row>
    <row r="572" ht="15.75" customHeight="1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</row>
    <row r="573" ht="15.75" customHeight="1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</row>
    <row r="574" ht="15.75" customHeight="1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</row>
    <row r="575" ht="15.75" customHeight="1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</row>
    <row r="576" ht="15.75" customHeight="1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</row>
    <row r="577" ht="15.75" customHeight="1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</row>
    <row r="578" ht="15.75" customHeight="1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</row>
    <row r="579" ht="15.75" customHeight="1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</row>
    <row r="580" ht="15.75" customHeight="1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</row>
    <row r="581" ht="15.75" customHeight="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</row>
    <row r="582" ht="15.75" customHeight="1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</row>
    <row r="583" ht="15.75" customHeight="1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</row>
    <row r="584" ht="15.75" customHeight="1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</row>
    <row r="585" ht="15.75" customHeight="1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</row>
    <row r="586" ht="15.75" customHeight="1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</row>
    <row r="587" ht="15.75" customHeight="1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</row>
    <row r="588" ht="15.75" customHeight="1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</row>
    <row r="589" ht="15.75" customHeight="1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</row>
    <row r="590" ht="15.75" customHeight="1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</row>
    <row r="591" ht="15.75" customHeight="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</row>
    <row r="592" ht="15.75" customHeight="1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</row>
    <row r="593" ht="15.75" customHeight="1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</row>
    <row r="594" ht="15.75" customHeight="1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</row>
    <row r="595" ht="15.75" customHeight="1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</row>
    <row r="596" ht="15.75" customHeight="1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</row>
    <row r="597" ht="15.75" customHeight="1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</row>
    <row r="598" ht="15.75" customHeight="1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</row>
    <row r="599" ht="15.75" customHeight="1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</row>
    <row r="600" ht="15.75" customHeight="1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</row>
    <row r="601" ht="15.75" customHeight="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</row>
    <row r="602" ht="15.75" customHeight="1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</row>
    <row r="603" ht="15.75" customHeight="1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</row>
    <row r="604" ht="15.75" customHeight="1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</row>
    <row r="605" ht="15.75" customHeight="1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</row>
    <row r="606" ht="15.75" customHeight="1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</row>
    <row r="607" ht="15.75" customHeight="1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</row>
    <row r="608" ht="15.75" customHeight="1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</row>
    <row r="609" ht="15.75" customHeight="1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</row>
    <row r="610" ht="15.75" customHeight="1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</row>
    <row r="611" ht="15.75" customHeight="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</row>
    <row r="612" ht="15.75" customHeight="1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</row>
    <row r="613" ht="15.75" customHeight="1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</row>
    <row r="614" ht="15.75" customHeight="1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</row>
    <row r="615" ht="15.75" customHeight="1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</row>
    <row r="616" ht="15.75" customHeight="1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</row>
    <row r="617" ht="15.75" customHeight="1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</row>
    <row r="618" ht="15.75" customHeight="1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</row>
    <row r="619" ht="15.75" customHeight="1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</row>
    <row r="620" ht="15.75" customHeight="1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</row>
    <row r="621" ht="15.75" customHeight="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</row>
    <row r="622" ht="15.75" customHeight="1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</row>
    <row r="623" ht="15.75" customHeight="1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</row>
    <row r="624" ht="15.75" customHeight="1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</row>
    <row r="625" ht="15.75" customHeight="1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</row>
    <row r="626" ht="15.75" customHeight="1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</row>
    <row r="627" ht="15.75" customHeight="1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</row>
    <row r="628" ht="15.75" customHeight="1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</row>
    <row r="629" ht="15.75" customHeight="1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</row>
    <row r="630" ht="15.75" customHeight="1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</row>
    <row r="631" ht="15.75" customHeight="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</row>
    <row r="632" ht="15.75" customHeight="1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</row>
    <row r="633" ht="15.75" customHeight="1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</row>
    <row r="634" ht="15.75" customHeight="1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</row>
    <row r="635" ht="15.75" customHeight="1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</row>
    <row r="636" ht="15.75" customHeight="1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</row>
    <row r="637" ht="15.75" customHeight="1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</row>
    <row r="638" ht="15.75" customHeight="1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</row>
    <row r="639" ht="15.75" customHeight="1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</row>
    <row r="640" ht="15.75" customHeight="1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</row>
    <row r="641" ht="15.75" customHeight="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</row>
    <row r="642" ht="15.75" customHeight="1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</row>
    <row r="643" ht="15.75" customHeight="1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</row>
    <row r="644" ht="15.75" customHeight="1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</row>
    <row r="645" ht="15.75" customHeight="1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</row>
    <row r="646" ht="15.75" customHeight="1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</row>
    <row r="647" ht="15.75" customHeight="1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</row>
    <row r="648" ht="15.75" customHeight="1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</row>
    <row r="649" ht="15.75" customHeight="1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</row>
    <row r="650" ht="15.75" customHeight="1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</row>
    <row r="651" ht="15.75" customHeight="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</row>
    <row r="652" ht="15.75" customHeight="1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</row>
    <row r="653" ht="15.75" customHeight="1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</row>
    <row r="654" ht="15.75" customHeight="1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</row>
    <row r="655" ht="15.75" customHeight="1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</row>
    <row r="656" ht="15.75" customHeight="1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</row>
    <row r="657" ht="15.75" customHeight="1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</row>
    <row r="658" ht="15.75" customHeight="1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</row>
    <row r="659" ht="15.75" customHeight="1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</row>
    <row r="660" ht="15.75" customHeight="1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</row>
    <row r="661" ht="15.75" customHeight="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</row>
    <row r="662" ht="15.75" customHeight="1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</row>
    <row r="663" ht="15.75" customHeight="1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</row>
    <row r="664" ht="15.75" customHeight="1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</row>
    <row r="665" ht="15.75" customHeight="1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</row>
    <row r="666" ht="15.75" customHeight="1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</row>
    <row r="667" ht="15.75" customHeight="1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</row>
    <row r="668" ht="15.75" customHeight="1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</row>
    <row r="669" ht="15.75" customHeight="1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</row>
    <row r="670" ht="15.75" customHeight="1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</row>
    <row r="671" ht="15.75" customHeight="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</row>
    <row r="672" ht="15.75" customHeight="1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</row>
    <row r="673" ht="15.75" customHeight="1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</row>
    <row r="674" ht="15.75" customHeight="1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</row>
    <row r="675" ht="15.75" customHeight="1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</row>
    <row r="676" ht="15.75" customHeight="1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</row>
    <row r="677" ht="15.75" customHeight="1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</row>
    <row r="678" ht="15.75" customHeight="1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</row>
    <row r="679" ht="15.75" customHeight="1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</row>
    <row r="680" ht="15.75" customHeight="1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</row>
    <row r="681" ht="15.75" customHeight="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</row>
    <row r="682" ht="15.75" customHeight="1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</row>
    <row r="683" ht="15.75" customHeight="1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</row>
    <row r="684" ht="15.75" customHeight="1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</row>
    <row r="685" ht="15.75" customHeight="1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</row>
    <row r="686" ht="15.75" customHeight="1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</row>
    <row r="687" ht="15.75" customHeight="1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</row>
    <row r="688" ht="15.75" customHeight="1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</row>
    <row r="689" ht="15.75" customHeight="1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</row>
    <row r="690" ht="15.75" customHeight="1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</row>
    <row r="691" ht="15.75" customHeight="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</row>
    <row r="692" ht="15.75" customHeight="1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</row>
    <row r="693" ht="15.75" customHeight="1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</row>
    <row r="694" ht="15.75" customHeight="1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</row>
    <row r="695" ht="15.75" customHeight="1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</row>
    <row r="696" ht="15.75" customHeight="1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</row>
    <row r="697" ht="15.75" customHeight="1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</row>
    <row r="698" ht="15.75" customHeight="1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</row>
    <row r="699" ht="15.75" customHeight="1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</row>
    <row r="700" ht="15.75" customHeight="1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</row>
    <row r="701" ht="15.75" customHeight="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</row>
    <row r="702" ht="15.75" customHeight="1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</row>
    <row r="703" ht="15.75" customHeight="1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</row>
    <row r="704" ht="15.75" customHeight="1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</row>
    <row r="705" ht="15.75" customHeight="1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</row>
    <row r="706" ht="15.75" customHeight="1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</row>
    <row r="707" ht="15.75" customHeight="1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</row>
    <row r="708" ht="15.75" customHeight="1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</row>
    <row r="709" ht="15.75" customHeight="1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</row>
    <row r="710" ht="15.75" customHeight="1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</row>
    <row r="711" ht="15.75" customHeight="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</row>
    <row r="712" ht="15.75" customHeight="1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</row>
    <row r="713" ht="15.75" customHeight="1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</row>
    <row r="714" ht="15.75" customHeight="1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</row>
    <row r="715" ht="15.75" customHeight="1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</row>
    <row r="716" ht="15.75" customHeight="1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</row>
    <row r="717" ht="15.75" customHeight="1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</row>
    <row r="718" ht="15.75" customHeight="1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</row>
    <row r="719" ht="15.75" customHeight="1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</row>
    <row r="720" ht="15.75" customHeight="1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</row>
    <row r="721" ht="15.75" customHeight="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</row>
    <row r="722" ht="15.75" customHeight="1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</row>
    <row r="723" ht="15.75" customHeight="1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</row>
    <row r="724" ht="15.75" customHeight="1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</row>
    <row r="725" ht="15.75" customHeight="1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</row>
    <row r="726" ht="15.75" customHeight="1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</row>
    <row r="727" ht="15.75" customHeight="1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</row>
    <row r="728" ht="15.75" customHeight="1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</row>
    <row r="729" ht="15.75" customHeight="1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</row>
    <row r="730" ht="15.75" customHeight="1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</row>
    <row r="731" ht="15.75" customHeight="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</row>
    <row r="732" ht="15.75" customHeight="1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</row>
    <row r="733" ht="15.75" customHeight="1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</row>
    <row r="734" ht="15.75" customHeight="1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</row>
    <row r="735" ht="15.75" customHeight="1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</row>
    <row r="736" ht="15.75" customHeight="1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</row>
    <row r="737" ht="15.75" customHeight="1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</row>
    <row r="738" ht="15.75" customHeight="1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</row>
    <row r="739" ht="15.75" customHeight="1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</row>
    <row r="740" ht="15.75" customHeight="1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</row>
    <row r="741" ht="15.75" customHeight="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</row>
    <row r="742" ht="15.75" customHeight="1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</row>
    <row r="743" ht="15.75" customHeight="1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</row>
    <row r="744" ht="15.75" customHeight="1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</row>
    <row r="745" ht="15.75" customHeight="1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</row>
    <row r="746" ht="15.75" customHeight="1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</row>
    <row r="747" ht="15.75" customHeight="1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</row>
    <row r="748" ht="15.75" customHeight="1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</row>
    <row r="749" ht="15.75" customHeight="1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</row>
    <row r="750" ht="15.75" customHeight="1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</row>
    <row r="751" ht="15.75" customHeight="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</row>
    <row r="752" ht="15.75" customHeight="1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</row>
    <row r="753" ht="15.75" customHeight="1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</row>
    <row r="754" ht="15.75" customHeight="1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</row>
    <row r="755" ht="15.75" customHeight="1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</row>
    <row r="756" ht="15.75" customHeight="1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</row>
    <row r="757" ht="15.75" customHeight="1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</row>
    <row r="758" ht="15.75" customHeight="1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</row>
    <row r="759" ht="15.75" customHeight="1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</row>
    <row r="760" ht="15.75" customHeight="1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</row>
    <row r="761" ht="15.75" customHeight="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</row>
    <row r="762" ht="15.75" customHeight="1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</row>
    <row r="763" ht="15.75" customHeight="1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</row>
    <row r="764" ht="15.75" customHeight="1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</row>
    <row r="765" ht="15.75" customHeight="1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</row>
    <row r="766" ht="15.75" customHeight="1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</row>
    <row r="767" ht="15.75" customHeight="1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</row>
    <row r="768" ht="15.75" customHeight="1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</row>
    <row r="769" ht="15.75" customHeight="1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</row>
    <row r="770" ht="15.75" customHeight="1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</row>
    <row r="771" ht="15.75" customHeight="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</row>
    <row r="772" ht="15.75" customHeight="1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</row>
    <row r="773" ht="15.75" customHeight="1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</row>
    <row r="774" ht="15.75" customHeight="1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</row>
    <row r="775" ht="15.75" customHeight="1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</row>
    <row r="776" ht="15.75" customHeight="1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</row>
    <row r="777" ht="15.75" customHeight="1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</row>
    <row r="778" ht="15.75" customHeight="1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</row>
    <row r="779" ht="15.75" customHeight="1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</row>
    <row r="780" ht="15.75" customHeight="1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</row>
    <row r="781" ht="15.75" customHeight="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</row>
    <row r="782" ht="15.75" customHeight="1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</row>
    <row r="783" ht="15.75" customHeight="1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</row>
    <row r="784" ht="15.75" customHeight="1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</row>
    <row r="785" ht="15.75" customHeight="1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</row>
    <row r="786" ht="15.75" customHeight="1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</row>
    <row r="787" ht="15.75" customHeight="1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</row>
    <row r="788" ht="15.75" customHeight="1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</row>
    <row r="789" ht="15.75" customHeight="1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</row>
    <row r="790" ht="15.75" customHeight="1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</row>
    <row r="791" ht="15.75" customHeight="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</row>
    <row r="792" ht="15.75" customHeight="1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</row>
    <row r="793" ht="15.75" customHeight="1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</row>
    <row r="794" ht="15.75" customHeight="1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</row>
    <row r="795" ht="15.75" customHeight="1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</row>
    <row r="796" ht="15.75" customHeight="1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</row>
    <row r="797" ht="15.75" customHeight="1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</row>
    <row r="798" ht="15.75" customHeight="1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</row>
    <row r="799" ht="15.75" customHeight="1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</row>
    <row r="800" ht="15.75" customHeight="1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</row>
    <row r="801" ht="15.75" customHeight="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</row>
    <row r="802" ht="15.75" customHeight="1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</row>
    <row r="803" ht="15.75" customHeight="1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</row>
    <row r="804" ht="15.75" customHeight="1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</row>
    <row r="805" ht="15.75" customHeight="1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</row>
    <row r="806" ht="15.75" customHeight="1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</row>
    <row r="807" ht="15.75" customHeight="1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</row>
    <row r="808" ht="15.75" customHeight="1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</row>
    <row r="809" ht="15.75" customHeight="1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</row>
    <row r="810" ht="15.75" customHeight="1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</row>
    <row r="811" ht="15.75" customHeight="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</row>
    <row r="812" ht="15.75" customHeight="1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</row>
    <row r="813" ht="15.75" customHeight="1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</row>
    <row r="814" ht="15.75" customHeight="1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</row>
    <row r="815" ht="15.75" customHeight="1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</row>
    <row r="816" ht="15.75" customHeight="1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</row>
    <row r="817" ht="15.75" customHeight="1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</row>
    <row r="818" ht="15.75" customHeight="1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</row>
    <row r="819" ht="15.75" customHeight="1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</row>
    <row r="820" ht="15.75" customHeight="1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</row>
    <row r="821" ht="15.75" customHeight="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</row>
    <row r="822" ht="15.75" customHeight="1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</row>
    <row r="823" ht="15.75" customHeight="1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</row>
    <row r="824" ht="15.75" customHeight="1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</row>
    <row r="825" ht="15.75" customHeight="1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</row>
    <row r="826" ht="15.75" customHeight="1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</row>
    <row r="827" ht="15.75" customHeight="1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</row>
    <row r="828" ht="15.75" customHeight="1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</row>
    <row r="829" ht="15.75" customHeight="1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</row>
    <row r="830" ht="15.75" customHeight="1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</row>
    <row r="831" ht="15.75" customHeight="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</row>
    <row r="832" ht="15.75" customHeight="1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</row>
    <row r="833" ht="15.75" customHeight="1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</row>
    <row r="834" ht="15.75" customHeight="1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</row>
    <row r="835" ht="15.75" customHeight="1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</row>
    <row r="836" ht="15.75" customHeight="1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</row>
    <row r="837" ht="15.75" customHeight="1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</row>
    <row r="838" ht="15.75" customHeight="1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</row>
    <row r="839" ht="15.75" customHeight="1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</row>
    <row r="840" ht="15.75" customHeight="1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</row>
    <row r="841" ht="15.75" customHeight="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</row>
    <row r="842" ht="15.75" customHeight="1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</row>
    <row r="843" ht="15.75" customHeight="1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</row>
    <row r="844" ht="15.75" customHeight="1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</row>
    <row r="845" ht="15.75" customHeight="1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</row>
    <row r="846" ht="15.75" customHeight="1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</row>
    <row r="847" ht="15.75" customHeight="1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</row>
    <row r="848" ht="15.75" customHeight="1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</row>
    <row r="849" ht="15.75" customHeight="1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</row>
    <row r="850" ht="15.75" customHeight="1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</row>
    <row r="851" ht="15.75" customHeight="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</row>
    <row r="852" ht="15.75" customHeight="1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</row>
    <row r="853" ht="15.75" customHeight="1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</row>
    <row r="854" ht="15.75" customHeight="1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</row>
    <row r="855" ht="15.75" customHeight="1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</row>
    <row r="856" ht="15.75" customHeight="1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</row>
    <row r="857" ht="15.75" customHeight="1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</row>
    <row r="858" ht="15.75" customHeight="1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</row>
    <row r="859" ht="15.75" customHeight="1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</row>
    <row r="860" ht="15.75" customHeight="1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</row>
    <row r="861" ht="15.75" customHeight="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</row>
    <row r="862" ht="15.75" customHeight="1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</row>
    <row r="863" ht="15.75" customHeight="1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</row>
    <row r="864" ht="15.75" customHeight="1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</row>
    <row r="865" ht="15.75" customHeight="1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</row>
    <row r="866" ht="15.75" customHeight="1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</row>
    <row r="867" ht="15.75" customHeight="1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</row>
    <row r="868" ht="15.75" customHeight="1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</row>
    <row r="869" ht="15.75" customHeight="1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</row>
    <row r="870" ht="15.75" customHeight="1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</row>
    <row r="871" ht="15.75" customHeight="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</row>
    <row r="872" ht="15.75" customHeight="1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</row>
    <row r="873" ht="15.75" customHeight="1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</row>
    <row r="874" ht="15.75" customHeight="1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</row>
    <row r="875" ht="15.75" customHeight="1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</row>
    <row r="876" ht="15.75" customHeight="1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</row>
    <row r="877" ht="15.75" customHeight="1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</row>
    <row r="878" ht="15.75" customHeight="1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</row>
    <row r="879" ht="15.75" customHeight="1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</row>
    <row r="880" ht="15.75" customHeight="1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</row>
    <row r="881" ht="15.75" customHeight="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</row>
    <row r="882" ht="15.75" customHeight="1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</row>
    <row r="883" ht="15.75" customHeight="1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</row>
    <row r="884" ht="15.75" customHeight="1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</row>
    <row r="885" ht="15.75" customHeight="1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</row>
    <row r="886" ht="15.75" customHeight="1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</row>
    <row r="887" ht="15.75" customHeight="1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</row>
    <row r="888" ht="15.75" customHeight="1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</row>
    <row r="889" ht="15.75" customHeight="1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</row>
    <row r="890" ht="15.75" customHeight="1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</row>
    <row r="891" ht="15.75" customHeight="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</row>
    <row r="892" ht="15.75" customHeight="1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</row>
    <row r="893" ht="15.75" customHeight="1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</row>
    <row r="894" ht="15.75" customHeight="1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</row>
    <row r="895" ht="15.75" customHeight="1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</row>
    <row r="896" ht="15.75" customHeight="1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</row>
    <row r="897" ht="15.75" customHeight="1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</row>
    <row r="898" ht="15.75" customHeight="1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</row>
    <row r="899" ht="15.75" customHeight="1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</row>
    <row r="900" ht="15.75" customHeight="1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</row>
    <row r="901" ht="15.75" customHeight="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</row>
    <row r="902" ht="15.75" customHeight="1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</row>
    <row r="903" ht="15.75" customHeight="1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</row>
    <row r="904" ht="15.75" customHeight="1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</row>
    <row r="905" ht="15.75" customHeight="1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</row>
    <row r="906" ht="15.75" customHeight="1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</row>
    <row r="907" ht="15.75" customHeight="1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</row>
    <row r="908" ht="15.75" customHeight="1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</row>
    <row r="909" ht="15.75" customHeight="1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</row>
    <row r="910" ht="15.75" customHeight="1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</row>
    <row r="911" ht="15.75" customHeight="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</row>
    <row r="912" ht="15.75" customHeight="1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</row>
    <row r="913" ht="15.75" customHeight="1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</row>
    <row r="914" ht="15.75" customHeight="1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</row>
    <row r="915" ht="15.75" customHeight="1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</row>
    <row r="916" ht="15.75" customHeight="1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</row>
    <row r="917" ht="15.75" customHeight="1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</row>
    <row r="918" ht="15.75" customHeight="1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</row>
    <row r="919" ht="15.75" customHeight="1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</row>
    <row r="920" ht="15.75" customHeight="1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</row>
    <row r="921" ht="15.75" customHeight="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</row>
    <row r="922" ht="15.75" customHeight="1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</row>
    <row r="923" ht="15.75" customHeight="1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</row>
    <row r="924" ht="15.75" customHeight="1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</row>
    <row r="925" ht="15.75" customHeight="1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</row>
    <row r="926" ht="15.75" customHeight="1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</row>
    <row r="927" ht="15.75" customHeight="1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</row>
    <row r="928" ht="15.75" customHeight="1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</row>
    <row r="929" ht="15.75" customHeight="1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</row>
    <row r="930" ht="15.75" customHeight="1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</row>
    <row r="931" ht="15.75" customHeight="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</row>
    <row r="932" ht="15.75" customHeight="1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</row>
    <row r="933" ht="15.75" customHeight="1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</row>
    <row r="934" ht="15.75" customHeight="1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</row>
    <row r="935" ht="15.75" customHeight="1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</row>
    <row r="936" ht="15.75" customHeight="1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</row>
    <row r="937" ht="15.75" customHeight="1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</row>
    <row r="938" ht="15.75" customHeight="1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</row>
    <row r="939" ht="15.75" customHeight="1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</row>
    <row r="940" ht="15.75" customHeight="1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</row>
    <row r="941" ht="15.75" customHeight="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</row>
    <row r="942" ht="15.75" customHeight="1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</row>
    <row r="943" ht="15.75" customHeight="1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</row>
    <row r="944" ht="15.75" customHeight="1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</row>
    <row r="945" ht="15.75" customHeight="1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</row>
    <row r="946" ht="15.75" customHeight="1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</row>
    <row r="947" ht="15.75" customHeight="1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</row>
    <row r="948" ht="15.75" customHeight="1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</row>
    <row r="949" ht="15.75" customHeight="1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</row>
    <row r="950" ht="15.75" customHeight="1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</row>
    <row r="951" ht="15.75" customHeight="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</row>
    <row r="952" ht="15.75" customHeight="1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</row>
    <row r="953" ht="15.75" customHeight="1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</row>
    <row r="954" ht="15.75" customHeight="1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</row>
    <row r="955" ht="15.75" customHeight="1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</row>
    <row r="956" ht="15.75" customHeight="1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</row>
    <row r="957" ht="15.75" customHeight="1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</row>
    <row r="958" ht="15.75" customHeight="1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</row>
    <row r="959" ht="15.75" customHeight="1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</row>
    <row r="960" ht="15.75" customHeight="1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</row>
    <row r="961" ht="15.75" customHeight="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</row>
    <row r="962" ht="15.75" customHeight="1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</row>
    <row r="963" ht="15.75" customHeight="1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</row>
    <row r="964" ht="15.75" customHeight="1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</row>
    <row r="965" ht="15.75" customHeight="1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</row>
    <row r="966" ht="15.75" customHeight="1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</row>
    <row r="967" ht="15.75" customHeight="1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</row>
    <row r="968" ht="15.75" customHeight="1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</row>
    <row r="969" ht="15.75" customHeight="1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</row>
    <row r="970" ht="15.75" customHeight="1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</row>
    <row r="971" ht="15.75" customHeight="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</row>
    <row r="972" ht="15.75" customHeight="1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</row>
    <row r="973" ht="15.75" customHeight="1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</row>
    <row r="974" ht="15.75" customHeight="1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</row>
    <row r="975" ht="15.75" customHeight="1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</row>
    <row r="976" ht="15.75" customHeight="1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</row>
    <row r="977" ht="15.75" customHeight="1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</row>
    <row r="978" ht="15.75" customHeight="1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</row>
    <row r="979" ht="15.75" customHeight="1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</row>
    <row r="980" ht="15.75" customHeight="1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</row>
    <row r="981" ht="15.75" customHeight="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</row>
    <row r="982" ht="15.75" customHeight="1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</row>
    <row r="983" ht="15.75" customHeight="1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</row>
    <row r="984" ht="15.75" customHeight="1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</row>
    <row r="985" ht="15.75" customHeight="1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</row>
    <row r="986" ht="15.75" customHeight="1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</row>
    <row r="987" ht="15.75" customHeight="1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</row>
    <row r="988" ht="15.75" customHeight="1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</row>
    <row r="989" ht="15.75" customHeight="1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</row>
    <row r="990" ht="15.75" customHeight="1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</row>
    <row r="991" ht="15.75" customHeight="1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</row>
    <row r="992" ht="15.75" customHeight="1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</row>
    <row r="993" ht="15.75" customHeight="1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</row>
    <row r="994" ht="15.75" customHeight="1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</row>
    <row r="995" ht="15.75" customHeight="1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</row>
    <row r="996" ht="15.75" customHeight="1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</row>
    <row r="997" ht="15.75" customHeight="1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</row>
    <row r="998" ht="15.75" customHeight="1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</row>
    <row r="999" ht="15.75" customHeight="1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</row>
    <row r="1000" ht="15.75" customHeight="1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</row>
  </sheetData>
  <mergeCells count="29">
    <mergeCell ref="S8:S9"/>
    <mergeCell ref="T8:T9"/>
    <mergeCell ref="U8:U9"/>
    <mergeCell ref="V8:V9"/>
    <mergeCell ref="A1:X2"/>
    <mergeCell ref="E4:J5"/>
    <mergeCell ref="A7:G7"/>
    <mergeCell ref="J7:L7"/>
    <mergeCell ref="N7:P7"/>
    <mergeCell ref="R7:X7"/>
    <mergeCell ref="R8:R9"/>
    <mergeCell ref="K9:L9"/>
    <mergeCell ref="A9:B9"/>
    <mergeCell ref="E9:F9"/>
    <mergeCell ref="K10:L10"/>
    <mergeCell ref="K11:L11"/>
    <mergeCell ref="B17:C17"/>
    <mergeCell ref="G17:H17"/>
    <mergeCell ref="B18:C18"/>
    <mergeCell ref="B31:D31"/>
    <mergeCell ref="B32:D32"/>
    <mergeCell ref="B33:D33"/>
    <mergeCell ref="A21:F21"/>
    <mergeCell ref="A22:B22"/>
    <mergeCell ref="K22:L22"/>
    <mergeCell ref="K23:L23"/>
    <mergeCell ref="J27:L28"/>
    <mergeCell ref="N27:O28"/>
    <mergeCell ref="B30:D30"/>
  </mergeCells>
  <dataValidations>
    <dataValidation type="list" allowBlank="1" showErrorMessage="1" sqref="B18">
      <formula1>$R$19:$R$20</formula1>
    </dataValidation>
    <dataValidation type="list" allowBlank="1" showErrorMessage="1" sqref="B17">
      <formula1>$R$10:$R$16</formula1>
    </dataValidation>
    <dataValidation type="list" allowBlank="1" showErrorMessage="1" sqref="B23:B27">
      <formula1>$W$9:$W$16</formula1>
    </dataValidation>
  </dataValidations>
  <printOptions/>
  <pageMargins bottom="0.787401575" footer="0.0" header="0.0" left="0.511811024" right="0.511811024" top="0.787401575"/>
  <pageSetup paperSize="9" orientation="portrait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