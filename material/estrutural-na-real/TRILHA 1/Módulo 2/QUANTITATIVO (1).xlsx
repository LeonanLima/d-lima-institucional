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Waltner\NOVO CURSO\"/>
    </mc:Choice>
  </mc:AlternateContent>
  <xr:revisionPtr revIDLastSave="0" documentId="13_ncr:1_{9008C891-E80B-4E4C-A354-88F013C6E7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ANTITATIVO" sheetId="1" r:id="rId1"/>
    <sheet name="QUANT. VIGOT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" i="1" l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20" i="1"/>
  <c r="G39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0" i="1"/>
  <c r="F32" i="2"/>
  <c r="G32" i="2" s="1"/>
  <c r="F22" i="2"/>
  <c r="F23" i="2"/>
  <c r="G23" i="2" s="1"/>
  <c r="F24" i="2"/>
  <c r="F25" i="2"/>
  <c r="F26" i="2"/>
  <c r="F27" i="2"/>
  <c r="F28" i="2"/>
  <c r="G28" i="2" s="1"/>
  <c r="F29" i="2"/>
  <c r="G29" i="2" s="1"/>
  <c r="F30" i="2"/>
  <c r="G30" i="2" s="1"/>
  <c r="F31" i="2"/>
  <c r="G31" i="2" s="1"/>
  <c r="F33" i="2"/>
  <c r="G33" i="2" s="1"/>
  <c r="F34" i="2"/>
  <c r="F35" i="2"/>
  <c r="G35" i="2" s="1"/>
  <c r="F36" i="2"/>
  <c r="G22" i="2"/>
  <c r="G24" i="2"/>
  <c r="G25" i="2"/>
  <c r="G26" i="2"/>
  <c r="G27" i="2"/>
  <c r="G34" i="2"/>
  <c r="G36" i="2"/>
  <c r="G11" i="2"/>
  <c r="G10" i="2"/>
  <c r="G9" i="2"/>
  <c r="G8" i="2"/>
  <c r="G7" i="2"/>
  <c r="G6" i="2"/>
  <c r="G5" i="2"/>
  <c r="E14" i="1"/>
  <c r="E13" i="1"/>
  <c r="E12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W39" i="1" s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M39" i="1" l="1"/>
  <c r="E7" i="1"/>
  <c r="AQ39" i="1"/>
  <c r="AK39" i="1"/>
  <c r="Y39" i="1"/>
  <c r="E10" i="1" s="1"/>
  <c r="AE39" i="1"/>
  <c r="E11" i="1" s="1"/>
  <c r="F17" i="2"/>
  <c r="G17" i="2" s="1"/>
  <c r="F18" i="2"/>
  <c r="G18" i="2" s="1"/>
  <c r="F19" i="2"/>
  <c r="G19" i="2" s="1"/>
  <c r="F20" i="2"/>
  <c r="G20" i="2" s="1"/>
  <c r="F21" i="2"/>
  <c r="G21" i="2" s="1"/>
  <c r="F16" i="2"/>
  <c r="Q29" i="1"/>
  <c r="Q30" i="1"/>
  <c r="Q31" i="1"/>
  <c r="Q32" i="1"/>
  <c r="Q33" i="1"/>
  <c r="Q34" i="1"/>
  <c r="Q35" i="1"/>
  <c r="Q36" i="1"/>
  <c r="Q37" i="1"/>
  <c r="Q38" i="1"/>
  <c r="Q39" i="1"/>
  <c r="Q40" i="1"/>
  <c r="F37" i="2" l="1"/>
  <c r="G16" i="2"/>
  <c r="G37" i="2" s="1"/>
  <c r="E8" i="1"/>
  <c r="C8" i="1"/>
  <c r="D8" i="1" s="1"/>
  <c r="C9" i="1"/>
  <c r="D9" i="1" s="1"/>
  <c r="C10" i="1"/>
  <c r="D10" i="1" s="1"/>
  <c r="F10" i="1" s="1"/>
  <c r="G10" i="1" s="1"/>
  <c r="C11" i="1"/>
  <c r="D11" i="1" s="1"/>
  <c r="F11" i="1" s="1"/>
  <c r="G11" i="1" s="1"/>
  <c r="C12" i="1"/>
  <c r="D12" i="1" s="1"/>
  <c r="F12" i="1" s="1"/>
  <c r="G12" i="1" s="1"/>
  <c r="C13" i="1"/>
  <c r="C14" i="1"/>
  <c r="C7" i="1"/>
  <c r="D7" i="1" s="1"/>
  <c r="F7" i="1" s="1"/>
  <c r="Q21" i="1"/>
  <c r="Q22" i="1"/>
  <c r="Q23" i="1"/>
  <c r="Q24" i="1"/>
  <c r="Q25" i="1"/>
  <c r="Q26" i="1"/>
  <c r="Q27" i="1"/>
  <c r="Q28" i="1"/>
  <c r="Q20" i="1"/>
  <c r="F8" i="1" l="1"/>
  <c r="G8" i="1" s="1"/>
  <c r="S39" i="1"/>
  <c r="E9" i="1" s="1"/>
  <c r="F9" i="1" s="1"/>
  <c r="G9" i="1" s="1"/>
  <c r="G7" i="1"/>
  <c r="D14" i="1"/>
  <c r="F14" i="1" s="1"/>
  <c r="G14" i="1" s="1"/>
  <c r="D13" i="1"/>
  <c r="F13" i="1" s="1"/>
  <c r="G13" i="1" s="1"/>
</calcChain>
</file>

<file path=xl/sharedStrings.xml><?xml version="1.0" encoding="utf-8"?>
<sst xmlns="http://schemas.openxmlformats.org/spreadsheetml/2006/main" count="111" uniqueCount="60">
  <si>
    <t>Comprimento (m)</t>
  </si>
  <si>
    <t>Peso total (Kg)</t>
  </si>
  <si>
    <t>Peso Linear (kg/m)</t>
  </si>
  <si>
    <t>Peso Específico Aço (kg/m³)</t>
  </si>
  <si>
    <t>Diâmetro (mm)</t>
  </si>
  <si>
    <t>Peso total +10% (Kg)</t>
  </si>
  <si>
    <t>Quant. De Barras (Un)</t>
  </si>
  <si>
    <t>Comprimento Total (m)</t>
  </si>
  <si>
    <t>TOTAL</t>
  </si>
  <si>
    <t>Comprimento (cm)</t>
  </si>
  <si>
    <t>Área (cm²)</t>
  </si>
  <si>
    <t>5.0</t>
  </si>
  <si>
    <t>6.3</t>
  </si>
  <si>
    <t>8.0</t>
  </si>
  <si>
    <t>10.0</t>
  </si>
  <si>
    <t>12.5</t>
  </si>
  <si>
    <t>COMPRIMENTO (cm)</t>
  </si>
  <si>
    <t>QUANT.</t>
  </si>
  <si>
    <t>TIPO DE VIGOTA</t>
  </si>
  <si>
    <t>COMPRIMENTO TOTAL (m)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</si>
  <si>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</si>
  <si>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</si>
  <si>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</si>
  <si>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</si>
  <si>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</si>
  <si>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</si>
  <si>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</si>
  <si>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</si>
  <si>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</si>
  <si>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</si>
  <si>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</si>
  <si>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</si>
  <si>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</si>
  <si>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</si>
  <si>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</si>
  <si>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</si>
  <si>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16.0</t>
  </si>
  <si>
    <t>Laje</t>
  </si>
  <si>
    <t>PAVIMENTO - 1º ANDAR</t>
  </si>
  <si>
    <t>L17</t>
  </si>
  <si>
    <t>L18</t>
  </si>
  <si>
    <t>L19</t>
  </si>
  <si>
    <t>L20</t>
  </si>
  <si>
    <t>TRELIÇA</t>
  </si>
  <si>
    <t>Altura</t>
  </si>
  <si>
    <t>Arm Sup</t>
  </si>
  <si>
    <t>Arm Inf</t>
  </si>
  <si>
    <t>Diag</t>
  </si>
  <si>
    <t>Kg/m</t>
  </si>
  <si>
    <t>8L</t>
  </si>
  <si>
    <t>8M</t>
  </si>
  <si>
    <t>12M</t>
  </si>
  <si>
    <t>12R</t>
  </si>
  <si>
    <t>16L</t>
  </si>
  <si>
    <t>16R</t>
  </si>
  <si>
    <t>20L</t>
  </si>
  <si>
    <t>20R</t>
  </si>
  <si>
    <t>25L</t>
  </si>
  <si>
    <t>25R</t>
  </si>
  <si>
    <t>PESO TOTAL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</si>
</sst>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4" fontId="0" fillId="0" borderId="21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2" fontId="5" fillId="0" borderId="23" xfId="0" applyNumberFormat="1" applyFont="1" applyBorder="1" applyAlignment="1">
      <alignment horizontal="center"/>
    </xf>
    <xf numFmtId="164" fontId="5" fillId="0" borderId="23" xfId="0" applyNumberFormat="1" applyFont="1" applyBorder="1" applyAlignment="1">
      <alignment horizontal="center"/>
    </xf>
    <xf numFmtId="164" fontId="5" fillId="0" borderId="24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26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27" xfId="0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2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165" fontId="6" fillId="0" borderId="28" xfId="0" applyNumberFormat="1" applyFon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2" fontId="1" fillId="2" borderId="19" xfId="0" applyNumberFormat="1" applyFon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2" fontId="7" fillId="0" borderId="18" xfId="0" applyNumberFormat="1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W85"/>
  <sheetViews>
    <sheetView showGridLines="0" tabSelected="1" zoomScale="90" zoomScaleNormal="90" workbookViewId="0">
      <selection activeCell="J26" sqref="J26"/>
    </sheetView>
  </sheetViews>
  <sheetFormatPr defaultRowHeight="15" x14ac:dyDescent="0.25"/>
  <cols>
    <col min="2" max="2" width="13.85546875" customWidth="1"/>
    <col min="3" max="3" width="14.7109375" bestFit="1" customWidth="1"/>
    <col min="4" max="4" width="19" bestFit="1" customWidth="1"/>
    <col min="5" max="5" width="17" bestFit="1" customWidth="1"/>
    <col min="6" max="6" width="15.140625" bestFit="1" customWidth="1"/>
    <col min="7" max="7" width="17.28515625" customWidth="1"/>
    <col min="8" max="8" width="6.42578125" customWidth="1"/>
    <col min="9" max="9" width="10.85546875" bestFit="1" customWidth="1"/>
    <col min="10" max="10" width="18" bestFit="1" customWidth="1"/>
    <col min="11" max="11" width="11.42578125" bestFit="1" customWidth="1"/>
    <col min="15" max="15" width="12.7109375" customWidth="1"/>
    <col min="16" max="16" width="17.5703125" customWidth="1"/>
    <col min="17" max="17" width="18.7109375" customWidth="1"/>
    <col min="21" max="21" width="12.42578125" customWidth="1"/>
    <col min="22" max="22" width="20.28515625" customWidth="1"/>
    <col min="23" max="23" width="14.7109375" customWidth="1"/>
    <col min="27" max="27" width="13" customWidth="1"/>
    <col min="28" max="28" width="19.140625" customWidth="1"/>
    <col min="29" max="29" width="18.140625" customWidth="1"/>
    <col min="33" max="33" width="12.7109375" customWidth="1"/>
    <col min="34" max="34" width="22" customWidth="1"/>
    <col min="35" max="35" width="19" customWidth="1"/>
    <col min="39" max="39" width="15.140625" customWidth="1"/>
    <col min="40" max="40" width="20.7109375" customWidth="1"/>
    <col min="41" max="41" width="22.85546875" customWidth="1"/>
    <col min="45" max="45" width="19.140625" customWidth="1"/>
    <col min="46" max="46" width="25.5703125" customWidth="1"/>
    <col min="47" max="47" width="19.42578125" customWidth="1"/>
  </cols>
  <sheetData>
    <row r="2" spans="2:7" ht="15.75" thickBot="1" x14ac:dyDescent="0.3"/>
    <row r="3" spans="2:7" ht="42" customHeight="1" thickBot="1" x14ac:dyDescent="0.3">
      <c r="B3" s="12" t="s">
        <v>3</v>
      </c>
      <c r="C3" s="9">
        <v>7850</v>
      </c>
    </row>
    <row r="5" spans="2:7" ht="15.75" thickBot="1" x14ac:dyDescent="0.3"/>
    <row r="6" spans="2:7" ht="15.75" thickBot="1" x14ac:dyDescent="0.3">
      <c r="B6" s="10" t="s">
        <v>4</v>
      </c>
      <c r="C6" s="11" t="s">
        <v>10</v>
      </c>
      <c r="D6" s="11" t="s">
        <v>2</v>
      </c>
      <c r="E6" s="11" t="s">
        <v>0</v>
      </c>
      <c r="F6" s="11" t="s">
        <v>1</v>
      </c>
      <c r="G6" s="11" t="s">
        <v>5</v>
      </c>
    </row>
    <row r="7" spans="2:7" ht="15.75" thickBot="1" x14ac:dyDescent="0.3">
      <c r="B7" s="2">
        <v>5</v>
      </c>
      <c r="C7" s="8">
        <f>(PI()*(B7/10)^2)/4</f>
        <v>0.19634954084936207</v>
      </c>
      <c r="D7" s="15">
        <f t="shared" ref="D7:D8" si="0">(C7*$C$3)/10^4</f>
        <v>0.15413438956674921</v>
      </c>
      <c r="E7" s="53">
        <f>G39</f>
        <v>41.96</v>
      </c>
      <c r="F7" s="51">
        <f>D7*E7</f>
        <v>6.4674789862207973</v>
      </c>
      <c r="G7" s="51">
        <f t="shared" ref="G7:G8" si="1">ROUNDUP(F7*1.1,0)</f>
        <v>8</v>
      </c>
    </row>
    <row r="8" spans="2:7" ht="15.75" thickBot="1" x14ac:dyDescent="0.3">
      <c r="B8" s="2">
        <v>6.3</v>
      </c>
      <c r="C8" s="8">
        <f t="shared" ref="C8:C14" si="2">(PI()*(B8/10)^2)/4</f>
        <v>0.31172453105244724</v>
      </c>
      <c r="D8" s="15">
        <f t="shared" si="0"/>
        <v>0.24470375687617107</v>
      </c>
      <c r="E8" s="54">
        <f>M39</f>
        <v>107.49000000000001</v>
      </c>
      <c r="F8" s="51">
        <f t="shared" ref="F8:F14" si="3">D8*E8</f>
        <v>26.303206826619633</v>
      </c>
      <c r="G8" s="51">
        <f t="shared" si="1"/>
        <v>29</v>
      </c>
    </row>
    <row r="9" spans="2:7" ht="15.75" thickBot="1" x14ac:dyDescent="0.3">
      <c r="B9" s="2">
        <v>8</v>
      </c>
      <c r="C9" s="8">
        <f t="shared" si="2"/>
        <v>0.50265482457436694</v>
      </c>
      <c r="D9" s="15">
        <f>(C9*$C$3)/10^4</f>
        <v>0.39458403729087804</v>
      </c>
      <c r="E9" s="54">
        <f>S39</f>
        <v>21.72</v>
      </c>
      <c r="F9" s="51">
        <f t="shared" si="3"/>
        <v>8.5703652899578699</v>
      </c>
      <c r="G9" s="51">
        <f>ROUNDUP(F9*1.1,0)</f>
        <v>10</v>
      </c>
    </row>
    <row r="10" spans="2:7" ht="15.75" thickBot="1" x14ac:dyDescent="0.3">
      <c r="B10" s="2">
        <v>10</v>
      </c>
      <c r="C10" s="8">
        <f t="shared" si="2"/>
        <v>0.78539816339744828</v>
      </c>
      <c r="D10" s="15">
        <f t="shared" ref="D10:D14" si="4">(C10*$C$3)/10^4</f>
        <v>0.61653755826699685</v>
      </c>
      <c r="E10" s="54">
        <f>Y39</f>
        <v>26</v>
      </c>
      <c r="F10" s="51">
        <f t="shared" si="3"/>
        <v>16.029976514941918</v>
      </c>
      <c r="G10" s="51">
        <f t="shared" ref="G10:G14" si="5">ROUNDUP(F10*1.1,0)</f>
        <v>18</v>
      </c>
    </row>
    <row r="11" spans="2:7" ht="15.75" thickBot="1" x14ac:dyDescent="0.3">
      <c r="B11" s="2">
        <v>12.5</v>
      </c>
      <c r="C11" s="8">
        <f t="shared" si="2"/>
        <v>1.227184630308513</v>
      </c>
      <c r="D11" s="15">
        <f t="shared" si="4"/>
        <v>0.96333993479218261</v>
      </c>
      <c r="E11" s="54">
        <f>AE39</f>
        <v>58.52</v>
      </c>
      <c r="F11" s="51">
        <f t="shared" si="3"/>
        <v>56.374652984038526</v>
      </c>
      <c r="G11" s="51">
        <f t="shared" si="5"/>
        <v>63</v>
      </c>
    </row>
    <row r="12" spans="2:7" ht="15.75" thickBot="1" x14ac:dyDescent="0.3">
      <c r="B12" s="2">
        <v>16</v>
      </c>
      <c r="C12" s="8">
        <f t="shared" si="2"/>
        <v>2.0106192982974678</v>
      </c>
      <c r="D12" s="15">
        <f t="shared" si="4"/>
        <v>1.5783361491635122</v>
      </c>
      <c r="E12" s="54">
        <f>AK39</f>
        <v>0</v>
      </c>
      <c r="F12" s="51">
        <f t="shared" si="3"/>
        <v>0</v>
      </c>
      <c r="G12" s="51">
        <f t="shared" si="5"/>
        <v>0</v>
      </c>
    </row>
    <row r="13" spans="2:7" ht="15.75" thickBot="1" x14ac:dyDescent="0.3">
      <c r="B13" s="2">
        <v>20</v>
      </c>
      <c r="C13" s="8">
        <f t="shared" si="2"/>
        <v>3.1415926535897931</v>
      </c>
      <c r="D13" s="15">
        <f t="shared" si="4"/>
        <v>2.4661502330679874</v>
      </c>
      <c r="E13" s="54">
        <f>AQ39</f>
        <v>0</v>
      </c>
      <c r="F13" s="51">
        <f t="shared" si="3"/>
        <v>0</v>
      </c>
      <c r="G13" s="51">
        <f t="shared" si="5"/>
        <v>0</v>
      </c>
    </row>
    <row r="14" spans="2:7" ht="15.75" thickBot="1" x14ac:dyDescent="0.3">
      <c r="B14" s="2">
        <v>25</v>
      </c>
      <c r="C14" s="29">
        <f t="shared" si="2"/>
        <v>4.908738521234052</v>
      </c>
      <c r="D14" s="30">
        <f t="shared" si="4"/>
        <v>3.8533597391687304</v>
      </c>
      <c r="E14" s="55">
        <f>AW39</f>
        <v>0</v>
      </c>
      <c r="F14" s="52">
        <f t="shared" si="3"/>
        <v>0</v>
      </c>
      <c r="G14" s="52">
        <f t="shared" si="5"/>
        <v>0</v>
      </c>
    </row>
    <row r="15" spans="2:7" x14ac:dyDescent="0.25">
      <c r="B15" s="1"/>
      <c r="C15" s="16"/>
      <c r="D15" s="16"/>
      <c r="E15" s="1"/>
      <c r="F15" s="1"/>
      <c r="G15" s="16"/>
    </row>
    <row r="16" spans="2:7" x14ac:dyDescent="0.25">
      <c r="B16" s="1"/>
      <c r="C16" s="16"/>
      <c r="D16" s="16"/>
      <c r="E16" s="1"/>
      <c r="F16" s="1"/>
      <c r="G16" s="16"/>
    </row>
    <row r="17" spans="3:49" ht="15.75" thickBot="1" x14ac:dyDescent="0.3"/>
    <row r="18" spans="3:49" ht="30.75" customHeight="1" thickBot="1" x14ac:dyDescent="0.3">
      <c r="C18" s="62" t="s">
        <v>11</v>
      </c>
      <c r="D18" s="63"/>
      <c r="E18" s="64"/>
      <c r="I18" s="62" t="s">
        <v>12</v>
      </c>
      <c r="J18" s="63"/>
      <c r="K18" s="64"/>
      <c r="O18" s="62" t="s">
        <v>13</v>
      </c>
      <c r="P18" s="63"/>
      <c r="Q18" s="64"/>
      <c r="U18" s="62" t="s">
        <v>14</v>
      </c>
      <c r="V18" s="63"/>
      <c r="W18" s="64"/>
      <c r="AA18" s="62" t="s">
        <v>15</v>
      </c>
      <c r="AB18" s="63"/>
      <c r="AC18" s="64"/>
      <c r="AG18" s="62" t="s">
        <v>36</v>
      </c>
      <c r="AH18" s="63"/>
      <c r="AI18" s="64"/>
      <c r="AM18" s="62">
        <v>20</v>
      </c>
      <c r="AN18" s="63"/>
      <c r="AO18" s="64"/>
      <c r="AS18" s="62">
        <v>25</v>
      </c>
      <c r="AT18" s="63"/>
      <c r="AU18" s="64"/>
    </row>
    <row r="19" spans="3:49" ht="30.75" thickBot="1" x14ac:dyDescent="0.3">
      <c r="C19" s="28" t="s">
        <v>6</v>
      </c>
      <c r="D19" s="14" t="s">
        <v>9</v>
      </c>
      <c r="E19" s="13" t="s">
        <v>7</v>
      </c>
      <c r="I19" s="12" t="s">
        <v>6</v>
      </c>
      <c r="J19" s="14" t="s">
        <v>9</v>
      </c>
      <c r="K19" s="13" t="s">
        <v>7</v>
      </c>
      <c r="O19" s="12" t="s">
        <v>6</v>
      </c>
      <c r="P19" s="14" t="s">
        <v>9</v>
      </c>
      <c r="Q19" s="13" t="s">
        <v>7</v>
      </c>
      <c r="U19" s="12" t="s">
        <v>6</v>
      </c>
      <c r="V19" s="14" t="s">
        <v>9</v>
      </c>
      <c r="W19" s="13" t="s">
        <v>7</v>
      </c>
      <c r="AA19" s="12" t="s">
        <v>6</v>
      </c>
      <c r="AB19" s="14" t="s">
        <v>9</v>
      </c>
      <c r="AC19" s="13" t="s">
        <v>7</v>
      </c>
      <c r="AG19" s="12" t="s">
        <v>6</v>
      </c>
      <c r="AH19" s="14" t="s">
        <v>9</v>
      </c>
      <c r="AI19" s="13" t="s">
        <v>7</v>
      </c>
      <c r="AM19" s="12" t="s">
        <v>6</v>
      </c>
      <c r="AN19" s="14" t="s">
        <v>9</v>
      </c>
      <c r="AO19" s="13" t="s">
        <v>7</v>
      </c>
      <c r="AS19" s="12" t="s">
        <v>6</v>
      </c>
      <c r="AT19" s="14" t="s">
        <v>9</v>
      </c>
      <c r="AU19" s="13" t="s">
        <v>7</v>
      </c>
    </row>
    <row r="20" spans="3:49" x14ac:dyDescent="0.25">
      <c r="C20" s="17">
        <v>4</v>
      </c>
      <c r="D20" s="4">
        <v>322</v>
      </c>
      <c r="E20" s="5">
        <f>C20*D20/100</f>
        <v>12.88</v>
      </c>
      <c r="I20" s="17">
        <v>2</v>
      </c>
      <c r="J20" s="4">
        <v>330</v>
      </c>
      <c r="K20" s="5">
        <f>I20*J20/100</f>
        <v>6.6</v>
      </c>
      <c r="O20" s="20">
        <v>6</v>
      </c>
      <c r="P20" s="21">
        <v>362</v>
      </c>
      <c r="Q20" s="22">
        <f>(O20*P20)/100</f>
        <v>21.72</v>
      </c>
      <c r="U20" s="20">
        <v>10</v>
      </c>
      <c r="V20" s="21">
        <v>260</v>
      </c>
      <c r="W20" s="22">
        <f t="shared" ref="W20:W40" si="6">(U20*V20)/100</f>
        <v>26</v>
      </c>
      <c r="AA20" s="20">
        <v>11</v>
      </c>
      <c r="AB20" s="21">
        <v>532</v>
      </c>
      <c r="AC20" s="22">
        <f>(AA20*AB20)/100</f>
        <v>58.52</v>
      </c>
      <c r="AG20" s="20"/>
      <c r="AH20" s="21"/>
      <c r="AI20" s="22">
        <f>(AG20*AH20)/100</f>
        <v>0</v>
      </c>
      <c r="AM20" s="20"/>
      <c r="AN20" s="21"/>
      <c r="AO20" s="22">
        <f>(AM20*AN20)/100</f>
        <v>0</v>
      </c>
      <c r="AS20" s="20"/>
      <c r="AT20" s="21"/>
      <c r="AU20" s="22">
        <f>(AS20*AT20)/100</f>
        <v>0</v>
      </c>
    </row>
    <row r="21" spans="3:49" x14ac:dyDescent="0.25">
      <c r="C21" s="18">
        <v>7</v>
      </c>
      <c r="D21" s="3">
        <v>322</v>
      </c>
      <c r="E21" s="5">
        <f t="shared" ref="E21:E40" si="7">C21*D21/100</f>
        <v>22.54</v>
      </c>
      <c r="I21" s="18">
        <v>26</v>
      </c>
      <c r="J21" s="3">
        <v>107</v>
      </c>
      <c r="K21" s="5">
        <f t="shared" ref="K21:K40" si="8">I21*J21/100</f>
        <v>27.82</v>
      </c>
      <c r="O21" s="23"/>
      <c r="P21" s="21"/>
      <c r="Q21" s="22">
        <f t="shared" ref="Q21:Q28" si="9">(O21*P21)/100</f>
        <v>0</v>
      </c>
      <c r="U21" s="23"/>
      <c r="V21" s="21"/>
      <c r="W21" s="22">
        <f t="shared" si="6"/>
        <v>0</v>
      </c>
      <c r="AA21" s="23"/>
      <c r="AB21" s="21"/>
      <c r="AC21" s="22">
        <f t="shared" ref="AC21:AC28" si="10">(AA21*AB21)/100</f>
        <v>0</v>
      </c>
      <c r="AG21" s="23"/>
      <c r="AH21" s="21"/>
      <c r="AI21" s="22">
        <f t="shared" ref="AI21:AI28" si="11">(AG21*AH21)/100</f>
        <v>0</v>
      </c>
      <c r="AM21" s="23"/>
      <c r="AN21" s="21"/>
      <c r="AO21" s="22">
        <f t="shared" ref="AO21:AO28" si="12">(AM21*AN21)/100</f>
        <v>0</v>
      </c>
      <c r="AS21" s="23"/>
      <c r="AT21" s="21"/>
      <c r="AU21" s="22">
        <f t="shared" ref="AU21:AU28" si="13">(AS21*AT21)/100</f>
        <v>0</v>
      </c>
    </row>
    <row r="22" spans="3:49" x14ac:dyDescent="0.25">
      <c r="C22" s="18">
        <v>2</v>
      </c>
      <c r="D22" s="3">
        <v>327</v>
      </c>
      <c r="E22" s="5">
        <f t="shared" si="7"/>
        <v>6.54</v>
      </c>
      <c r="I22" s="18">
        <v>28</v>
      </c>
      <c r="J22" s="3">
        <v>100</v>
      </c>
      <c r="K22" s="5">
        <f t="shared" si="8"/>
        <v>28</v>
      </c>
      <c r="O22" s="23"/>
      <c r="P22" s="21"/>
      <c r="Q22" s="22">
        <f t="shared" si="9"/>
        <v>0</v>
      </c>
      <c r="U22" s="23"/>
      <c r="V22" s="21"/>
      <c r="W22" s="22">
        <f t="shared" si="6"/>
        <v>0</v>
      </c>
      <c r="AA22" s="23"/>
      <c r="AB22" s="21"/>
      <c r="AC22" s="22">
        <f t="shared" si="10"/>
        <v>0</v>
      </c>
      <c r="AG22" s="23"/>
      <c r="AH22" s="21"/>
      <c r="AI22" s="22">
        <f t="shared" si="11"/>
        <v>0</v>
      </c>
      <c r="AM22" s="23"/>
      <c r="AN22" s="21"/>
      <c r="AO22" s="22">
        <f t="shared" si="12"/>
        <v>0</v>
      </c>
      <c r="AS22" s="23"/>
      <c r="AT22" s="21"/>
      <c r="AU22" s="22">
        <f t="shared" si="13"/>
        <v>0</v>
      </c>
    </row>
    <row r="23" spans="3:49" x14ac:dyDescent="0.25">
      <c r="C23" s="18"/>
      <c r="D23" s="3"/>
      <c r="E23" s="5">
        <f t="shared" si="7"/>
        <v>0</v>
      </c>
      <c r="I23" s="18">
        <v>47</v>
      </c>
      <c r="J23" s="3">
        <v>80</v>
      </c>
      <c r="K23" s="5">
        <f t="shared" si="8"/>
        <v>37.6</v>
      </c>
      <c r="O23" s="23"/>
      <c r="P23" s="21"/>
      <c r="Q23" s="22">
        <f t="shared" si="9"/>
        <v>0</v>
      </c>
      <c r="U23" s="23"/>
      <c r="V23" s="21"/>
      <c r="W23" s="22">
        <f t="shared" si="6"/>
        <v>0</v>
      </c>
      <c r="AA23" s="23"/>
      <c r="AB23" s="21"/>
      <c r="AC23" s="22">
        <f t="shared" si="10"/>
        <v>0</v>
      </c>
      <c r="AG23" s="23"/>
      <c r="AH23" s="21"/>
      <c r="AI23" s="22">
        <f t="shared" si="11"/>
        <v>0</v>
      </c>
      <c r="AM23" s="23"/>
      <c r="AN23" s="21"/>
      <c r="AO23" s="22">
        <f t="shared" si="12"/>
        <v>0</v>
      </c>
      <c r="AS23" s="23"/>
      <c r="AT23" s="21"/>
      <c r="AU23" s="22">
        <f t="shared" si="13"/>
        <v>0</v>
      </c>
    </row>
    <row r="24" spans="3:49" x14ac:dyDescent="0.25">
      <c r="C24" s="18"/>
      <c r="D24" s="3"/>
      <c r="E24" s="5">
        <f t="shared" si="7"/>
        <v>0</v>
      </c>
      <c r="G24" s="7"/>
      <c r="I24" s="18">
        <v>3</v>
      </c>
      <c r="J24" s="3">
        <v>160</v>
      </c>
      <c r="K24" s="5">
        <f t="shared" si="8"/>
        <v>4.8</v>
      </c>
      <c r="M24" s="7"/>
      <c r="O24" s="23"/>
      <c r="P24" s="21"/>
      <c r="Q24" s="22">
        <f t="shared" si="9"/>
        <v>0</v>
      </c>
      <c r="S24" s="7"/>
      <c r="U24" s="23"/>
      <c r="V24" s="21"/>
      <c r="W24" s="22">
        <f t="shared" si="6"/>
        <v>0</v>
      </c>
      <c r="Y24" s="7"/>
      <c r="AA24" s="23"/>
      <c r="AB24" s="21"/>
      <c r="AC24" s="22">
        <f t="shared" si="10"/>
        <v>0</v>
      </c>
      <c r="AE24" s="7"/>
      <c r="AG24" s="23"/>
      <c r="AH24" s="21"/>
      <c r="AI24" s="22">
        <f t="shared" si="11"/>
        <v>0</v>
      </c>
      <c r="AK24" s="7"/>
      <c r="AM24" s="23"/>
      <c r="AN24" s="21"/>
      <c r="AO24" s="22">
        <f t="shared" si="12"/>
        <v>0</v>
      </c>
      <c r="AQ24" s="7"/>
      <c r="AS24" s="23"/>
      <c r="AT24" s="21"/>
      <c r="AU24" s="22">
        <f t="shared" si="13"/>
        <v>0</v>
      </c>
      <c r="AW24" s="7"/>
    </row>
    <row r="25" spans="3:49" x14ac:dyDescent="0.25">
      <c r="C25" s="18"/>
      <c r="D25" s="3"/>
      <c r="E25" s="5">
        <f t="shared" si="7"/>
        <v>0</v>
      </c>
      <c r="G25" s="1"/>
      <c r="I25" s="18">
        <v>3</v>
      </c>
      <c r="J25" s="3">
        <v>89</v>
      </c>
      <c r="K25" s="5">
        <f t="shared" si="8"/>
        <v>2.67</v>
      </c>
      <c r="M25" s="1"/>
      <c r="O25" s="23"/>
      <c r="P25" s="21"/>
      <c r="Q25" s="22">
        <f t="shared" si="9"/>
        <v>0</v>
      </c>
      <c r="S25" s="1"/>
      <c r="U25" s="23"/>
      <c r="V25" s="21"/>
      <c r="W25" s="22">
        <f t="shared" si="6"/>
        <v>0</v>
      </c>
      <c r="Y25" s="1"/>
      <c r="AA25" s="23"/>
      <c r="AB25" s="21"/>
      <c r="AC25" s="22">
        <f t="shared" si="10"/>
        <v>0</v>
      </c>
      <c r="AE25" s="1"/>
      <c r="AG25" s="23"/>
      <c r="AH25" s="21"/>
      <c r="AI25" s="22">
        <f t="shared" si="11"/>
        <v>0</v>
      </c>
      <c r="AK25" s="1"/>
      <c r="AM25" s="23"/>
      <c r="AN25" s="21"/>
      <c r="AO25" s="22">
        <f t="shared" si="12"/>
        <v>0</v>
      </c>
      <c r="AQ25" s="1"/>
      <c r="AS25" s="23"/>
      <c r="AT25" s="21"/>
      <c r="AU25" s="22">
        <f t="shared" si="13"/>
        <v>0</v>
      </c>
      <c r="AW25" s="1"/>
    </row>
    <row r="26" spans="3:49" x14ac:dyDescent="0.25">
      <c r="C26" s="18"/>
      <c r="D26" s="3"/>
      <c r="E26" s="5">
        <f t="shared" si="7"/>
        <v>0</v>
      </c>
      <c r="G26" s="1"/>
      <c r="I26" s="18"/>
      <c r="J26" s="3"/>
      <c r="K26" s="5">
        <f t="shared" si="8"/>
        <v>0</v>
      </c>
      <c r="M26" s="1"/>
      <c r="O26" s="23"/>
      <c r="P26" s="21"/>
      <c r="Q26" s="22">
        <f t="shared" si="9"/>
        <v>0</v>
      </c>
      <c r="S26" s="1"/>
      <c r="U26" s="23"/>
      <c r="V26" s="21"/>
      <c r="W26" s="22">
        <f t="shared" si="6"/>
        <v>0</v>
      </c>
      <c r="Y26" s="1"/>
      <c r="AA26" s="23"/>
      <c r="AB26" s="21"/>
      <c r="AC26" s="22">
        <f t="shared" si="10"/>
        <v>0</v>
      </c>
      <c r="AE26" s="1"/>
      <c r="AG26" s="23"/>
      <c r="AH26" s="21"/>
      <c r="AI26" s="22">
        <f t="shared" si="11"/>
        <v>0</v>
      </c>
      <c r="AK26" s="1"/>
      <c r="AM26" s="23"/>
      <c r="AN26" s="21"/>
      <c r="AO26" s="22">
        <f t="shared" si="12"/>
        <v>0</v>
      </c>
      <c r="AQ26" s="1"/>
      <c r="AS26" s="23"/>
      <c r="AT26" s="21"/>
      <c r="AU26" s="22">
        <f t="shared" si="13"/>
        <v>0</v>
      </c>
      <c r="AW26" s="1"/>
    </row>
    <row r="27" spans="3:49" x14ac:dyDescent="0.25">
      <c r="C27" s="18"/>
      <c r="D27" s="3"/>
      <c r="E27" s="5">
        <f t="shared" si="7"/>
        <v>0</v>
      </c>
      <c r="I27" s="18"/>
      <c r="J27" s="3"/>
      <c r="K27" s="5">
        <f t="shared" si="8"/>
        <v>0</v>
      </c>
      <c r="O27" s="23"/>
      <c r="P27" s="21"/>
      <c r="Q27" s="22">
        <f t="shared" si="9"/>
        <v>0</v>
      </c>
      <c r="U27" s="23"/>
      <c r="V27" s="21"/>
      <c r="W27" s="22">
        <f t="shared" si="6"/>
        <v>0</v>
      </c>
      <c r="AA27" s="23"/>
      <c r="AB27" s="21"/>
      <c r="AC27" s="22">
        <f t="shared" si="10"/>
        <v>0</v>
      </c>
      <c r="AG27" s="23"/>
      <c r="AH27" s="21"/>
      <c r="AI27" s="22">
        <f t="shared" si="11"/>
        <v>0</v>
      </c>
      <c r="AM27" s="23"/>
      <c r="AN27" s="21"/>
      <c r="AO27" s="22">
        <f t="shared" si="12"/>
        <v>0</v>
      </c>
      <c r="AS27" s="23"/>
      <c r="AT27" s="21"/>
      <c r="AU27" s="22">
        <f t="shared" si="13"/>
        <v>0</v>
      </c>
    </row>
    <row r="28" spans="3:49" x14ac:dyDescent="0.25">
      <c r="C28" s="18"/>
      <c r="D28" s="3"/>
      <c r="E28" s="5">
        <f t="shared" si="7"/>
        <v>0</v>
      </c>
      <c r="I28" s="18"/>
      <c r="J28" s="3"/>
      <c r="K28" s="5">
        <f t="shared" si="8"/>
        <v>0</v>
      </c>
      <c r="O28" s="23"/>
      <c r="P28" s="21"/>
      <c r="Q28" s="22">
        <f t="shared" si="9"/>
        <v>0</v>
      </c>
      <c r="U28" s="23"/>
      <c r="V28" s="21"/>
      <c r="W28" s="22">
        <f t="shared" si="6"/>
        <v>0</v>
      </c>
      <c r="AA28" s="23"/>
      <c r="AB28" s="21"/>
      <c r="AC28" s="22">
        <f t="shared" si="10"/>
        <v>0</v>
      </c>
      <c r="AG28" s="23"/>
      <c r="AH28" s="21"/>
      <c r="AI28" s="22">
        <f t="shared" si="11"/>
        <v>0</v>
      </c>
      <c r="AM28" s="23"/>
      <c r="AN28" s="21"/>
      <c r="AO28" s="22">
        <f t="shared" si="12"/>
        <v>0</v>
      </c>
      <c r="AS28" s="23"/>
      <c r="AT28" s="21"/>
      <c r="AU28" s="22">
        <f t="shared" si="13"/>
        <v>0</v>
      </c>
    </row>
    <row r="29" spans="3:49" x14ac:dyDescent="0.25">
      <c r="C29" s="18"/>
      <c r="D29" s="3"/>
      <c r="E29" s="5">
        <f t="shared" si="7"/>
        <v>0</v>
      </c>
      <c r="I29" s="18"/>
      <c r="J29" s="3"/>
      <c r="K29" s="5">
        <f t="shared" si="8"/>
        <v>0</v>
      </c>
      <c r="O29" s="23"/>
      <c r="P29" s="21"/>
      <c r="Q29" s="22">
        <f t="shared" ref="Q29:Q40" si="14">(O29*P29)/100</f>
        <v>0</v>
      </c>
      <c r="U29" s="23"/>
      <c r="V29" s="21"/>
      <c r="W29" s="22">
        <f t="shared" si="6"/>
        <v>0</v>
      </c>
      <c r="AA29" s="23"/>
      <c r="AB29" s="21"/>
      <c r="AC29" s="22">
        <f t="shared" ref="AC29:AC40" si="15">(AA29*AB29)/100</f>
        <v>0</v>
      </c>
      <c r="AG29" s="23"/>
      <c r="AH29" s="21"/>
      <c r="AI29" s="22">
        <f t="shared" ref="AI29:AI40" si="16">(AG29*AH29)/100</f>
        <v>0</v>
      </c>
      <c r="AM29" s="23"/>
      <c r="AN29" s="21"/>
      <c r="AO29" s="22">
        <f t="shared" ref="AO29:AO40" si="17">(AM29*AN29)/100</f>
        <v>0</v>
      </c>
      <c r="AS29" s="23"/>
      <c r="AT29" s="21"/>
      <c r="AU29" s="22">
        <f t="shared" ref="AU29:AU40" si="18">(AS29*AT29)/100</f>
        <v>0</v>
      </c>
    </row>
    <row r="30" spans="3:49" x14ac:dyDescent="0.25">
      <c r="C30" s="18"/>
      <c r="D30" s="3"/>
      <c r="E30" s="5">
        <f t="shared" si="7"/>
        <v>0</v>
      </c>
      <c r="I30" s="18"/>
      <c r="J30" s="3"/>
      <c r="K30" s="5">
        <f t="shared" si="8"/>
        <v>0</v>
      </c>
      <c r="O30" s="23"/>
      <c r="P30" s="21"/>
      <c r="Q30" s="22">
        <f t="shared" si="14"/>
        <v>0</v>
      </c>
      <c r="U30" s="23"/>
      <c r="V30" s="21"/>
      <c r="W30" s="22">
        <f t="shared" si="6"/>
        <v>0</v>
      </c>
      <c r="AA30" s="23"/>
      <c r="AB30" s="21"/>
      <c r="AC30" s="22">
        <f t="shared" si="15"/>
        <v>0</v>
      </c>
      <c r="AG30" s="23"/>
      <c r="AH30" s="21"/>
      <c r="AI30" s="22">
        <f t="shared" si="16"/>
        <v>0</v>
      </c>
      <c r="AM30" s="23"/>
      <c r="AN30" s="21"/>
      <c r="AO30" s="22">
        <f t="shared" si="17"/>
        <v>0</v>
      </c>
      <c r="AS30" s="23"/>
      <c r="AT30" s="21"/>
      <c r="AU30" s="22">
        <f t="shared" si="18"/>
        <v>0</v>
      </c>
    </row>
    <row r="31" spans="3:49" x14ac:dyDescent="0.25">
      <c r="C31" s="18"/>
      <c r="D31" s="3"/>
      <c r="E31" s="5">
        <f t="shared" si="7"/>
        <v>0</v>
      </c>
      <c r="I31" s="18"/>
      <c r="J31" s="3"/>
      <c r="K31" s="5">
        <f t="shared" si="8"/>
        <v>0</v>
      </c>
      <c r="O31" s="23"/>
      <c r="P31" s="21"/>
      <c r="Q31" s="22">
        <f t="shared" si="14"/>
        <v>0</v>
      </c>
      <c r="U31" s="23"/>
      <c r="V31" s="21"/>
      <c r="W31" s="22">
        <f t="shared" si="6"/>
        <v>0</v>
      </c>
      <c r="AA31" s="23"/>
      <c r="AB31" s="21"/>
      <c r="AC31" s="22">
        <f t="shared" si="15"/>
        <v>0</v>
      </c>
      <c r="AG31" s="23"/>
      <c r="AH31" s="21"/>
      <c r="AI31" s="22">
        <f t="shared" si="16"/>
        <v>0</v>
      </c>
      <c r="AM31" s="23"/>
      <c r="AN31" s="21"/>
      <c r="AO31" s="22">
        <f t="shared" si="17"/>
        <v>0</v>
      </c>
      <c r="AS31" s="23"/>
      <c r="AT31" s="21"/>
      <c r="AU31" s="22">
        <f t="shared" si="18"/>
        <v>0</v>
      </c>
    </row>
    <row r="32" spans="3:49" x14ac:dyDescent="0.25">
      <c r="C32" s="18"/>
      <c r="D32" s="3"/>
      <c r="E32" s="5">
        <f t="shared" si="7"/>
        <v>0</v>
      </c>
      <c r="I32" s="18"/>
      <c r="J32" s="3"/>
      <c r="K32" s="5">
        <f t="shared" si="8"/>
        <v>0</v>
      </c>
      <c r="O32" s="23"/>
      <c r="P32" s="21"/>
      <c r="Q32" s="22">
        <f t="shared" si="14"/>
        <v>0</v>
      </c>
      <c r="U32" s="23"/>
      <c r="V32" s="21"/>
      <c r="W32" s="22">
        <f t="shared" si="6"/>
        <v>0</v>
      </c>
      <c r="AA32" s="23"/>
      <c r="AB32" s="21"/>
      <c r="AC32" s="22">
        <f t="shared" si="15"/>
        <v>0</v>
      </c>
      <c r="AG32" s="23"/>
      <c r="AH32" s="21"/>
      <c r="AI32" s="22">
        <f t="shared" si="16"/>
        <v>0</v>
      </c>
      <c r="AM32" s="23"/>
      <c r="AN32" s="21"/>
      <c r="AO32" s="22">
        <f t="shared" si="17"/>
        <v>0</v>
      </c>
      <c r="AS32" s="23"/>
      <c r="AT32" s="21"/>
      <c r="AU32" s="22">
        <f t="shared" si="18"/>
        <v>0</v>
      </c>
    </row>
    <row r="33" spans="3:49" x14ac:dyDescent="0.25">
      <c r="C33" s="18"/>
      <c r="D33" s="3"/>
      <c r="E33" s="5">
        <f t="shared" si="7"/>
        <v>0</v>
      </c>
      <c r="I33" s="18"/>
      <c r="J33" s="3"/>
      <c r="K33" s="5">
        <f t="shared" si="8"/>
        <v>0</v>
      </c>
      <c r="O33" s="23"/>
      <c r="P33" s="21"/>
      <c r="Q33" s="22">
        <f t="shared" si="14"/>
        <v>0</v>
      </c>
      <c r="U33" s="23"/>
      <c r="V33" s="21"/>
      <c r="W33" s="22">
        <f t="shared" si="6"/>
        <v>0</v>
      </c>
      <c r="AA33" s="23"/>
      <c r="AB33" s="21"/>
      <c r="AC33" s="22">
        <f t="shared" si="15"/>
        <v>0</v>
      </c>
      <c r="AG33" s="23"/>
      <c r="AH33" s="21"/>
      <c r="AI33" s="22">
        <f t="shared" si="16"/>
        <v>0</v>
      </c>
      <c r="AM33" s="23"/>
      <c r="AN33" s="21"/>
      <c r="AO33" s="22">
        <f t="shared" si="17"/>
        <v>0</v>
      </c>
      <c r="AS33" s="23"/>
      <c r="AT33" s="21"/>
      <c r="AU33" s="22">
        <f t="shared" si="18"/>
        <v>0</v>
      </c>
    </row>
    <row r="34" spans="3:49" x14ac:dyDescent="0.25">
      <c r="C34" s="18"/>
      <c r="D34" s="3"/>
      <c r="E34" s="5">
        <f t="shared" si="7"/>
        <v>0</v>
      </c>
      <c r="I34" s="18"/>
      <c r="J34" s="3"/>
      <c r="K34" s="5">
        <f t="shared" si="8"/>
        <v>0</v>
      </c>
      <c r="O34" s="23"/>
      <c r="P34" s="21"/>
      <c r="Q34" s="22">
        <f t="shared" si="14"/>
        <v>0</v>
      </c>
      <c r="U34" s="23"/>
      <c r="V34" s="21"/>
      <c r="W34" s="22">
        <f t="shared" si="6"/>
        <v>0</v>
      </c>
      <c r="AA34" s="23"/>
      <c r="AB34" s="21"/>
      <c r="AC34" s="22">
        <f t="shared" si="15"/>
        <v>0</v>
      </c>
      <c r="AG34" s="23"/>
      <c r="AH34" s="21"/>
      <c r="AI34" s="22">
        <f t="shared" si="16"/>
        <v>0</v>
      </c>
      <c r="AM34" s="23"/>
      <c r="AN34" s="21"/>
      <c r="AO34" s="22">
        <f t="shared" si="17"/>
        <v>0</v>
      </c>
      <c r="AS34" s="23"/>
      <c r="AT34" s="21"/>
      <c r="AU34" s="22">
        <f t="shared" si="18"/>
        <v>0</v>
      </c>
    </row>
    <row r="35" spans="3:49" x14ac:dyDescent="0.25">
      <c r="C35" s="18"/>
      <c r="D35" s="3"/>
      <c r="E35" s="5">
        <f t="shared" si="7"/>
        <v>0</v>
      </c>
      <c r="I35" s="18"/>
      <c r="J35" s="3"/>
      <c r="K35" s="5">
        <f t="shared" si="8"/>
        <v>0</v>
      </c>
      <c r="O35" s="23"/>
      <c r="P35" s="21"/>
      <c r="Q35" s="22">
        <f t="shared" si="14"/>
        <v>0</v>
      </c>
      <c r="U35" s="23"/>
      <c r="V35" s="21"/>
      <c r="W35" s="22">
        <f t="shared" si="6"/>
        <v>0</v>
      </c>
      <c r="AA35" s="23"/>
      <c r="AB35" s="21"/>
      <c r="AC35" s="22">
        <f t="shared" si="15"/>
        <v>0</v>
      </c>
      <c r="AG35" s="23"/>
      <c r="AH35" s="21"/>
      <c r="AI35" s="22">
        <f t="shared" si="16"/>
        <v>0</v>
      </c>
      <c r="AM35" s="23"/>
      <c r="AN35" s="21"/>
      <c r="AO35" s="22">
        <f t="shared" si="17"/>
        <v>0</v>
      </c>
      <c r="AS35" s="23"/>
      <c r="AT35" s="21"/>
      <c r="AU35" s="22">
        <f t="shared" si="18"/>
        <v>0</v>
      </c>
    </row>
    <row r="36" spans="3:49" x14ac:dyDescent="0.25">
      <c r="C36" s="18"/>
      <c r="D36" s="3"/>
      <c r="E36" s="5">
        <f t="shared" si="7"/>
        <v>0</v>
      </c>
      <c r="I36" s="18"/>
      <c r="J36" s="3"/>
      <c r="K36" s="5">
        <f t="shared" si="8"/>
        <v>0</v>
      </c>
      <c r="O36" s="23"/>
      <c r="P36" s="21"/>
      <c r="Q36" s="22">
        <f t="shared" si="14"/>
        <v>0</v>
      </c>
      <c r="U36" s="23"/>
      <c r="V36" s="21"/>
      <c r="W36" s="22">
        <f t="shared" si="6"/>
        <v>0</v>
      </c>
      <c r="AA36" s="23"/>
      <c r="AB36" s="21"/>
      <c r="AC36" s="22">
        <f t="shared" si="15"/>
        <v>0</v>
      </c>
      <c r="AG36" s="23"/>
      <c r="AH36" s="21"/>
      <c r="AI36" s="22">
        <f t="shared" si="16"/>
        <v>0</v>
      </c>
      <c r="AM36" s="23"/>
      <c r="AN36" s="21"/>
      <c r="AO36" s="22">
        <f t="shared" si="17"/>
        <v>0</v>
      </c>
      <c r="AS36" s="23"/>
      <c r="AT36" s="21"/>
      <c r="AU36" s="22">
        <f t="shared" si="18"/>
        <v>0</v>
      </c>
    </row>
    <row r="37" spans="3:49" x14ac:dyDescent="0.25">
      <c r="C37" s="18"/>
      <c r="D37" s="3"/>
      <c r="E37" s="5">
        <f t="shared" si="7"/>
        <v>0</v>
      </c>
      <c r="I37" s="18"/>
      <c r="J37" s="3"/>
      <c r="K37" s="5">
        <f t="shared" si="8"/>
        <v>0</v>
      </c>
      <c r="O37" s="23"/>
      <c r="P37" s="21"/>
      <c r="Q37" s="22">
        <f t="shared" si="14"/>
        <v>0</v>
      </c>
      <c r="U37" s="23"/>
      <c r="V37" s="21"/>
      <c r="W37" s="22">
        <f t="shared" si="6"/>
        <v>0</v>
      </c>
      <c r="AA37" s="23"/>
      <c r="AB37" s="21"/>
      <c r="AC37" s="22">
        <f t="shared" si="15"/>
        <v>0</v>
      </c>
      <c r="AG37" s="23"/>
      <c r="AH37" s="21"/>
      <c r="AI37" s="22">
        <f t="shared" si="16"/>
        <v>0</v>
      </c>
      <c r="AM37" s="23"/>
      <c r="AN37" s="21"/>
      <c r="AO37" s="22">
        <f t="shared" si="17"/>
        <v>0</v>
      </c>
      <c r="AS37" s="23"/>
      <c r="AT37" s="21"/>
      <c r="AU37" s="22">
        <f t="shared" si="18"/>
        <v>0</v>
      </c>
    </row>
    <row r="38" spans="3:49" ht="15.75" customHeight="1" thickBot="1" x14ac:dyDescent="0.3">
      <c r="C38" s="18"/>
      <c r="D38" s="3"/>
      <c r="E38" s="5">
        <f t="shared" si="7"/>
        <v>0</v>
      </c>
      <c r="I38" s="18"/>
      <c r="J38" s="3"/>
      <c r="K38" s="5">
        <f t="shared" si="8"/>
        <v>0</v>
      </c>
      <c r="O38" s="23"/>
      <c r="P38" s="21"/>
      <c r="Q38" s="22">
        <f t="shared" si="14"/>
        <v>0</v>
      </c>
      <c r="U38" s="23"/>
      <c r="V38" s="21"/>
      <c r="W38" s="22">
        <f t="shared" si="6"/>
        <v>0</v>
      </c>
      <c r="AA38" s="23"/>
      <c r="AB38" s="21"/>
      <c r="AC38" s="22">
        <f t="shared" si="15"/>
        <v>0</v>
      </c>
      <c r="AG38" s="23"/>
      <c r="AH38" s="21"/>
      <c r="AI38" s="22">
        <f t="shared" si="16"/>
        <v>0</v>
      </c>
      <c r="AM38" s="23"/>
      <c r="AN38" s="21"/>
      <c r="AO38" s="22">
        <f t="shared" si="17"/>
        <v>0</v>
      </c>
      <c r="AS38" s="23"/>
      <c r="AT38" s="21"/>
      <c r="AU38" s="22">
        <f t="shared" si="18"/>
        <v>0</v>
      </c>
    </row>
    <row r="39" spans="3:49" ht="15.75" customHeight="1" x14ac:dyDescent="0.25">
      <c r="C39" s="18"/>
      <c r="D39" s="3"/>
      <c r="E39" s="5">
        <f t="shared" si="7"/>
        <v>0</v>
      </c>
      <c r="F39" s="67" t="s">
        <v>8</v>
      </c>
      <c r="G39" s="69">
        <f>SUM(E20:E40)</f>
        <v>41.96</v>
      </c>
      <c r="I39" s="18"/>
      <c r="J39" s="3"/>
      <c r="K39" s="5">
        <f t="shared" si="8"/>
        <v>0</v>
      </c>
      <c r="L39" s="71" t="s">
        <v>8</v>
      </c>
      <c r="M39" s="65">
        <f>SUM(K20:K40)</f>
        <v>107.49000000000001</v>
      </c>
      <c r="O39" s="23"/>
      <c r="P39" s="21"/>
      <c r="Q39" s="22">
        <f t="shared" si="14"/>
        <v>0</v>
      </c>
      <c r="R39" s="71" t="s">
        <v>8</v>
      </c>
      <c r="S39" s="65">
        <f>SUM(Q20:Q51)</f>
        <v>21.72</v>
      </c>
      <c r="U39" s="23"/>
      <c r="V39" s="21"/>
      <c r="W39" s="22">
        <f t="shared" si="6"/>
        <v>0</v>
      </c>
      <c r="X39" s="71" t="s">
        <v>8</v>
      </c>
      <c r="Y39" s="65">
        <f>SUM(W20:W51)</f>
        <v>26</v>
      </c>
      <c r="AA39" s="23"/>
      <c r="AB39" s="21"/>
      <c r="AC39" s="22">
        <f t="shared" si="15"/>
        <v>0</v>
      </c>
      <c r="AD39" s="71" t="s">
        <v>8</v>
      </c>
      <c r="AE39" s="65">
        <f>SUM(AC20:AC51)</f>
        <v>58.52</v>
      </c>
      <c r="AG39" s="23"/>
      <c r="AH39" s="21"/>
      <c r="AI39" s="22">
        <f t="shared" si="16"/>
        <v>0</v>
      </c>
      <c r="AJ39" s="71" t="s">
        <v>8</v>
      </c>
      <c r="AK39" s="65">
        <f>SUM(AI20:AI51)</f>
        <v>0</v>
      </c>
      <c r="AM39" s="23"/>
      <c r="AN39" s="21"/>
      <c r="AO39" s="22">
        <f t="shared" si="17"/>
        <v>0</v>
      </c>
      <c r="AP39" s="71" t="s">
        <v>8</v>
      </c>
      <c r="AQ39" s="65">
        <f>SUM(AO20:AO51)</f>
        <v>0</v>
      </c>
      <c r="AS39" s="23"/>
      <c r="AT39" s="21"/>
      <c r="AU39" s="22">
        <f t="shared" si="18"/>
        <v>0</v>
      </c>
      <c r="AV39" s="71" t="s">
        <v>8</v>
      </c>
      <c r="AW39" s="65">
        <f>SUM(AU20:AU51)</f>
        <v>0</v>
      </c>
    </row>
    <row r="40" spans="3:49" ht="15.75" thickBot="1" x14ac:dyDescent="0.3">
      <c r="C40" s="19"/>
      <c r="D40" s="6"/>
      <c r="E40" s="5">
        <f t="shared" si="7"/>
        <v>0</v>
      </c>
      <c r="F40" s="68"/>
      <c r="G40" s="70"/>
      <c r="I40" s="19"/>
      <c r="J40" s="6"/>
      <c r="K40" s="5">
        <f t="shared" si="8"/>
        <v>0</v>
      </c>
      <c r="L40" s="72"/>
      <c r="M40" s="66"/>
      <c r="O40" s="25"/>
      <c r="P40" s="26"/>
      <c r="Q40" s="27">
        <f t="shared" si="14"/>
        <v>0</v>
      </c>
      <c r="R40" s="72"/>
      <c r="S40" s="66"/>
      <c r="U40" s="25"/>
      <c r="V40" s="26"/>
      <c r="W40" s="27">
        <f t="shared" si="6"/>
        <v>0</v>
      </c>
      <c r="X40" s="72"/>
      <c r="Y40" s="66"/>
      <c r="AA40" s="25"/>
      <c r="AB40" s="26"/>
      <c r="AC40" s="27">
        <f t="shared" si="15"/>
        <v>0</v>
      </c>
      <c r="AD40" s="72"/>
      <c r="AE40" s="66"/>
      <c r="AG40" s="25"/>
      <c r="AH40" s="26"/>
      <c r="AI40" s="27">
        <f t="shared" si="16"/>
        <v>0</v>
      </c>
      <c r="AJ40" s="72"/>
      <c r="AK40" s="66"/>
      <c r="AM40" s="25"/>
      <c r="AN40" s="26"/>
      <c r="AO40" s="27">
        <f t="shared" si="17"/>
        <v>0</v>
      </c>
      <c r="AP40" s="72"/>
      <c r="AQ40" s="66"/>
      <c r="AS40" s="25"/>
      <c r="AT40" s="26"/>
      <c r="AU40" s="27">
        <f t="shared" si="18"/>
        <v>0</v>
      </c>
      <c r="AV40" s="72"/>
      <c r="AW40" s="66"/>
    </row>
    <row r="46" spans="3:49" ht="15" customHeight="1" x14ac:dyDescent="0.25"/>
    <row r="47" spans="3:49" ht="15.75" customHeight="1" x14ac:dyDescent="0.25"/>
    <row r="79" ht="15" customHeight="1" x14ac:dyDescent="0.25"/>
    <row r="80" ht="15.75" customHeight="1" x14ac:dyDescent="0.25"/>
    <row r="84" ht="15" customHeight="1" x14ac:dyDescent="0.25"/>
    <row r="85" ht="15.75" customHeight="1" x14ac:dyDescent="0.25"/>
  </sheetData>
  <mergeCells count="24">
    <mergeCell ref="I18:K18"/>
    <mergeCell ref="AJ39:AJ40"/>
    <mergeCell ref="AP39:AP40"/>
    <mergeCell ref="AV39:AV40"/>
    <mergeCell ref="AK39:AK40"/>
    <mergeCell ref="AM18:AO18"/>
    <mergeCell ref="AQ39:AQ40"/>
    <mergeCell ref="AS18:AU18"/>
    <mergeCell ref="C18:E18"/>
    <mergeCell ref="AW39:AW40"/>
    <mergeCell ref="F39:F40"/>
    <mergeCell ref="G39:G40"/>
    <mergeCell ref="U18:W18"/>
    <mergeCell ref="AA18:AC18"/>
    <mergeCell ref="AG18:AI18"/>
    <mergeCell ref="M39:M40"/>
    <mergeCell ref="S39:S40"/>
    <mergeCell ref="Y39:Y40"/>
    <mergeCell ref="AE39:AE40"/>
    <mergeCell ref="L39:L40"/>
    <mergeCell ref="R39:R40"/>
    <mergeCell ref="X39:X40"/>
    <mergeCell ref="AD39:AD40"/>
    <mergeCell ref="O18:Q1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BC6-B69B-4BA1-ABFB-D587CF86EBEA}">
  <dimension ref="B1:G51"/>
  <sheetViews>
    <sheetView showGridLines="0" topLeftCell="A49" workbookViewId="0">
      <selection activeCell="A52" sqref="A52:XFD79"/>
    </sheetView>
  </sheetViews>
  <sheetFormatPr defaultRowHeight="15" x14ac:dyDescent="0.25"/>
  <cols>
    <col min="1" max="1" width="17.42578125" customWidth="1"/>
    <col min="2" max="2" width="24.140625" bestFit="1" customWidth="1"/>
    <col min="3" max="3" width="24.140625" customWidth="1"/>
    <col min="4" max="4" width="9.140625" style="7"/>
    <col min="5" max="5" width="23.7109375" customWidth="1"/>
    <col min="6" max="6" width="24.7109375" customWidth="1"/>
    <col min="7" max="7" width="24.7109375" bestFit="1" customWidth="1"/>
    <col min="9" max="9" width="15.28515625" bestFit="1" customWidth="1"/>
  </cols>
  <sheetData>
    <row r="1" spans="2:7" x14ac:dyDescent="0.25">
      <c r="B1" s="31" t="s">
        <v>43</v>
      </c>
      <c r="C1" s="32" t="s">
        <v>44</v>
      </c>
      <c r="D1" s="33" t="s">
        <v>45</v>
      </c>
      <c r="E1" s="32" t="s">
        <v>46</v>
      </c>
      <c r="F1" s="34" t="s">
        <v>47</v>
      </c>
      <c r="G1" s="35" t="s">
        <v>48</v>
      </c>
    </row>
    <row r="2" spans="2:7" x14ac:dyDescent="0.25">
      <c r="B2" s="36" t="s">
        <v>49</v>
      </c>
      <c r="C2" s="37">
        <v>8</v>
      </c>
      <c r="D2" s="38">
        <v>6</v>
      </c>
      <c r="E2" s="39">
        <v>4.2</v>
      </c>
      <c r="F2" s="39">
        <v>4.2</v>
      </c>
      <c r="G2" s="40">
        <v>0.73499999999999999</v>
      </c>
    </row>
    <row r="3" spans="2:7" x14ac:dyDescent="0.25">
      <c r="B3" s="36" t="s">
        <v>50</v>
      </c>
      <c r="C3" s="37">
        <v>8</v>
      </c>
      <c r="D3" s="38">
        <v>6</v>
      </c>
      <c r="E3" s="39">
        <v>5</v>
      </c>
      <c r="F3" s="39">
        <v>4.2</v>
      </c>
      <c r="G3" s="40">
        <v>0.82499999999999996</v>
      </c>
    </row>
    <row r="4" spans="2:7" x14ac:dyDescent="0.25">
      <c r="B4" s="36" t="s">
        <v>51</v>
      </c>
      <c r="C4" s="37">
        <v>12</v>
      </c>
      <c r="D4" s="38">
        <v>6</v>
      </c>
      <c r="E4" s="39">
        <v>5</v>
      </c>
      <c r="F4" s="39">
        <v>4.2</v>
      </c>
      <c r="G4" s="40">
        <v>0.88600000000000001</v>
      </c>
    </row>
    <row r="5" spans="2:7" x14ac:dyDescent="0.25">
      <c r="B5" s="36" t="s">
        <v>52</v>
      </c>
      <c r="C5" s="37">
        <v>12</v>
      </c>
      <c r="D5" s="38">
        <v>6</v>
      </c>
      <c r="E5" s="39">
        <v>6</v>
      </c>
      <c r="F5" s="39">
        <v>4.2</v>
      </c>
      <c r="G5" s="40">
        <f>1.016</f>
        <v>1.016</v>
      </c>
    </row>
    <row r="6" spans="2:7" x14ac:dyDescent="0.25">
      <c r="B6" s="36" t="s">
        <v>53</v>
      </c>
      <c r="C6" s="37">
        <v>16</v>
      </c>
      <c r="D6" s="38">
        <v>7</v>
      </c>
      <c r="E6" s="39">
        <v>5</v>
      </c>
      <c r="F6" s="39">
        <v>4.2</v>
      </c>
      <c r="G6" s="40">
        <f>1.032</f>
        <v>1.032</v>
      </c>
    </row>
    <row r="7" spans="2:7" x14ac:dyDescent="0.25">
      <c r="B7" s="36" t="s">
        <v>54</v>
      </c>
      <c r="C7" s="37">
        <v>16</v>
      </c>
      <c r="D7" s="38">
        <v>7</v>
      </c>
      <c r="E7" s="39">
        <v>6</v>
      </c>
      <c r="F7" s="39">
        <v>4.2</v>
      </c>
      <c r="G7" s="40">
        <f>1.168</f>
        <v>1.1679999999999999</v>
      </c>
    </row>
    <row r="8" spans="2:7" x14ac:dyDescent="0.25">
      <c r="B8" s="36" t="s">
        <v>55</v>
      </c>
      <c r="C8" s="37">
        <v>20</v>
      </c>
      <c r="D8" s="41">
        <v>7</v>
      </c>
      <c r="E8" s="39">
        <v>5</v>
      </c>
      <c r="F8" s="38">
        <v>4.2</v>
      </c>
      <c r="G8" s="40">
        <f>1.111</f>
        <v>1.111</v>
      </c>
    </row>
    <row r="9" spans="2:7" x14ac:dyDescent="0.25">
      <c r="B9" s="36" t="s">
        <v>56</v>
      </c>
      <c r="C9" s="37">
        <v>20</v>
      </c>
      <c r="D9" s="41">
        <v>7</v>
      </c>
      <c r="E9" s="39">
        <v>6</v>
      </c>
      <c r="F9" s="38">
        <v>5</v>
      </c>
      <c r="G9" s="40">
        <f>1.446</f>
        <v>1.446</v>
      </c>
    </row>
    <row r="10" spans="2:7" x14ac:dyDescent="0.25">
      <c r="B10" s="36" t="s">
        <v>57</v>
      </c>
      <c r="C10" s="37">
        <v>25</v>
      </c>
      <c r="D10" s="41">
        <v>7</v>
      </c>
      <c r="E10" s="39">
        <v>6</v>
      </c>
      <c r="F10" s="38">
        <v>5</v>
      </c>
      <c r="G10" s="40">
        <f>1.602</f>
        <v>1.6020000000000001</v>
      </c>
    </row>
    <row r="11" spans="2:7" x14ac:dyDescent="0.25">
      <c r="B11" s="42" t="s">
        <v>58</v>
      </c>
      <c r="C11" s="43">
        <v>25</v>
      </c>
      <c r="D11" s="44">
        <v>8</v>
      </c>
      <c r="E11" s="45">
        <v>7</v>
      </c>
      <c r="F11" s="46">
        <v>5</v>
      </c>
      <c r="G11" s="47">
        <f>1.855</f>
        <v>1.855</v>
      </c>
    </row>
    <row r="13" spans="2:7" ht="15.75" thickBot="1" x14ac:dyDescent="0.3"/>
    <row r="14" spans="2:7" ht="15.75" thickBot="1" x14ac:dyDescent="0.3">
      <c r="B14" s="73" t="s">
        <v>38</v>
      </c>
      <c r="C14" s="74"/>
      <c r="D14" s="74"/>
      <c r="E14" s="74"/>
      <c r="F14" s="74"/>
      <c r="G14" s="75"/>
    </row>
    <row r="15" spans="2:7" ht="15.75" thickBot="1" x14ac:dyDescent="0.3">
      <c r="B15" s="48" t="s">
        <v>37</v>
      </c>
      <c r="C15" s="48" t="s">
        <v>18</v>
      </c>
      <c r="D15" s="48" t="s">
        <v>17</v>
      </c>
      <c r="E15" s="48" t="s">
        <v>16</v>
      </c>
      <c r="F15" s="48" t="s">
        <v>19</v>
      </c>
      <c r="G15" s="48" t="s">
        <v>59</v>
      </c>
    </row>
    <row r="16" spans="2:7" x14ac:dyDescent="0.25">
      <c r="B16" s="56" t="s">
        <v>20</v>
      </c>
      <c r="C16" s="21" t="s">
        <v>51</v>
      </c>
      <c r="D16" s="21">
        <v>4</v>
      </c>
      <c r="E16" s="21">
        <v>322</v>
      </c>
      <c r="F16" s="58">
        <f t="shared" ref="F16:F21" si="0">D16*E16/100</f>
        <v>12.88</v>
      </c>
      <c r="G16" s="59">
        <f t="shared" ref="G16:G36" si="1">VLOOKUP(C16,$B$2:$G$11,6,FALSE)*F16</f>
        <v>11.41168</v>
      </c>
    </row>
    <row r="17" spans="2:7" x14ac:dyDescent="0.25">
      <c r="B17" s="57" t="s">
        <v>21</v>
      </c>
      <c r="C17" s="24" t="s">
        <v>51</v>
      </c>
      <c r="D17" s="24">
        <v>3</v>
      </c>
      <c r="E17" s="24">
        <v>86</v>
      </c>
      <c r="F17" s="60">
        <f t="shared" si="0"/>
        <v>2.58</v>
      </c>
      <c r="G17" s="61">
        <f t="shared" si="1"/>
        <v>2.2858800000000001</v>
      </c>
    </row>
    <row r="18" spans="2:7" x14ac:dyDescent="0.25">
      <c r="B18" s="57" t="s">
        <v>22</v>
      </c>
      <c r="C18" s="24" t="s">
        <v>51</v>
      </c>
      <c r="D18" s="24">
        <v>3</v>
      </c>
      <c r="E18" s="24">
        <v>170</v>
      </c>
      <c r="F18" s="60">
        <f t="shared" si="0"/>
        <v>5.0999999999999996</v>
      </c>
      <c r="G18" s="61">
        <f t="shared" si="1"/>
        <v>4.5186000000000002</v>
      </c>
    </row>
    <row r="19" spans="2:7" x14ac:dyDescent="0.25">
      <c r="B19" s="57" t="s">
        <v>23</v>
      </c>
      <c r="C19" s="24" t="s">
        <v>51</v>
      </c>
      <c r="D19" s="24">
        <v>4</v>
      </c>
      <c r="E19" s="24">
        <v>47</v>
      </c>
      <c r="F19" s="60">
        <f t="shared" si="0"/>
        <v>1.88</v>
      </c>
      <c r="G19" s="61">
        <f t="shared" si="1"/>
        <v>1.6656799999999998</v>
      </c>
    </row>
    <row r="20" spans="2:7" x14ac:dyDescent="0.25">
      <c r="B20" s="57" t="s">
        <v>24</v>
      </c>
      <c r="C20" s="24" t="s">
        <v>51</v>
      </c>
      <c r="D20" s="24">
        <v>4</v>
      </c>
      <c r="E20" s="24">
        <v>151</v>
      </c>
      <c r="F20" s="60">
        <f t="shared" si="0"/>
        <v>6.04</v>
      </c>
      <c r="G20" s="61">
        <f t="shared" si="1"/>
        <v>5.3514400000000002</v>
      </c>
    </row>
    <row r="21" spans="2:7" x14ac:dyDescent="0.25">
      <c r="B21" s="57" t="s">
        <v>25</v>
      </c>
      <c r="C21" s="24" t="s">
        <v>51</v>
      </c>
      <c r="D21" s="24">
        <v>4</v>
      </c>
      <c r="E21" s="24">
        <v>192</v>
      </c>
      <c r="F21" s="60">
        <f t="shared" si="0"/>
        <v>7.68</v>
      </c>
      <c r="G21" s="61">
        <f t="shared" si="1"/>
        <v>6.8044799999999999</v>
      </c>
    </row>
    <row r="22" spans="2:7" x14ac:dyDescent="0.25">
      <c r="B22" s="57" t="s">
        <v>26</v>
      </c>
      <c r="C22" s="24" t="s">
        <v>51</v>
      </c>
      <c r="D22" s="24">
        <v>11</v>
      </c>
      <c r="E22" s="24">
        <v>280</v>
      </c>
      <c r="F22" s="58">
        <f t="shared" ref="F22:F31" si="2">D22*E22/100</f>
        <v>30.8</v>
      </c>
      <c r="G22" s="61">
        <f t="shared" si="1"/>
        <v>27.288800000000002</v>
      </c>
    </row>
    <row r="23" spans="2:7" x14ac:dyDescent="0.25">
      <c r="B23" s="57" t="s">
        <v>27</v>
      </c>
      <c r="C23" s="24" t="s">
        <v>51</v>
      </c>
      <c r="D23" s="24">
        <v>11</v>
      </c>
      <c r="E23" s="24">
        <v>197</v>
      </c>
      <c r="F23" s="60">
        <f t="shared" si="2"/>
        <v>21.67</v>
      </c>
      <c r="G23" s="61">
        <f t="shared" si="1"/>
        <v>19.199620000000003</v>
      </c>
    </row>
    <row r="24" spans="2:7" x14ac:dyDescent="0.25">
      <c r="B24" s="57" t="s">
        <v>28</v>
      </c>
      <c r="C24" s="24" t="s">
        <v>51</v>
      </c>
      <c r="D24" s="24">
        <v>7</v>
      </c>
      <c r="E24" s="24">
        <v>322</v>
      </c>
      <c r="F24" s="60">
        <f t="shared" si="2"/>
        <v>22.54</v>
      </c>
      <c r="G24" s="61">
        <f t="shared" si="1"/>
        <v>19.97044</v>
      </c>
    </row>
    <row r="25" spans="2:7" x14ac:dyDescent="0.25">
      <c r="B25" s="57" t="s">
        <v>29</v>
      </c>
      <c r="C25" s="24" t="s">
        <v>51</v>
      </c>
      <c r="D25" s="24">
        <v>5</v>
      </c>
      <c r="E25" s="24">
        <v>226</v>
      </c>
      <c r="F25" s="60">
        <f t="shared" si="2"/>
        <v>11.3</v>
      </c>
      <c r="G25" s="61">
        <f t="shared" si="1"/>
        <v>10.011800000000001</v>
      </c>
    </row>
    <row r="26" spans="2:7" x14ac:dyDescent="0.25">
      <c r="B26" s="57" t="s">
        <v>30</v>
      </c>
      <c r="C26" s="24" t="s">
        <v>51</v>
      </c>
      <c r="D26" s="24">
        <v>5</v>
      </c>
      <c r="E26" s="24">
        <v>117</v>
      </c>
      <c r="F26" s="60">
        <f t="shared" si="2"/>
        <v>5.85</v>
      </c>
      <c r="G26" s="61">
        <f t="shared" si="1"/>
        <v>5.1830999999999996</v>
      </c>
    </row>
    <row r="27" spans="2:7" x14ac:dyDescent="0.25">
      <c r="B27" s="57" t="s">
        <v>31</v>
      </c>
      <c r="C27" s="24" t="s">
        <v>51</v>
      </c>
      <c r="D27" s="24">
        <v>10</v>
      </c>
      <c r="E27" s="24">
        <v>362</v>
      </c>
      <c r="F27" s="60">
        <f t="shared" si="2"/>
        <v>36.200000000000003</v>
      </c>
      <c r="G27" s="61">
        <f t="shared" si="1"/>
        <v>32.0732</v>
      </c>
    </row>
    <row r="28" spans="2:7" x14ac:dyDescent="0.25">
      <c r="B28" s="57" t="s">
        <v>32</v>
      </c>
      <c r="C28" s="24" t="s">
        <v>51</v>
      </c>
      <c r="D28" s="24">
        <v>6</v>
      </c>
      <c r="E28" s="24">
        <v>95</v>
      </c>
      <c r="F28" s="58">
        <f t="shared" si="2"/>
        <v>5.7</v>
      </c>
      <c r="G28" s="61">
        <f t="shared" si="1"/>
        <v>5.0502000000000002</v>
      </c>
    </row>
    <row r="29" spans="2:7" x14ac:dyDescent="0.25">
      <c r="B29" s="57" t="s">
        <v>33</v>
      </c>
      <c r="C29" s="24" t="s">
        <v>51</v>
      </c>
      <c r="D29" s="24">
        <v>6</v>
      </c>
      <c r="E29" s="24">
        <v>95</v>
      </c>
      <c r="F29" s="60">
        <f t="shared" si="2"/>
        <v>5.7</v>
      </c>
      <c r="G29" s="61">
        <f t="shared" si="1"/>
        <v>5.0502000000000002</v>
      </c>
    </row>
    <row r="30" spans="2:7" x14ac:dyDescent="0.25">
      <c r="B30" s="57" t="s">
        <v>34</v>
      </c>
      <c r="C30" s="24" t="s">
        <v>51</v>
      </c>
      <c r="D30" s="24">
        <v>3</v>
      </c>
      <c r="E30" s="24">
        <v>40</v>
      </c>
      <c r="F30" s="60">
        <f t="shared" si="2"/>
        <v>1.2</v>
      </c>
      <c r="G30" s="61">
        <f t="shared" si="1"/>
        <v>1.0631999999999999</v>
      </c>
    </row>
    <row r="31" spans="2:7" x14ac:dyDescent="0.25">
      <c r="B31" s="57" t="s">
        <v>35</v>
      </c>
      <c r="C31" s="24" t="s">
        <v>51</v>
      </c>
      <c r="D31" s="24">
        <v>7</v>
      </c>
      <c r="E31" s="24">
        <v>362</v>
      </c>
      <c r="F31" s="60">
        <f t="shared" si="2"/>
        <v>25.34</v>
      </c>
      <c r="G31" s="61">
        <f t="shared" si="1"/>
        <v>22.451239999999999</v>
      </c>
    </row>
    <row r="32" spans="2:7" x14ac:dyDescent="0.25">
      <c r="B32" s="57" t="s">
        <v>35</v>
      </c>
      <c r="C32" s="24" t="s">
        <v>51</v>
      </c>
      <c r="D32" s="24">
        <v>1</v>
      </c>
      <c r="E32" s="24">
        <v>197</v>
      </c>
      <c r="F32" s="60">
        <f t="shared" ref="F32" si="3">D32*E32/100</f>
        <v>1.97</v>
      </c>
      <c r="G32" s="61">
        <f t="shared" si="1"/>
        <v>1.74542</v>
      </c>
    </row>
    <row r="33" spans="2:7" x14ac:dyDescent="0.25">
      <c r="B33" s="57" t="s">
        <v>39</v>
      </c>
      <c r="C33" s="24" t="s">
        <v>51</v>
      </c>
      <c r="D33" s="24">
        <v>2</v>
      </c>
      <c r="E33" s="24">
        <v>327</v>
      </c>
      <c r="F33" s="60">
        <f>D33*E33/100</f>
        <v>6.54</v>
      </c>
      <c r="G33" s="61">
        <f t="shared" si="1"/>
        <v>5.7944399999999998</v>
      </c>
    </row>
    <row r="34" spans="2:7" x14ac:dyDescent="0.25">
      <c r="B34" s="57" t="s">
        <v>40</v>
      </c>
      <c r="C34" s="24" t="s">
        <v>51</v>
      </c>
      <c r="D34" s="24">
        <v>3</v>
      </c>
      <c r="E34" s="24">
        <v>78</v>
      </c>
      <c r="F34" s="60">
        <f>D34*E34/100</f>
        <v>2.34</v>
      </c>
      <c r="G34" s="61">
        <f t="shared" si="1"/>
        <v>2.0732399999999997</v>
      </c>
    </row>
    <row r="35" spans="2:7" x14ac:dyDescent="0.25">
      <c r="B35" s="57" t="s">
        <v>41</v>
      </c>
      <c r="C35" s="24" t="s">
        <v>51</v>
      </c>
      <c r="D35" s="24">
        <v>5</v>
      </c>
      <c r="E35" s="24">
        <v>212</v>
      </c>
      <c r="F35" s="58">
        <f>D35*E35/100</f>
        <v>10.6</v>
      </c>
      <c r="G35" s="61">
        <f t="shared" si="1"/>
        <v>9.3916000000000004</v>
      </c>
    </row>
    <row r="36" spans="2:7" x14ac:dyDescent="0.25">
      <c r="B36" s="57" t="s">
        <v>42</v>
      </c>
      <c r="C36" s="24" t="s">
        <v>51</v>
      </c>
      <c r="D36" s="24">
        <v>8</v>
      </c>
      <c r="E36" s="24">
        <v>232</v>
      </c>
      <c r="F36" s="60">
        <f>D36*E36/100</f>
        <v>18.559999999999999</v>
      </c>
      <c r="G36" s="61">
        <f t="shared" si="1"/>
        <v>16.44416</v>
      </c>
    </row>
    <row r="37" spans="2:7" ht="15.75" thickBot="1" x14ac:dyDescent="0.3">
      <c r="B37" s="76" t="s">
        <v>8</v>
      </c>
      <c r="C37" s="77"/>
      <c r="D37" s="77"/>
      <c r="E37" s="78"/>
      <c r="F37" s="49">
        <f>SUM(F16:F36)</f>
        <v>242.46999999999994</v>
      </c>
      <c r="G37" s="50">
        <f>SUM(G16:G36)*1.1</f>
        <v>236.311262</v>
      </c>
    </row>
    <row r="38" spans="2:7" x14ac:dyDescent="0.25">
      <c r="D38"/>
    </row>
    <row r="39" spans="2:7" x14ac:dyDescent="0.25">
      <c r="D39"/>
    </row>
    <row r="40" spans="2:7" x14ac:dyDescent="0.25">
      <c r="D40"/>
    </row>
    <row r="41" spans="2:7" x14ac:dyDescent="0.25">
      <c r="D41"/>
    </row>
    <row r="42" spans="2:7" x14ac:dyDescent="0.25">
      <c r="D42"/>
    </row>
    <row r="43" spans="2:7" x14ac:dyDescent="0.25">
      <c r="D43"/>
    </row>
    <row r="44" spans="2:7" x14ac:dyDescent="0.25">
      <c r="D44"/>
    </row>
    <row r="45" spans="2:7" x14ac:dyDescent="0.25">
      <c r="D45"/>
    </row>
    <row r="46" spans="2:7" x14ac:dyDescent="0.25">
      <c r="D46"/>
    </row>
    <row r="47" spans="2:7" x14ac:dyDescent="0.25">
      <c r="D47"/>
    </row>
    <row r="48" spans="2:7" x14ac:dyDescent="0.25">
      <c r="D48"/>
    </row>
    <row r="49" spans="4:4" x14ac:dyDescent="0.25">
      <c r="D49"/>
    </row>
    <row r="50" spans="4:4" x14ac:dyDescent="0.25">
      <c r="D50"/>
    </row>
    <row r="51" spans="4:4" x14ac:dyDescent="0.25">
      <c r="D51"/>
    </row>
  </sheetData>
  <mergeCells count="2">
    <mergeCell ref="B14:G14"/>
    <mergeCell ref="B37:E37"/>
  </mergeCells>
  <phoneticPr fontId="4" type="noConversion"/>
  <dataValidations count="1">
    <dataValidation type="list" allowBlank="1" showInputMessage="1" showErrorMessage="1" sqref="C16:C36" xr:uid="{1F56A636-AC8E-4703-8571-D963D0D7FE37}">
      <formula1>$B$2:$B$11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QUANTITATIVO</vt:lpstr>
      <vt:lpstr>QUANT. VIGOTAS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Simões</dc:creator>
  <cp:lastModifiedBy>Jonathan Simões</cp:lastModifiedBy>
  <dcterms:created xsi:type="dcterms:W3CDTF">2020-08-03T17:26:40Z</dcterms:created>
  <dcterms:modified xsi:type="dcterms:W3CDTF">2024-08-09T13:37:09Z</dcterms:modified>
</cp:coreProperties>
</file>