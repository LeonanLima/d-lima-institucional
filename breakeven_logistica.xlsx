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Break-Even" sheetId="2" state="visible" r:id="rId2"/>
    <sheet xmlns:r="http://schemas.openxmlformats.org/officeDocument/2006/relationships" name="Proje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%"/>
    <numFmt numFmtId="166" formatCode="0.0"/>
    <numFmt numFmtId="167" formatCode="R$ #,##0.00;[Red](R$ #,##0.00)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1F4E7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95959"/>
      <sz val="9"/>
    </font>
    <font>
      <name val="Calibri"/>
      <b val="1"/>
      <color rgb="00000000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16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165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 wrapText="1"/>
    </xf>
    <xf numFmtId="3" fontId="8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  <xf numFmtId="166" fontId="5" fillId="9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center" vertical="center"/>
    </xf>
    <xf numFmtId="167" fontId="5" fillId="7" borderId="1" applyAlignment="1" pivotButton="0" quotePrefix="0" xfId="0">
      <alignment horizontal="right" vertical="center"/>
    </xf>
    <xf numFmtId="167" fontId="8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right" vertical="center"/>
    </xf>
    <xf numFmtId="167" fontId="8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7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5" customWidth="1" min="3" max="3"/>
  </cols>
  <sheetData>
    <row r="1" ht="28" customHeight="1">
      <c r="A1" s="1" t="inlineStr">
        <is>
          <t>PREMISSAS — Break-Even Logística São Mateus/ES</t>
        </is>
      </c>
    </row>
    <row r="2" ht="16" customHeight="1">
      <c r="A2" s="2" t="inlineStr">
        <is>
          <t>Campos em AZUL = você preenche  |  Preto = calculado automaticamente</t>
        </is>
      </c>
    </row>
    <row r="3" ht="22" customHeight="1">
      <c r="A3" s="3" t="inlineStr">
        <is>
          <t xml:space="preserve">  1. RECEITA POR PACOTE</t>
        </is>
      </c>
    </row>
    <row r="4" ht="20" customHeight="1">
      <c r="A4" s="4" t="inlineStr">
        <is>
          <t>Item</t>
        </is>
      </c>
      <c r="B4" s="4" t="inlineStr">
        <is>
          <t>Valor</t>
        </is>
      </c>
      <c r="C4" s="4" t="inlineStr">
        <is>
          <t>Observação</t>
        </is>
      </c>
    </row>
    <row r="5" ht="20" customHeight="1">
      <c r="A5" s="5" t="inlineStr">
        <is>
          <t>Receita por pacote entregue (R$)</t>
        </is>
      </c>
      <c r="B5" s="6" t="n">
        <v>4.5</v>
      </c>
      <c r="C5" s="7" t="inlineStr">
        <is>
          <t>Valor pago pela franqueadora</t>
        </is>
      </c>
    </row>
    <row r="6" ht="20" customHeight="1">
      <c r="A6" s="8" t="inlineStr">
        <is>
          <t>Receita por tentativa sem sucesso (R$)</t>
        </is>
      </c>
      <c r="B6" s="6" t="n">
        <v>0</v>
      </c>
      <c r="C6" s="9" t="inlineStr">
        <is>
          <t>Geralmente R$ 0 — confirme</t>
        </is>
      </c>
    </row>
    <row r="8" ht="22" customHeight="1">
      <c r="A8" s="3" t="inlineStr">
        <is>
          <t xml:space="preserve">  2. CUSTOS VARIÁVEIS (por pacote tentado)</t>
        </is>
      </c>
    </row>
    <row r="9" ht="20" customHeight="1">
      <c r="A9" s="4" t="inlineStr">
        <is>
          <t>Item</t>
        </is>
      </c>
      <c r="B9" s="4" t="inlineStr">
        <is>
          <t>Valor</t>
        </is>
      </c>
      <c r="C9" s="4" t="inlineStr">
        <is>
          <t>Observação</t>
        </is>
      </c>
    </row>
    <row r="10" ht="20" customHeight="1">
      <c r="A10" s="8" t="inlineStr">
        <is>
          <t>Comissão motoboy / entregador</t>
        </is>
      </c>
      <c r="B10" s="6" t="n">
        <v>2</v>
      </c>
      <c r="C10" s="9" t="inlineStr">
        <is>
          <t>Por tentativa de entrega</t>
        </is>
      </c>
    </row>
    <row r="11" ht="20" customHeight="1">
      <c r="A11" s="5" t="inlineStr">
        <is>
          <t>Combustível (frota própria)</t>
        </is>
      </c>
      <c r="B11" s="6" t="n">
        <v>0.4</v>
      </c>
      <c r="C11" s="7" t="inlineStr">
        <is>
          <t>Estimativa por pacote</t>
        </is>
      </c>
    </row>
    <row r="12" ht="20" customHeight="1">
      <c r="A12" s="8" t="inlineStr">
        <is>
          <t>Embalagem / lacre</t>
        </is>
      </c>
      <c r="B12" s="6" t="n">
        <v>0.1</v>
      </c>
      <c r="C12" s="9" t="inlineStr">
        <is>
          <t>Se necessário</t>
        </is>
      </c>
    </row>
    <row r="13" ht="20" customHeight="1">
      <c r="A13" s="5" t="inlineStr">
        <is>
          <t>Outros variáveis</t>
        </is>
      </c>
      <c r="B13" s="6" t="n">
        <v>0</v>
      </c>
      <c r="C13" s="7" t="inlineStr"/>
    </row>
    <row r="14" ht="20" customHeight="1">
      <c r="A14" s="10" t="inlineStr">
        <is>
          <t>TOTAL VARIÁVEL POR PACOTE</t>
        </is>
      </c>
      <c r="B14" s="11">
        <f>SUM(B10:B13)</f>
        <v/>
      </c>
      <c r="C14" s="12" t="inlineStr"/>
    </row>
    <row r="16" ht="22" customHeight="1">
      <c r="A16" s="3" t="inlineStr">
        <is>
          <t xml:space="preserve">  3. CUSTOS FIXOS MENSAIS</t>
        </is>
      </c>
    </row>
    <row r="17" ht="20" customHeight="1">
      <c r="A17" s="4" t="inlineStr">
        <is>
          <t>Item</t>
        </is>
      </c>
      <c r="B17" s="4" t="inlineStr">
        <is>
          <t>Valor</t>
        </is>
      </c>
      <c r="C17" s="4" t="inlineStr">
        <is>
          <t>Observação</t>
        </is>
      </c>
    </row>
    <row r="18" ht="20" customHeight="1">
      <c r="A18" s="8" t="inlineStr">
        <is>
          <t>Aluguel do galpão</t>
        </is>
      </c>
      <c r="B18" s="6" t="n">
        <v>3000</v>
      </c>
      <c r="C18" s="9" t="inlineStr">
        <is>
          <t>150-200m² em São Mateus</t>
        </is>
      </c>
    </row>
    <row r="19" ht="20" customHeight="1">
      <c r="A19" s="5" t="inlineStr">
        <is>
          <t>Taxa de franquia / royalties</t>
        </is>
      </c>
      <c r="B19" s="6" t="n">
        <v>800</v>
      </c>
      <c r="C19" s="7" t="inlineStr">
        <is>
          <t>Varia por franqueadora</t>
        </is>
      </c>
    </row>
    <row r="20" ht="20" customHeight="1">
      <c r="A20" s="8" t="inlineStr">
        <is>
          <t>Salário funcionário 1 (triagem)</t>
        </is>
      </c>
      <c r="B20" s="6" t="n">
        <v>2000</v>
      </c>
      <c r="C20" s="9" t="inlineStr">
        <is>
          <t>CLT ou PJ</t>
        </is>
      </c>
    </row>
    <row r="21" ht="20" customHeight="1">
      <c r="A21" s="5" t="inlineStr">
        <is>
          <t>Salário funcionário 2 (apoio)</t>
        </is>
      </c>
      <c r="B21" s="6" t="n">
        <v>0</v>
      </c>
      <c r="C21" s="7" t="inlineStr">
        <is>
          <t>Se necessário</t>
        </is>
      </c>
    </row>
    <row r="22" ht="20" customHeight="1">
      <c r="A22" s="8" t="inlineStr">
        <is>
          <t>Energia elétrica</t>
        </is>
      </c>
      <c r="B22" s="6" t="n">
        <v>300</v>
      </c>
      <c r="C22" s="9" t="inlineStr"/>
    </row>
    <row r="23" ht="20" customHeight="1">
      <c r="A23" s="5" t="inlineStr">
        <is>
          <t>Internet + sistema de rastreio</t>
        </is>
      </c>
      <c r="B23" s="6" t="n">
        <v>200</v>
      </c>
      <c r="C23" s="7" t="inlineStr"/>
    </row>
    <row r="24" ht="20" customHeight="1">
      <c r="A24" s="8" t="inlineStr">
        <is>
          <t>Seguro</t>
        </is>
      </c>
      <c r="B24" s="6" t="n">
        <v>150</v>
      </c>
      <c r="C24" s="9" t="inlineStr"/>
    </row>
    <row r="25" ht="20" customHeight="1">
      <c r="A25" s="5" t="inlineStr">
        <is>
          <t>Contabilidade</t>
        </is>
      </c>
      <c r="B25" s="6" t="n">
        <v>200</v>
      </c>
      <c r="C25" s="7" t="inlineStr"/>
    </row>
    <row r="26" ht="20" customHeight="1">
      <c r="A26" s="8" t="inlineStr">
        <is>
          <t>Reserva para imprevistos</t>
        </is>
      </c>
      <c r="B26" s="6" t="n">
        <v>350</v>
      </c>
      <c r="C26" s="9" t="inlineStr"/>
    </row>
    <row r="27" ht="20" customHeight="1">
      <c r="A27" s="5" t="inlineStr">
        <is>
          <t>Outros fixos</t>
        </is>
      </c>
      <c r="B27" s="6" t="n">
        <v>0</v>
      </c>
      <c r="C27" s="7" t="inlineStr"/>
    </row>
    <row r="28" ht="20" customHeight="1">
      <c r="A28" s="10" t="inlineStr">
        <is>
          <t>TOTAL FIXO MENSAL</t>
        </is>
      </c>
      <c r="B28" s="11">
        <f>SUM(B18:B27)</f>
        <v/>
      </c>
      <c r="C28" s="12" t="inlineStr"/>
    </row>
    <row r="30" ht="22" customHeight="1">
      <c r="A30" s="3" t="inlineStr">
        <is>
          <t xml:space="preserve">  4. PARÂMETROS OPERACIONAIS</t>
        </is>
      </c>
    </row>
    <row r="31" ht="20" customHeight="1">
      <c r="A31" s="4" t="inlineStr">
        <is>
          <t>Parâmetro</t>
        </is>
      </c>
      <c r="B31" s="4" t="inlineStr">
        <is>
          <t>Valor</t>
        </is>
      </c>
      <c r="C31" s="4" t="inlineStr">
        <is>
          <t>Observação</t>
        </is>
      </c>
    </row>
    <row r="32" ht="20" customHeight="1">
      <c r="A32" s="8" t="inlineStr">
        <is>
          <t>Taxa de insucesso de entrega</t>
        </is>
      </c>
      <c r="B32" s="13" t="n">
        <v>0.15</v>
      </c>
      <c r="C32" s="9" t="inlineStr">
        <is>
          <t>0.15 = 15% tentativas sem sucesso</t>
        </is>
      </c>
    </row>
    <row r="33" ht="20" customHeight="1">
      <c r="A33" s="5" t="inlineStr">
        <is>
          <t>Dias úteis por mês</t>
        </is>
      </c>
      <c r="B33" s="14" t="n">
        <v>24</v>
      </c>
      <c r="C33" s="7" t="inlineStr">
        <is>
          <t>Para break-even diário</t>
        </is>
      </c>
    </row>
    <row r="34" ht="20" customHeight="1">
      <c r="A34" s="8" t="inlineStr">
        <is>
          <t>Volume alvo estabilizado (pac/mês)</t>
        </is>
      </c>
      <c r="B34" s="14" t="n">
        <v>3000</v>
      </c>
      <c r="C34" s="9" t="inlineStr">
        <is>
          <t>Meta em regime normal</t>
        </is>
      </c>
    </row>
    <row r="36" ht="22" customHeight="1">
      <c r="A36" s="3" t="inlineStr">
        <is>
          <t xml:space="preserve">  5. RAMP-UP — % do volume alvo por mês</t>
        </is>
      </c>
    </row>
    <row r="37" ht="20" customHeight="1">
      <c r="A37" s="4" t="inlineStr">
        <is>
          <t>Período</t>
        </is>
      </c>
      <c r="B37" s="4" t="inlineStr">
        <is>
          <t>% Volume Alvo</t>
        </is>
      </c>
      <c r="C37" s="4" t="inlineStr">
        <is>
          <t>Observação</t>
        </is>
      </c>
    </row>
    <row r="38" ht="20" customHeight="1">
      <c r="A38" s="8" t="inlineStr">
        <is>
          <t>Mês 1</t>
        </is>
      </c>
      <c r="B38" s="13" t="n">
        <v>0.3</v>
      </c>
      <c r="C38" s="9" t="inlineStr"/>
    </row>
    <row r="39" ht="20" customHeight="1">
      <c r="A39" s="5" t="inlineStr">
        <is>
          <t>Mês 2</t>
        </is>
      </c>
      <c r="B39" s="13" t="n">
        <v>0.45</v>
      </c>
      <c r="C39" s="7" t="inlineStr"/>
    </row>
    <row r="40" ht="20" customHeight="1">
      <c r="A40" s="8" t="inlineStr">
        <is>
          <t>Mês 3</t>
        </is>
      </c>
      <c r="B40" s="13" t="n">
        <v>0.6</v>
      </c>
      <c r="C40" s="9" t="inlineStr"/>
    </row>
    <row r="41" ht="20" customHeight="1">
      <c r="A41" s="5" t="inlineStr">
        <is>
          <t>Mês 4</t>
        </is>
      </c>
      <c r="B41" s="13" t="n">
        <v>0.75</v>
      </c>
      <c r="C41" s="7" t="inlineStr"/>
    </row>
    <row r="42" ht="20" customHeight="1">
      <c r="A42" s="8" t="inlineStr">
        <is>
          <t>Mês 5</t>
        </is>
      </c>
      <c r="B42" s="13" t="n">
        <v>0.85</v>
      </c>
      <c r="C42" s="9" t="inlineStr"/>
    </row>
    <row r="43" ht="20" customHeight="1">
      <c r="A43" s="5" t="inlineStr">
        <is>
          <t>Mês 6</t>
        </is>
      </c>
      <c r="B43" s="13" t="n">
        <v>0.95</v>
      </c>
      <c r="C43" s="7" t="inlineStr"/>
    </row>
    <row r="44" ht="20" customHeight="1">
      <c r="A44" s="8" t="inlineStr">
        <is>
          <t>Meses 7 a 12</t>
        </is>
      </c>
      <c r="B44" s="13" t="n">
        <v>1</v>
      </c>
      <c r="C44" s="9" t="inlineStr">
        <is>
          <t>Volume estabilizado</t>
        </is>
      </c>
    </row>
    <row r="46" ht="22" customHeight="1">
      <c r="A46" s="3" t="inlineStr">
        <is>
          <t xml:space="preserve">  6. INVESTIMENTO E CAPITAL DE GIRO</t>
        </is>
      </c>
    </row>
    <row r="47" ht="20" customHeight="1">
      <c r="A47" s="4" t="inlineStr">
        <is>
          <t>Item</t>
        </is>
      </c>
      <c r="B47" s="4" t="inlineStr">
        <is>
          <t>Valor</t>
        </is>
      </c>
      <c r="C47" s="4" t="inlineStr">
        <is>
          <t>Observação</t>
        </is>
      </c>
    </row>
    <row r="48" ht="20" customHeight="1">
      <c r="A48" s="8" t="inlineStr">
        <is>
          <t>Investimento inicial total</t>
        </is>
      </c>
      <c r="B48" s="6" t="n">
        <v>25000</v>
      </c>
      <c r="C48" s="9" t="inlineStr">
        <is>
          <t>Equipamentos, adequação, caução</t>
        </is>
      </c>
    </row>
    <row r="49" ht="20" customHeight="1">
      <c r="A49" s="5" t="inlineStr">
        <is>
          <t>Meses de reserva de custo fixo em caixa</t>
        </is>
      </c>
      <c r="B49" s="14" t="n">
        <v>2</v>
      </c>
      <c r="C49" s="7" t="inlineStr">
        <is>
          <t>Ex: 2 = dois meses de fixo guardado</t>
        </is>
      </c>
    </row>
  </sheetData>
  <mergeCells count="8">
    <mergeCell ref="A36:C36"/>
    <mergeCell ref="A1:C1"/>
    <mergeCell ref="A46:C46"/>
    <mergeCell ref="A2:C2"/>
    <mergeCell ref="A8:C8"/>
    <mergeCell ref="A3:C3"/>
    <mergeCell ref="A30:C3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BREAK-EVEN — Cálculo e Análise de Sensibilidade</t>
        </is>
      </c>
    </row>
    <row r="2" ht="16" customHeight="1">
      <c r="A2" s="2" t="inlineStr">
        <is>
          <t>Alimentado pelas Premissas — não edite esta aba</t>
        </is>
      </c>
    </row>
    <row r="3" ht="22" customHeight="1">
      <c r="A3" s="3" t="inlineStr">
        <is>
          <t xml:space="preserve">  COMPONENTES</t>
        </is>
      </c>
    </row>
    <row r="4" ht="20" customHeight="1">
      <c r="A4" s="4" t="inlineStr">
        <is>
          <t>Item</t>
        </is>
      </c>
      <c r="B4" s="4" t="inlineStr">
        <is>
          <t>Valor</t>
        </is>
      </c>
    </row>
    <row r="5" ht="20" customHeight="1">
      <c r="A5" s="5" t="inlineStr">
        <is>
          <t>Receita por pacote entregue</t>
        </is>
      </c>
      <c r="B5" s="15">
        <f>Premissas!B5</f>
        <v/>
      </c>
    </row>
    <row r="6" ht="20" customHeight="1">
      <c r="A6" s="8" t="inlineStr">
        <is>
          <t>Custo variável por pacote</t>
        </is>
      </c>
      <c r="B6" s="16">
        <f>Premissas!B14</f>
        <v/>
      </c>
    </row>
    <row r="7" ht="20" customHeight="1">
      <c r="A7" s="10" t="inlineStr">
        <is>
          <t>MARGEM DE CONTRIBUIÇÃO por pacote</t>
        </is>
      </c>
      <c r="B7" s="11">
        <f>B5-B6</f>
        <v/>
      </c>
    </row>
    <row r="9" ht="20" customHeight="1">
      <c r="A9" s="5" t="inlineStr">
        <is>
          <t>Custo fixo mensal</t>
        </is>
      </c>
      <c r="B9" s="15">
        <f>Premissas!B28</f>
        <v/>
      </c>
    </row>
    <row r="10" ht="20" customHeight="1">
      <c r="A10" s="8" t="inlineStr">
        <is>
          <t>Taxa de insucesso</t>
        </is>
      </c>
      <c r="B10" s="17">
        <f>Premissas!B32</f>
        <v/>
      </c>
    </row>
    <row r="11" ht="20" customHeight="1">
      <c r="A11" s="5" t="inlineStr">
        <is>
          <t>Dias úteis por mês</t>
        </is>
      </c>
      <c r="B11" s="18">
        <f>Premissas!B33</f>
        <v/>
      </c>
    </row>
    <row r="13" ht="22" customHeight="1">
      <c r="A13" s="19" t="inlineStr">
        <is>
          <t xml:space="preserve">  BREAK-EVEN</t>
        </is>
      </c>
    </row>
    <row r="14" ht="20" customHeight="1">
      <c r="A14" s="4" t="inlineStr">
        <is>
          <t>Métrica</t>
        </is>
      </c>
      <c r="B14" s="4" t="inlineStr">
        <is>
          <t>Valor</t>
        </is>
      </c>
    </row>
    <row r="15" ht="20" customHeight="1">
      <c r="A15" s="10" t="inlineStr">
        <is>
          <t>Break-even simples (pac/mês)</t>
        </is>
      </c>
      <c r="B15" s="20">
        <f>IFERROR(B9/B7,"MC=0")</f>
        <v/>
      </c>
    </row>
    <row r="16" ht="20" customHeight="1">
      <c r="A16" s="8" t="inlineStr">
        <is>
          <t>Break-even simples (pac/dia útil)</t>
        </is>
      </c>
      <c r="B16" s="21">
        <f>IFERROR(B15/B11,"--")</f>
        <v/>
      </c>
    </row>
    <row r="17" ht="20" customHeight="1">
      <c r="A17" s="22" t="inlineStr">
        <is>
          <t>Break-even AJUSTADO (pac recebidos/mês)</t>
        </is>
      </c>
      <c r="B17" s="23">
        <f>IFERROR(B15/(1-B10),"--")</f>
        <v/>
      </c>
    </row>
    <row r="18" ht="20" customHeight="1">
      <c r="A18" s="24" t="inlineStr">
        <is>
          <t>Break-even ajustado (pac recebidos/dia útil)</t>
        </is>
      </c>
      <c r="B18" s="25">
        <f>IFERROR(B17/B11,"--")</f>
        <v/>
      </c>
    </row>
    <row r="20" ht="22" customHeight="1">
      <c r="A20" s="19" t="inlineStr">
        <is>
          <t xml:space="preserve">  CAPITAL NECESSÁRIO ANTES DE ABRIR</t>
        </is>
      </c>
    </row>
    <row r="21" ht="20" customHeight="1">
      <c r="A21" s="4" t="inlineStr">
        <is>
          <t>Item</t>
        </is>
      </c>
      <c r="B21" s="4" t="inlineStr">
        <is>
          <t>Valor</t>
        </is>
      </c>
    </row>
    <row r="22" ht="20" customHeight="1">
      <c r="A22" s="8" t="inlineStr">
        <is>
          <t>Investimento inicial</t>
        </is>
      </c>
      <c r="B22" s="16">
        <f>Premissas!B48</f>
        <v/>
      </c>
    </row>
    <row r="23" ht="20" customHeight="1">
      <c r="A23" s="5" t="inlineStr">
        <is>
          <t>Reserva de custo fixo em caixa</t>
        </is>
      </c>
      <c r="B23" s="15">
        <f>Premissas!B49*Premissas!B28</f>
        <v/>
      </c>
    </row>
    <row r="24" ht="20" customHeight="1">
      <c r="A24" s="8" t="inlineStr">
        <is>
          <t>Déficit acumulado ramp-up (da aba Projecao)</t>
        </is>
      </c>
      <c r="B24" s="16">
        <f>Projecao!I19</f>
        <v/>
      </c>
    </row>
    <row r="25" ht="20" customHeight="1">
      <c r="A25" s="10" t="inlineStr">
        <is>
          <t>CAPITAL TOTAL NECESSÁRIO</t>
        </is>
      </c>
      <c r="B25" s="11">
        <f>B22+B23+B24</f>
        <v/>
      </c>
    </row>
    <row r="28" ht="22" customHeight="1">
      <c r="A28" s="3" t="inlineStr">
        <is>
          <t xml:space="preserve">  SENSIBILIDADE — Break-Even em pac/mês  |  Linhas = Custo Fixo Mensal  |  Colunas = Margem de Contribuição por pacote</t>
        </is>
      </c>
    </row>
    <row r="29" ht="20" customHeight="1">
      <c r="A29" s="4" t="inlineStr">
        <is>
          <t>Fixo \ MC</t>
        </is>
      </c>
      <c r="B29" s="4" t="inlineStr">
        <is>
          <t>R$ 1.00</t>
        </is>
      </c>
      <c r="C29" s="4" t="inlineStr">
        <is>
          <t>R$ 1.50</t>
        </is>
      </c>
      <c r="D29" s="4" t="inlineStr">
        <is>
          <t>R$ 2.00</t>
        </is>
      </c>
      <c r="E29" s="4" t="inlineStr">
        <is>
          <t>R$ 2.50</t>
        </is>
      </c>
      <c r="F29" s="4" t="inlineStr">
        <is>
          <t>R$ 3.00</t>
        </is>
      </c>
      <c r="G29" s="4" t="inlineStr">
        <is>
          <t>R$ 3.50</t>
        </is>
      </c>
      <c r="H29" s="4" t="inlineStr">
        <is>
          <t>R$ 4.00</t>
        </is>
      </c>
    </row>
    <row r="30" ht="18" customHeight="1">
      <c r="A30" s="26" t="inlineStr">
        <is>
          <t>R$ 4.000</t>
        </is>
      </c>
      <c r="B30" s="27">
        <f>ROUND(4000/1.0000,0)</f>
        <v/>
      </c>
      <c r="C30" s="27">
        <f>ROUND(4000/1.5000,0)</f>
        <v/>
      </c>
      <c r="D30" s="27">
        <f>ROUND(4000/2.0000,0)</f>
        <v/>
      </c>
      <c r="E30" s="27">
        <f>ROUND(4000/2.5000,0)</f>
        <v/>
      </c>
      <c r="F30" s="27">
        <f>ROUND(4000/3.0000,0)</f>
        <v/>
      </c>
      <c r="G30" s="27">
        <f>ROUND(4000/3.5000,0)</f>
        <v/>
      </c>
      <c r="H30" s="27">
        <f>ROUND(4000/4.0000,0)</f>
        <v/>
      </c>
    </row>
    <row r="31" ht="18" customHeight="1">
      <c r="A31" s="26" t="inlineStr">
        <is>
          <t>R$ 5.000</t>
        </is>
      </c>
      <c r="B31" s="28">
        <f>ROUND(5000/1.0000,0)</f>
        <v/>
      </c>
      <c r="C31" s="28">
        <f>ROUND(5000/1.5000,0)</f>
        <v/>
      </c>
      <c r="D31" s="28">
        <f>ROUND(5000/2.0000,0)</f>
        <v/>
      </c>
      <c r="E31" s="28">
        <f>ROUND(5000/2.5000,0)</f>
        <v/>
      </c>
      <c r="F31" s="28">
        <f>ROUND(5000/3.0000,0)</f>
        <v/>
      </c>
      <c r="G31" s="28">
        <f>ROUND(5000/3.5000,0)</f>
        <v/>
      </c>
      <c r="H31" s="28">
        <f>ROUND(5000/4.0000,0)</f>
        <v/>
      </c>
    </row>
    <row r="32" ht="18" customHeight="1">
      <c r="A32" s="26" t="inlineStr">
        <is>
          <t>R$ 6.000</t>
        </is>
      </c>
      <c r="B32" s="27">
        <f>ROUND(6000/1.0000,0)</f>
        <v/>
      </c>
      <c r="C32" s="27">
        <f>ROUND(6000/1.5000,0)</f>
        <v/>
      </c>
      <c r="D32" s="27">
        <f>ROUND(6000/2.0000,0)</f>
        <v/>
      </c>
      <c r="E32" s="27">
        <f>ROUND(6000/2.5000,0)</f>
        <v/>
      </c>
      <c r="F32" s="27">
        <f>ROUND(6000/3.0000,0)</f>
        <v/>
      </c>
      <c r="G32" s="27">
        <f>ROUND(6000/3.5000,0)</f>
        <v/>
      </c>
      <c r="H32" s="27">
        <f>ROUND(6000/4.0000,0)</f>
        <v/>
      </c>
    </row>
    <row r="33" ht="18" customHeight="1">
      <c r="A33" s="26" t="inlineStr">
        <is>
          <t>R$ 7.000</t>
        </is>
      </c>
      <c r="B33" s="28">
        <f>ROUND(7000/1.0000,0)</f>
        <v/>
      </c>
      <c r="C33" s="28">
        <f>ROUND(7000/1.5000,0)</f>
        <v/>
      </c>
      <c r="D33" s="28">
        <f>ROUND(7000/2.0000,0)</f>
        <v/>
      </c>
      <c r="E33" s="28">
        <f>ROUND(7000/2.5000,0)</f>
        <v/>
      </c>
      <c r="F33" s="28">
        <f>ROUND(7000/3.0000,0)</f>
        <v/>
      </c>
      <c r="G33" s="28">
        <f>ROUND(7000/3.5000,0)</f>
        <v/>
      </c>
      <c r="H33" s="28">
        <f>ROUND(7000/4.0000,0)</f>
        <v/>
      </c>
    </row>
    <row r="34" ht="18" customHeight="1">
      <c r="A34" s="26" t="inlineStr">
        <is>
          <t>R$ 8.000</t>
        </is>
      </c>
      <c r="B34" s="27">
        <f>ROUND(8000/1.0000,0)</f>
        <v/>
      </c>
      <c r="C34" s="27">
        <f>ROUND(8000/1.5000,0)</f>
        <v/>
      </c>
      <c r="D34" s="27">
        <f>ROUND(8000/2.0000,0)</f>
        <v/>
      </c>
      <c r="E34" s="27">
        <f>ROUND(8000/2.5000,0)</f>
        <v/>
      </c>
      <c r="F34" s="27">
        <f>ROUND(8000/3.0000,0)</f>
        <v/>
      </c>
      <c r="G34" s="27">
        <f>ROUND(8000/3.5000,0)</f>
        <v/>
      </c>
      <c r="H34" s="27">
        <f>ROUND(8000/4.0000,0)</f>
        <v/>
      </c>
    </row>
    <row r="35" ht="18" customHeight="1">
      <c r="A35" s="26" t="inlineStr">
        <is>
          <t>R$ 9.000</t>
        </is>
      </c>
      <c r="B35" s="28">
        <f>ROUND(9000/1.0000,0)</f>
        <v/>
      </c>
      <c r="C35" s="28">
        <f>ROUND(9000/1.5000,0)</f>
        <v/>
      </c>
      <c r="D35" s="28">
        <f>ROUND(9000/2.0000,0)</f>
        <v/>
      </c>
      <c r="E35" s="28">
        <f>ROUND(9000/2.5000,0)</f>
        <v/>
      </c>
      <c r="F35" s="28">
        <f>ROUND(9000/3.0000,0)</f>
        <v/>
      </c>
      <c r="G35" s="28">
        <f>ROUND(9000/3.5000,0)</f>
        <v/>
      </c>
      <c r="H35" s="28">
        <f>ROUND(9000/4.0000,0)</f>
        <v/>
      </c>
    </row>
    <row r="36" ht="18" customHeight="1">
      <c r="A36" s="26" t="inlineStr">
        <is>
          <t>R$ 10.000</t>
        </is>
      </c>
      <c r="B36" s="27">
        <f>ROUND(10000/1.0000,0)</f>
        <v/>
      </c>
      <c r="C36" s="27">
        <f>ROUND(10000/1.5000,0)</f>
        <v/>
      </c>
      <c r="D36" s="27">
        <f>ROUND(10000/2.0000,0)</f>
        <v/>
      </c>
      <c r="E36" s="27">
        <f>ROUND(10000/2.5000,0)</f>
        <v/>
      </c>
      <c r="F36" s="27">
        <f>ROUND(10000/3.0000,0)</f>
        <v/>
      </c>
      <c r="G36" s="27">
        <f>ROUND(10000/3.5000,0)</f>
        <v/>
      </c>
      <c r="H36" s="27">
        <f>ROUND(10000/4.0000,0)</f>
        <v/>
      </c>
    </row>
    <row r="38">
      <c r="A38" s="29" t="inlineStr">
        <is>
          <t xml:space="preserve">  Seu cenário atual: MC calculada em Break-Even!B7  |  Custo Fixo em Break-Even!B9</t>
        </is>
      </c>
    </row>
  </sheetData>
  <mergeCells count="7">
    <mergeCell ref="A20:B20"/>
    <mergeCell ref="A38:H38"/>
    <mergeCell ref="A2:H2"/>
    <mergeCell ref="A28:H28"/>
    <mergeCell ref="A13:B13"/>
    <mergeCell ref="A1:H1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0" customWidth="1" min="10" max="10"/>
  </cols>
  <sheetData>
    <row r="1" ht="28" customHeight="1">
      <c r="A1" s="1" t="inlineStr">
        <is>
          <t>PROJEÇÃO 12 MESES — Resultado Mensal e Capital de Giro</t>
        </is>
      </c>
    </row>
    <row r="2" ht="16" customHeight="1">
      <c r="A2" s="2" t="inlineStr">
        <is>
          <t>Alimentado pelas Premissas — não edite esta aba</t>
        </is>
      </c>
    </row>
    <row r="3" ht="36" customHeight="1">
      <c r="A3" s="30" t="inlineStr">
        <is>
          <t>Mês</t>
        </is>
      </c>
      <c r="B3" s="30" t="inlineStr">
        <is>
          <t>Ramp %</t>
        </is>
      </c>
      <c r="C3" s="30" t="inlineStr">
        <is>
          <t>Vol.
Receb.</t>
        </is>
      </c>
      <c r="D3" s="30" t="inlineStr">
        <is>
          <t>Vol.
Entreg.</t>
        </is>
      </c>
      <c r="E3" s="30" t="inlineStr">
        <is>
          <t>Receita
(R$)</t>
        </is>
      </c>
      <c r="F3" s="30" t="inlineStr">
        <is>
          <t>Custo
Var.</t>
        </is>
      </c>
      <c r="G3" s="30" t="inlineStr">
        <is>
          <t>Custo
Fixo</t>
        </is>
      </c>
      <c r="H3" s="30" t="inlineStr">
        <is>
          <t>Result.
Mensal</t>
        </is>
      </c>
      <c r="I3" s="30" t="inlineStr">
        <is>
          <t>Result.
Acum.</t>
        </is>
      </c>
      <c r="J3" s="30" t="inlineStr">
        <is>
          <t>Status</t>
        </is>
      </c>
    </row>
    <row r="4" ht="22" customHeight="1">
      <c r="A4" s="31" t="inlineStr">
        <is>
          <t>Mês 1</t>
        </is>
      </c>
      <c r="B4" s="32">
        <f>Premissas!B38</f>
        <v/>
      </c>
      <c r="C4" s="33">
        <f>ROUND(Premissas!B34*B4,0)</f>
        <v/>
      </c>
      <c r="D4" s="33">
        <f>ROUND(C4*(1-Premissas!B32),0)</f>
        <v/>
      </c>
      <c r="E4" s="16">
        <f>D4*Premissas!B5+(C4-D4)*Premissas!B6</f>
        <v/>
      </c>
      <c r="F4" s="16">
        <f>C4*Premissas!B14</f>
        <v/>
      </c>
      <c r="G4" s="16">
        <f>Premissas!B28</f>
        <v/>
      </c>
      <c r="H4" s="34">
        <f>E4-F4-G4</f>
        <v/>
      </c>
      <c r="I4" s="35">
        <f>H4</f>
        <v/>
      </c>
      <c r="J4" s="36">
        <f>IF(H4&gt;=0,"LUCRO","DEFICIT")</f>
        <v/>
      </c>
    </row>
    <row r="5" ht="22" customHeight="1">
      <c r="A5" s="37" t="inlineStr">
        <is>
          <t>Mês 2</t>
        </is>
      </c>
      <c r="B5" s="38">
        <f>Premissas!B39</f>
        <v/>
      </c>
      <c r="C5" s="39">
        <f>ROUND(Premissas!B34*B5,0)</f>
        <v/>
      </c>
      <c r="D5" s="39">
        <f>ROUND(C5*(1-Premissas!B32),0)</f>
        <v/>
      </c>
      <c r="E5" s="15">
        <f>D5*Premissas!B5+(C5-D5)*Premissas!B6</f>
        <v/>
      </c>
      <c r="F5" s="15">
        <f>C5*Premissas!B14</f>
        <v/>
      </c>
      <c r="G5" s="15">
        <f>Premissas!B28</f>
        <v/>
      </c>
      <c r="H5" s="40">
        <f>E5-F5-G5</f>
        <v/>
      </c>
      <c r="I5" s="41">
        <f>I4+H5</f>
        <v/>
      </c>
      <c r="J5" s="42">
        <f>IF(H5&gt;=0,"LUCRO","DEFICIT")</f>
        <v/>
      </c>
    </row>
    <row r="6" ht="22" customHeight="1">
      <c r="A6" s="31" t="inlineStr">
        <is>
          <t>Mês 3</t>
        </is>
      </c>
      <c r="B6" s="32">
        <f>Premissas!B40</f>
        <v/>
      </c>
      <c r="C6" s="33">
        <f>ROUND(Premissas!B34*B6,0)</f>
        <v/>
      </c>
      <c r="D6" s="33">
        <f>ROUND(C6*(1-Premissas!B32),0)</f>
        <v/>
      </c>
      <c r="E6" s="16">
        <f>D6*Premissas!B5+(C6-D6)*Premissas!B6</f>
        <v/>
      </c>
      <c r="F6" s="16">
        <f>C6*Premissas!B14</f>
        <v/>
      </c>
      <c r="G6" s="16">
        <f>Premissas!B28</f>
        <v/>
      </c>
      <c r="H6" s="34">
        <f>E6-F6-G6</f>
        <v/>
      </c>
      <c r="I6" s="35">
        <f>I5+H6</f>
        <v/>
      </c>
      <c r="J6" s="36">
        <f>IF(H6&gt;=0,"LUCRO","DEFICIT")</f>
        <v/>
      </c>
    </row>
    <row r="7" ht="22" customHeight="1">
      <c r="A7" s="37" t="inlineStr">
        <is>
          <t>Mês 4</t>
        </is>
      </c>
      <c r="B7" s="38">
        <f>Premissas!B41</f>
        <v/>
      </c>
      <c r="C7" s="39">
        <f>ROUND(Premissas!B34*B7,0)</f>
        <v/>
      </c>
      <c r="D7" s="39">
        <f>ROUND(C7*(1-Premissas!B32),0)</f>
        <v/>
      </c>
      <c r="E7" s="15">
        <f>D7*Premissas!B5+(C7-D7)*Premissas!B6</f>
        <v/>
      </c>
      <c r="F7" s="15">
        <f>C7*Premissas!B14</f>
        <v/>
      </c>
      <c r="G7" s="15">
        <f>Premissas!B28</f>
        <v/>
      </c>
      <c r="H7" s="40">
        <f>E7-F7-G7</f>
        <v/>
      </c>
      <c r="I7" s="41">
        <f>I6+H7</f>
        <v/>
      </c>
      <c r="J7" s="42">
        <f>IF(H7&gt;=0,"LUCRO","DEFICIT")</f>
        <v/>
      </c>
    </row>
    <row r="8" ht="22" customHeight="1">
      <c r="A8" s="31" t="inlineStr">
        <is>
          <t>Mês 5</t>
        </is>
      </c>
      <c r="B8" s="32">
        <f>Premissas!B42</f>
        <v/>
      </c>
      <c r="C8" s="33">
        <f>ROUND(Premissas!B34*B8,0)</f>
        <v/>
      </c>
      <c r="D8" s="33">
        <f>ROUND(C8*(1-Premissas!B32),0)</f>
        <v/>
      </c>
      <c r="E8" s="16">
        <f>D8*Premissas!B5+(C8-D8)*Premissas!B6</f>
        <v/>
      </c>
      <c r="F8" s="16">
        <f>C8*Premissas!B14</f>
        <v/>
      </c>
      <c r="G8" s="16">
        <f>Premissas!B28</f>
        <v/>
      </c>
      <c r="H8" s="34">
        <f>E8-F8-G8</f>
        <v/>
      </c>
      <c r="I8" s="35">
        <f>I7+H8</f>
        <v/>
      </c>
      <c r="J8" s="36">
        <f>IF(H8&gt;=0,"LUCRO","DEFICIT")</f>
        <v/>
      </c>
    </row>
    <row r="9" ht="22" customHeight="1">
      <c r="A9" s="37" t="inlineStr">
        <is>
          <t>Mês 6</t>
        </is>
      </c>
      <c r="B9" s="38">
        <f>Premissas!B43</f>
        <v/>
      </c>
      <c r="C9" s="39">
        <f>ROUND(Premissas!B34*B9,0)</f>
        <v/>
      </c>
      <c r="D9" s="39">
        <f>ROUND(C9*(1-Premissas!B32),0)</f>
        <v/>
      </c>
      <c r="E9" s="15">
        <f>D9*Premissas!B5+(C9-D9)*Premissas!B6</f>
        <v/>
      </c>
      <c r="F9" s="15">
        <f>C9*Premissas!B14</f>
        <v/>
      </c>
      <c r="G9" s="15">
        <f>Premissas!B28</f>
        <v/>
      </c>
      <c r="H9" s="40">
        <f>E9-F9-G9</f>
        <v/>
      </c>
      <c r="I9" s="41">
        <f>I8+H9</f>
        <v/>
      </c>
      <c r="J9" s="42">
        <f>IF(H9&gt;=0,"LUCRO","DEFICIT")</f>
        <v/>
      </c>
    </row>
    <row r="10" ht="22" customHeight="1">
      <c r="A10" s="31" t="inlineStr">
        <is>
          <t>Mês 7</t>
        </is>
      </c>
      <c r="B10" s="32">
        <f>Premissas!B44</f>
        <v/>
      </c>
      <c r="C10" s="33">
        <f>ROUND(Premissas!B34*B10,0)</f>
        <v/>
      </c>
      <c r="D10" s="33">
        <f>ROUND(C10*(1-Premissas!B32),0)</f>
        <v/>
      </c>
      <c r="E10" s="16">
        <f>D10*Premissas!B5+(C10-D10)*Premissas!B6</f>
        <v/>
      </c>
      <c r="F10" s="16">
        <f>C10*Premissas!B14</f>
        <v/>
      </c>
      <c r="G10" s="16">
        <f>Premissas!B28</f>
        <v/>
      </c>
      <c r="H10" s="34">
        <f>E10-F10-G10</f>
        <v/>
      </c>
      <c r="I10" s="35">
        <f>I9+H10</f>
        <v/>
      </c>
      <c r="J10" s="36">
        <f>IF(H10&gt;=0,"LUCRO","DEFICIT")</f>
        <v/>
      </c>
    </row>
    <row r="11" ht="22" customHeight="1">
      <c r="A11" s="37" t="inlineStr">
        <is>
          <t>Mês 8</t>
        </is>
      </c>
      <c r="B11" s="38">
        <f>Premissas!B44</f>
        <v/>
      </c>
      <c r="C11" s="39">
        <f>ROUND(Premissas!B34*B11,0)</f>
        <v/>
      </c>
      <c r="D11" s="39">
        <f>ROUND(C11*(1-Premissas!B32),0)</f>
        <v/>
      </c>
      <c r="E11" s="15">
        <f>D11*Premissas!B5+(C11-D11)*Premissas!B6</f>
        <v/>
      </c>
      <c r="F11" s="15">
        <f>C11*Premissas!B14</f>
        <v/>
      </c>
      <c r="G11" s="15">
        <f>Premissas!B28</f>
        <v/>
      </c>
      <c r="H11" s="40">
        <f>E11-F11-G11</f>
        <v/>
      </c>
      <c r="I11" s="41">
        <f>I10+H11</f>
        <v/>
      </c>
      <c r="J11" s="42">
        <f>IF(H11&gt;=0,"LUCRO","DEFICIT")</f>
        <v/>
      </c>
    </row>
    <row r="12" ht="22" customHeight="1">
      <c r="A12" s="31" t="inlineStr">
        <is>
          <t>Mês 9</t>
        </is>
      </c>
      <c r="B12" s="32">
        <f>Premissas!B44</f>
        <v/>
      </c>
      <c r="C12" s="33">
        <f>ROUND(Premissas!B34*B12,0)</f>
        <v/>
      </c>
      <c r="D12" s="33">
        <f>ROUND(C12*(1-Premissas!B32),0)</f>
        <v/>
      </c>
      <c r="E12" s="16">
        <f>D12*Premissas!B5+(C12-D12)*Premissas!B6</f>
        <v/>
      </c>
      <c r="F12" s="16">
        <f>C12*Premissas!B14</f>
        <v/>
      </c>
      <c r="G12" s="16">
        <f>Premissas!B28</f>
        <v/>
      </c>
      <c r="H12" s="34">
        <f>E12-F12-G12</f>
        <v/>
      </c>
      <c r="I12" s="35">
        <f>I11+H12</f>
        <v/>
      </c>
      <c r="J12" s="36">
        <f>IF(H12&gt;=0,"LUCRO","DEFICIT")</f>
        <v/>
      </c>
    </row>
    <row r="13" ht="22" customHeight="1">
      <c r="A13" s="37" t="inlineStr">
        <is>
          <t>Mês 10</t>
        </is>
      </c>
      <c r="B13" s="38">
        <f>Premissas!B44</f>
        <v/>
      </c>
      <c r="C13" s="39">
        <f>ROUND(Premissas!B34*B13,0)</f>
        <v/>
      </c>
      <c r="D13" s="39">
        <f>ROUND(C13*(1-Premissas!B32),0)</f>
        <v/>
      </c>
      <c r="E13" s="15">
        <f>D13*Premissas!B5+(C13-D13)*Premissas!B6</f>
        <v/>
      </c>
      <c r="F13" s="15">
        <f>C13*Premissas!B14</f>
        <v/>
      </c>
      <c r="G13" s="15">
        <f>Premissas!B28</f>
        <v/>
      </c>
      <c r="H13" s="40">
        <f>E13-F13-G13</f>
        <v/>
      </c>
      <c r="I13" s="41">
        <f>I12+H13</f>
        <v/>
      </c>
      <c r="J13" s="42">
        <f>IF(H13&gt;=0,"LUCRO","DEFICIT")</f>
        <v/>
      </c>
    </row>
    <row r="14" ht="22" customHeight="1">
      <c r="A14" s="31" t="inlineStr">
        <is>
          <t>Mês 11</t>
        </is>
      </c>
      <c r="B14" s="32">
        <f>Premissas!B44</f>
        <v/>
      </c>
      <c r="C14" s="33">
        <f>ROUND(Premissas!B34*B14,0)</f>
        <v/>
      </c>
      <c r="D14" s="33">
        <f>ROUND(C14*(1-Premissas!B32),0)</f>
        <v/>
      </c>
      <c r="E14" s="16">
        <f>D14*Premissas!B5+(C14-D14)*Premissas!B6</f>
        <v/>
      </c>
      <c r="F14" s="16">
        <f>C14*Premissas!B14</f>
        <v/>
      </c>
      <c r="G14" s="16">
        <f>Premissas!B28</f>
        <v/>
      </c>
      <c r="H14" s="34">
        <f>E14-F14-G14</f>
        <v/>
      </c>
      <c r="I14" s="35">
        <f>I13+H14</f>
        <v/>
      </c>
      <c r="J14" s="36">
        <f>IF(H14&gt;=0,"LUCRO","DEFICIT")</f>
        <v/>
      </c>
    </row>
    <row r="15" ht="22" customHeight="1">
      <c r="A15" s="37" t="inlineStr">
        <is>
          <t>Mês 12</t>
        </is>
      </c>
      <c r="B15" s="38">
        <f>Premissas!B44</f>
        <v/>
      </c>
      <c r="C15" s="39">
        <f>ROUND(Premissas!B34*B15,0)</f>
        <v/>
      </c>
      <c r="D15" s="39">
        <f>ROUND(C15*(1-Premissas!B32),0)</f>
        <v/>
      </c>
      <c r="E15" s="15">
        <f>D15*Premissas!B5+(C15-D15)*Premissas!B6</f>
        <v/>
      </c>
      <c r="F15" s="15">
        <f>C15*Premissas!B14</f>
        <v/>
      </c>
      <c r="G15" s="15">
        <f>Premissas!B28</f>
        <v/>
      </c>
      <c r="H15" s="40">
        <f>E15-F15-G15</f>
        <v/>
      </c>
      <c r="I15" s="41">
        <f>I14+H15</f>
        <v/>
      </c>
      <c r="J15" s="42">
        <f>IF(H15&gt;=0,"LUCRO","DEFICIT")</f>
        <v/>
      </c>
    </row>
    <row r="16" ht="24" customHeight="1">
      <c r="A16" s="43" t="inlineStr">
        <is>
          <t>TOTAL 12 MESES</t>
        </is>
      </c>
      <c r="B16" s="43" t="n"/>
      <c r="C16" s="43" t="n"/>
      <c r="D16" s="43" t="n"/>
      <c r="E16" s="44">
        <f>SUM(E4:E15)</f>
        <v/>
      </c>
      <c r="F16" s="44">
        <f>SUM(F4:F15)</f>
        <v/>
      </c>
      <c r="G16" s="44">
        <f>SUM(G4:G15)</f>
        <v/>
      </c>
      <c r="H16" s="44">
        <f>SUM(H4:H15)</f>
        <v/>
      </c>
      <c r="I16" s="44">
        <f>SUM(I4:I15)</f>
        <v/>
      </c>
      <c r="J16" s="45" t="n"/>
    </row>
    <row r="18" ht="22" customHeight="1">
      <c r="A18" s="3" t="inlineStr">
        <is>
          <t xml:space="preserve">  CAPITAL DE GIRO — RESUMO</t>
        </is>
      </c>
    </row>
    <row r="19" ht="22" customHeight="1">
      <c r="A19" s="5" t="inlineStr">
        <is>
          <t>Déficit acumulado no período de ramp-up</t>
        </is>
      </c>
      <c r="I19" s="15">
        <f>IFERROR(-SUMIF(H4:H15,"&lt;0",H4:H15),0)</f>
        <v/>
      </c>
      <c r="J19" s="46" t="inlineStr"/>
    </row>
    <row r="20" ht="22" customHeight="1">
      <c r="A20" s="8" t="inlineStr">
        <is>
          <t>Investimento inicial</t>
        </is>
      </c>
      <c r="I20" s="16">
        <f>Premissas!B48</f>
        <v/>
      </c>
      <c r="J20" s="47" t="inlineStr"/>
    </row>
    <row r="21" ht="22" customHeight="1">
      <c r="A21" s="5" t="inlineStr">
        <is>
          <t>Reserva de custo fixo em caixa</t>
        </is>
      </c>
      <c r="I21" s="15">
        <f>Premissas!B49*Premissas!B28</f>
        <v/>
      </c>
      <c r="J21" s="46" t="inlineStr"/>
    </row>
    <row r="22" ht="22" customHeight="1">
      <c r="A22" s="10" t="inlineStr">
        <is>
          <t>CAPITAL TOTAL NECESSÁRIO ANTES DE ABRIR</t>
        </is>
      </c>
      <c r="I22" s="11">
        <f>I19+I20+I21</f>
        <v/>
      </c>
      <c r="J22" s="12" t="inlineStr"/>
    </row>
  </sheetData>
  <mergeCells count="8">
    <mergeCell ref="A1:J1"/>
    <mergeCell ref="A21:H21"/>
    <mergeCell ref="A20:H20"/>
    <mergeCell ref="A18:J18"/>
    <mergeCell ref="A19:H19"/>
    <mergeCell ref="A16:D16"/>
    <mergeCell ref="A2:J2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2026-06-21T15:23:49Z</dcterms:created>
  <dcterms:modified xmlns:dcterms="http://purl.org/dc/terms/" xmlns:xsi="http://www.w3.org/2001/XMLSchema-instance" xsi:type="dcterms:W3CDTF">2026-06-21T15:23:49Z</dcterms:modified>
</cp:coreProperties>
</file>